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n\Documents\git\Space\marslink\excel\"/>
    </mc:Choice>
  </mc:AlternateContent>
  <xr:revisionPtr revIDLastSave="0" documentId="8_{02D3ACD9-4D38-47D3-84D1-53A0592D44C9}" xr6:coauthVersionLast="47" xr6:coauthVersionMax="47" xr10:uidLastSave="{00000000-0000-0000-0000-000000000000}"/>
  <bookViews>
    <workbookView xWindow="-98" yWindow="-98" windowWidth="28996" windowHeight="17475" activeTab="2" xr2:uid="{F9A58391-BF6F-4E11-AAD9-DD50655317DB}"/>
  </bookViews>
  <sheets>
    <sheet name="Constants" sheetId="3" r:id="rId1"/>
    <sheet name="V1" sheetId="1" r:id="rId2"/>
    <sheet name="V2" sheetId="2" r:id="rId3"/>
  </sheets>
  <definedNames>
    <definedName name="AVG_SUN_DIST">Constants!$B$3</definedName>
    <definedName name="AVG_SUN_DIST_KM">Constants!$B$3</definedName>
    <definedName name="BL_KM">Constants!$G$2</definedName>
    <definedName name="BL_MBPS">Constants!$G$1</definedName>
    <definedName name="DIST_RINGS_EM">Constants!$B$4</definedName>
    <definedName name="EM_KM">Constants!$B$4</definedName>
    <definedName name="IMPROVED_KM">Constants!$K$3</definedName>
    <definedName name="IMPROVED_MBPS">Constants!$K$2</definedName>
    <definedName name="IMPROVEMENT_V2">'V2'!$C$7</definedName>
    <definedName name="REQD_MBPS">Constants!$B$6</definedName>
    <definedName name="SUN_DIST_EARTH">Constants!$B$1</definedName>
    <definedName name="SUN_DIST_MARS">Constants!$B$2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78" i="2" l="1"/>
  <c r="AX277" i="2"/>
  <c r="AX276" i="2"/>
  <c r="AX275" i="2"/>
  <c r="AX274" i="2"/>
  <c r="AX273" i="2"/>
  <c r="AX272" i="2"/>
  <c r="AX271" i="2"/>
  <c r="AX270" i="2"/>
  <c r="AX269" i="2"/>
  <c r="AX268" i="2"/>
  <c r="AX267" i="2"/>
  <c r="BD267" i="2" s="1"/>
  <c r="AX266" i="2"/>
  <c r="BD266" i="2" s="1"/>
  <c r="AX265" i="2"/>
  <c r="AX264" i="2"/>
  <c r="BD264" i="2" s="1"/>
  <c r="AX263" i="2"/>
  <c r="BD263" i="2" s="1"/>
  <c r="AX262" i="2"/>
  <c r="AX261" i="2"/>
  <c r="AX260" i="2"/>
  <c r="AX259" i="2"/>
  <c r="AX258" i="2"/>
  <c r="AX257" i="2"/>
  <c r="AX256" i="2"/>
  <c r="AX255" i="2"/>
  <c r="AX254" i="2"/>
  <c r="AX253" i="2"/>
  <c r="AX252" i="2"/>
  <c r="AX251" i="2"/>
  <c r="BD251" i="2" s="1"/>
  <c r="AX250" i="2"/>
  <c r="AX249" i="2"/>
  <c r="AX248" i="2"/>
  <c r="BD248" i="2" s="1"/>
  <c r="AX247" i="2"/>
  <c r="BD247" i="2" s="1"/>
  <c r="AX246" i="2"/>
  <c r="AX245" i="2"/>
  <c r="AX244" i="2"/>
  <c r="AX243" i="2"/>
  <c r="AX242" i="2"/>
  <c r="AX241" i="2"/>
  <c r="AX240" i="2"/>
  <c r="AX239" i="2"/>
  <c r="AX238" i="2"/>
  <c r="AX237" i="2"/>
  <c r="AX236" i="2"/>
  <c r="AX235" i="2"/>
  <c r="AX234" i="2"/>
  <c r="AX233" i="2"/>
  <c r="AX232" i="2"/>
  <c r="BD232" i="2" s="1"/>
  <c r="AX231" i="2"/>
  <c r="BD231" i="2" s="1"/>
  <c r="AX230" i="2"/>
  <c r="AX229" i="2"/>
  <c r="AX228" i="2"/>
  <c r="AX227" i="2"/>
  <c r="AX226" i="2"/>
  <c r="AX225" i="2"/>
  <c r="AX224" i="2"/>
  <c r="AX223" i="2"/>
  <c r="AX222" i="2"/>
  <c r="AX221" i="2"/>
  <c r="AX220" i="2"/>
  <c r="AX219" i="2"/>
  <c r="AX218" i="2"/>
  <c r="AX217" i="2"/>
  <c r="AX216" i="2"/>
  <c r="BD216" i="2" s="1"/>
  <c r="AX215" i="2"/>
  <c r="BD215" i="2" s="1"/>
  <c r="AX214" i="2"/>
  <c r="AX213" i="2"/>
  <c r="AX212" i="2"/>
  <c r="AX211" i="2"/>
  <c r="AX210" i="2"/>
  <c r="AX209" i="2"/>
  <c r="AX208" i="2"/>
  <c r="AX207" i="2"/>
  <c r="AX206" i="2"/>
  <c r="AX205" i="2"/>
  <c r="AX204" i="2"/>
  <c r="AX203" i="2"/>
  <c r="AX202" i="2"/>
  <c r="AX201" i="2"/>
  <c r="AX200" i="2"/>
  <c r="AX199" i="2"/>
  <c r="BD199" i="2" s="1"/>
  <c r="AX198" i="2"/>
  <c r="AX197" i="2"/>
  <c r="AX196" i="2"/>
  <c r="AX195" i="2"/>
  <c r="AX194" i="2"/>
  <c r="AX193" i="2"/>
  <c r="AX192" i="2"/>
  <c r="AX191" i="2"/>
  <c r="AX190" i="2"/>
  <c r="AX189" i="2"/>
  <c r="AX188" i="2"/>
  <c r="AX187" i="2"/>
  <c r="AX186" i="2"/>
  <c r="AX185" i="2"/>
  <c r="AX184" i="2"/>
  <c r="AX183" i="2"/>
  <c r="BC183" i="2" s="1"/>
  <c r="AX182" i="2"/>
  <c r="AX181" i="2"/>
  <c r="AX180" i="2"/>
  <c r="AX179" i="2"/>
  <c r="AX178" i="2"/>
  <c r="AX177" i="2"/>
  <c r="AX176" i="2"/>
  <c r="AX175" i="2"/>
  <c r="AX174" i="2"/>
  <c r="AX173" i="2"/>
  <c r="AX172" i="2"/>
  <c r="AX171" i="2"/>
  <c r="AX170" i="2"/>
  <c r="AX169" i="2"/>
  <c r="AX168" i="2"/>
  <c r="AX167" i="2"/>
  <c r="BD167" i="2" s="1"/>
  <c r="AX166" i="2"/>
  <c r="AX165" i="2"/>
  <c r="AX164" i="2"/>
  <c r="AX163" i="2"/>
  <c r="AX162" i="2"/>
  <c r="AX161" i="2"/>
  <c r="AX160" i="2"/>
  <c r="AX159" i="2"/>
  <c r="AX158" i="2"/>
  <c r="AX157" i="2"/>
  <c r="AX156" i="2"/>
  <c r="AX155" i="2"/>
  <c r="AX154" i="2"/>
  <c r="AX153" i="2"/>
  <c r="AX152" i="2"/>
  <c r="AX151" i="2"/>
  <c r="BC151" i="2" s="1"/>
  <c r="AX150" i="2"/>
  <c r="AX149" i="2"/>
  <c r="AX148" i="2"/>
  <c r="AX147" i="2"/>
  <c r="AX146" i="2"/>
  <c r="AX145" i="2"/>
  <c r="AX144" i="2"/>
  <c r="AX143" i="2"/>
  <c r="AX142" i="2"/>
  <c r="AX141" i="2"/>
  <c r="AX140" i="2"/>
  <c r="AX139" i="2"/>
  <c r="AX138" i="2"/>
  <c r="AX137" i="2"/>
  <c r="AX136" i="2"/>
  <c r="AX135" i="2"/>
  <c r="BC135" i="2" s="1"/>
  <c r="AX134" i="2"/>
  <c r="AX133" i="2"/>
  <c r="AX132" i="2"/>
  <c r="AX131" i="2"/>
  <c r="AX130" i="2"/>
  <c r="AX129" i="2"/>
  <c r="AX128" i="2"/>
  <c r="AX127" i="2"/>
  <c r="AX126" i="2"/>
  <c r="AX125" i="2"/>
  <c r="AX124" i="2"/>
  <c r="AX123" i="2"/>
  <c r="AX122" i="2"/>
  <c r="AX121" i="2"/>
  <c r="AX120" i="2"/>
  <c r="AX119" i="2"/>
  <c r="BC119" i="2" s="1"/>
  <c r="AX118" i="2"/>
  <c r="AX117" i="2"/>
  <c r="AX116" i="2"/>
  <c r="AX115" i="2"/>
  <c r="AX114" i="2"/>
  <c r="AX113" i="2"/>
  <c r="AX112" i="2"/>
  <c r="AX111" i="2"/>
  <c r="AX110" i="2"/>
  <c r="AX109" i="2"/>
  <c r="AX108" i="2"/>
  <c r="AX107" i="2"/>
  <c r="AX106" i="2"/>
  <c r="AX105" i="2"/>
  <c r="AX104" i="2"/>
  <c r="AX103" i="2"/>
  <c r="BC103" i="2" s="1"/>
  <c r="AX102" i="2"/>
  <c r="AX101" i="2"/>
  <c r="AX100" i="2"/>
  <c r="AX99" i="2"/>
  <c r="AX98" i="2"/>
  <c r="AX97" i="2"/>
  <c r="AX96" i="2"/>
  <c r="AX95" i="2"/>
  <c r="AX94" i="2"/>
  <c r="AX93" i="2"/>
  <c r="AX92" i="2"/>
  <c r="AX91" i="2"/>
  <c r="AX90" i="2"/>
  <c r="AX89" i="2"/>
  <c r="AX88" i="2"/>
  <c r="AX87" i="2"/>
  <c r="BC87" i="2" s="1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BC71" i="2" s="1"/>
  <c r="AX70" i="2"/>
  <c r="AX69" i="2"/>
  <c r="AX68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5" i="2"/>
  <c r="BC55" i="2" s="1"/>
  <c r="AX54" i="2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BD39" i="2" s="1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BD23" i="2" s="1"/>
  <c r="AX22" i="2"/>
  <c r="AX21" i="2"/>
  <c r="AX20" i="2"/>
  <c r="AX19" i="2"/>
  <c r="AX18" i="2"/>
  <c r="AX17" i="2"/>
  <c r="AX16" i="2"/>
  <c r="AX15" i="2"/>
  <c r="AX14" i="2"/>
  <c r="AX13" i="2"/>
  <c r="BD13" i="2" s="1"/>
  <c r="BD278" i="2"/>
  <c r="BC278" i="2"/>
  <c r="BD277" i="2"/>
  <c r="BC277" i="2"/>
  <c r="BD276" i="2"/>
  <c r="BC276" i="2"/>
  <c r="BD275" i="2"/>
  <c r="BC275" i="2"/>
  <c r="BD274" i="2"/>
  <c r="BC274" i="2"/>
  <c r="BD273" i="2"/>
  <c r="BC273" i="2"/>
  <c r="BD272" i="2"/>
  <c r="BC272" i="2"/>
  <c r="BD271" i="2"/>
  <c r="BC271" i="2"/>
  <c r="BD270" i="2"/>
  <c r="BC270" i="2"/>
  <c r="BD269" i="2"/>
  <c r="BC269" i="2"/>
  <c r="BD268" i="2"/>
  <c r="BC268" i="2"/>
  <c r="BC267" i="2"/>
  <c r="BC266" i="2"/>
  <c r="BD265" i="2"/>
  <c r="BC265" i="2"/>
  <c r="BC264" i="2"/>
  <c r="BD262" i="2"/>
  <c r="BC262" i="2"/>
  <c r="BD261" i="2"/>
  <c r="BC261" i="2"/>
  <c r="BD260" i="2"/>
  <c r="BC260" i="2"/>
  <c r="BD259" i="2"/>
  <c r="BC259" i="2"/>
  <c r="BD258" i="2"/>
  <c r="BC258" i="2"/>
  <c r="BD257" i="2"/>
  <c r="BC257" i="2"/>
  <c r="BD256" i="2"/>
  <c r="BC256" i="2"/>
  <c r="BD255" i="2"/>
  <c r="BC255" i="2"/>
  <c r="BD254" i="2"/>
  <c r="BC254" i="2"/>
  <c r="BD253" i="2"/>
  <c r="BC253" i="2"/>
  <c r="BD252" i="2"/>
  <c r="BC252" i="2"/>
  <c r="BC251" i="2"/>
  <c r="BD250" i="2"/>
  <c r="BC250" i="2"/>
  <c r="BD249" i="2"/>
  <c r="BC249" i="2"/>
  <c r="BC248" i="2"/>
  <c r="BD246" i="2"/>
  <c r="BC246" i="2"/>
  <c r="BD245" i="2"/>
  <c r="BC245" i="2"/>
  <c r="BD244" i="2"/>
  <c r="BC244" i="2"/>
  <c r="BD243" i="2"/>
  <c r="BC243" i="2"/>
  <c r="BD242" i="2"/>
  <c r="BC242" i="2"/>
  <c r="BD241" i="2"/>
  <c r="BC241" i="2"/>
  <c r="BD240" i="2"/>
  <c r="BC240" i="2"/>
  <c r="BD239" i="2"/>
  <c r="BC239" i="2"/>
  <c r="BD238" i="2"/>
  <c r="BC238" i="2"/>
  <c r="BD237" i="2"/>
  <c r="BC237" i="2"/>
  <c r="BD236" i="2"/>
  <c r="BC236" i="2"/>
  <c r="BD235" i="2"/>
  <c r="BC235" i="2"/>
  <c r="BD234" i="2"/>
  <c r="BC234" i="2"/>
  <c r="BD233" i="2"/>
  <c r="BC233" i="2"/>
  <c r="BC232" i="2"/>
  <c r="BD230" i="2"/>
  <c r="BC230" i="2"/>
  <c r="BD229" i="2"/>
  <c r="BC229" i="2"/>
  <c r="BD228" i="2"/>
  <c r="BC228" i="2"/>
  <c r="BD227" i="2"/>
  <c r="BC227" i="2"/>
  <c r="BD226" i="2"/>
  <c r="BC226" i="2"/>
  <c r="BD225" i="2"/>
  <c r="BC225" i="2"/>
  <c r="BD224" i="2"/>
  <c r="BC224" i="2"/>
  <c r="BD223" i="2"/>
  <c r="BC223" i="2"/>
  <c r="BD222" i="2"/>
  <c r="BC222" i="2"/>
  <c r="BD221" i="2"/>
  <c r="BC221" i="2"/>
  <c r="BD220" i="2"/>
  <c r="BC220" i="2"/>
  <c r="BD219" i="2"/>
  <c r="BC219" i="2"/>
  <c r="BD218" i="2"/>
  <c r="BC218" i="2"/>
  <c r="BD217" i="2"/>
  <c r="BC217" i="2"/>
  <c r="BC216" i="2"/>
  <c r="BD214" i="2"/>
  <c r="BC214" i="2"/>
  <c r="BD213" i="2"/>
  <c r="BC213" i="2"/>
  <c r="BD212" i="2"/>
  <c r="BC212" i="2"/>
  <c r="BD211" i="2"/>
  <c r="BC211" i="2"/>
  <c r="BD210" i="2"/>
  <c r="BC210" i="2"/>
  <c r="BD209" i="2"/>
  <c r="BC209" i="2"/>
  <c r="BD208" i="2"/>
  <c r="BC208" i="2"/>
  <c r="BD207" i="2"/>
  <c r="BC207" i="2"/>
  <c r="BD206" i="2"/>
  <c r="BC206" i="2"/>
  <c r="BD205" i="2"/>
  <c r="BC205" i="2"/>
  <c r="BD204" i="2"/>
  <c r="BC204" i="2"/>
  <c r="BD203" i="2"/>
  <c r="BC203" i="2"/>
  <c r="BD202" i="2"/>
  <c r="BC202" i="2"/>
  <c r="BD201" i="2"/>
  <c r="BC201" i="2"/>
  <c r="BD200" i="2"/>
  <c r="BC200" i="2"/>
  <c r="BD198" i="2"/>
  <c r="BC198" i="2"/>
  <c r="BD197" i="2"/>
  <c r="BC197" i="2"/>
  <c r="BD196" i="2"/>
  <c r="BC196" i="2"/>
  <c r="BD195" i="2"/>
  <c r="BC195" i="2"/>
  <c r="BD194" i="2"/>
  <c r="BC194" i="2"/>
  <c r="BD193" i="2"/>
  <c r="BC193" i="2"/>
  <c r="BD192" i="2"/>
  <c r="BC192" i="2"/>
  <c r="BD191" i="2"/>
  <c r="BC191" i="2"/>
  <c r="BD190" i="2"/>
  <c r="BC190" i="2"/>
  <c r="BD189" i="2"/>
  <c r="BC189" i="2"/>
  <c r="BD188" i="2"/>
  <c r="BC188" i="2"/>
  <c r="BD187" i="2"/>
  <c r="BC187" i="2"/>
  <c r="BD186" i="2"/>
  <c r="BC186" i="2"/>
  <c r="BD185" i="2"/>
  <c r="BC185" i="2"/>
  <c r="BD184" i="2"/>
  <c r="BC184" i="2"/>
  <c r="BD182" i="2"/>
  <c r="BC182" i="2"/>
  <c r="BD181" i="2"/>
  <c r="BC181" i="2"/>
  <c r="BD180" i="2"/>
  <c r="BC180" i="2"/>
  <c r="BD179" i="2"/>
  <c r="BC179" i="2"/>
  <c r="BD178" i="2"/>
  <c r="BC178" i="2"/>
  <c r="BD177" i="2"/>
  <c r="BC177" i="2"/>
  <c r="BD176" i="2"/>
  <c r="BC176" i="2"/>
  <c r="BD175" i="2"/>
  <c r="BC175" i="2"/>
  <c r="BD174" i="2"/>
  <c r="BC174" i="2"/>
  <c r="BD173" i="2"/>
  <c r="BC173" i="2"/>
  <c r="BD172" i="2"/>
  <c r="BC172" i="2"/>
  <c r="BD171" i="2"/>
  <c r="BC171" i="2"/>
  <c r="BD170" i="2"/>
  <c r="BC170" i="2"/>
  <c r="BD169" i="2"/>
  <c r="BC169" i="2"/>
  <c r="BD168" i="2"/>
  <c r="BC168" i="2"/>
  <c r="BD166" i="2"/>
  <c r="BC166" i="2"/>
  <c r="BD165" i="2"/>
  <c r="BC165" i="2"/>
  <c r="BD164" i="2"/>
  <c r="BC164" i="2"/>
  <c r="BD163" i="2"/>
  <c r="BC163" i="2"/>
  <c r="BD162" i="2"/>
  <c r="BC162" i="2"/>
  <c r="BD161" i="2"/>
  <c r="BC161" i="2"/>
  <c r="BD160" i="2"/>
  <c r="BC160" i="2"/>
  <c r="BD159" i="2"/>
  <c r="BC159" i="2"/>
  <c r="BD158" i="2"/>
  <c r="BC158" i="2"/>
  <c r="BD157" i="2"/>
  <c r="BC157" i="2"/>
  <c r="BD156" i="2"/>
  <c r="BC156" i="2"/>
  <c r="BD155" i="2"/>
  <c r="BC155" i="2"/>
  <c r="BD154" i="2"/>
  <c r="BC154" i="2"/>
  <c r="BD153" i="2"/>
  <c r="BC153" i="2"/>
  <c r="BD152" i="2"/>
  <c r="BC152" i="2"/>
  <c r="BD150" i="2"/>
  <c r="BC150" i="2"/>
  <c r="BD149" i="2"/>
  <c r="BC149" i="2"/>
  <c r="BD148" i="2"/>
  <c r="BC148" i="2"/>
  <c r="BD147" i="2"/>
  <c r="BC147" i="2"/>
  <c r="BD146" i="2"/>
  <c r="BC146" i="2"/>
  <c r="BD145" i="2"/>
  <c r="BC145" i="2"/>
  <c r="BD144" i="2"/>
  <c r="BC144" i="2"/>
  <c r="BD143" i="2"/>
  <c r="BC143" i="2"/>
  <c r="BD142" i="2"/>
  <c r="BC142" i="2"/>
  <c r="BD141" i="2"/>
  <c r="BC141" i="2"/>
  <c r="BD140" i="2"/>
  <c r="BC140" i="2"/>
  <c r="BD139" i="2"/>
  <c r="BC139" i="2"/>
  <c r="BD138" i="2"/>
  <c r="BC138" i="2"/>
  <c r="BD137" i="2"/>
  <c r="BC137" i="2"/>
  <c r="BD136" i="2"/>
  <c r="BC136" i="2"/>
  <c r="BD134" i="2"/>
  <c r="BC134" i="2"/>
  <c r="BD133" i="2"/>
  <c r="BC133" i="2"/>
  <c r="BD132" i="2"/>
  <c r="BC132" i="2"/>
  <c r="BD131" i="2"/>
  <c r="BC131" i="2"/>
  <c r="BD130" i="2"/>
  <c r="BC130" i="2"/>
  <c r="BD129" i="2"/>
  <c r="BC129" i="2"/>
  <c r="BD128" i="2"/>
  <c r="BC128" i="2"/>
  <c r="BD127" i="2"/>
  <c r="BC127" i="2"/>
  <c r="BD126" i="2"/>
  <c r="BC126" i="2"/>
  <c r="BD125" i="2"/>
  <c r="BC125" i="2"/>
  <c r="BD124" i="2"/>
  <c r="BC124" i="2"/>
  <c r="BD123" i="2"/>
  <c r="BC123" i="2"/>
  <c r="BD122" i="2"/>
  <c r="BC122" i="2"/>
  <c r="BD121" i="2"/>
  <c r="BC121" i="2"/>
  <c r="BD120" i="2"/>
  <c r="BC120" i="2"/>
  <c r="BD118" i="2"/>
  <c r="BC118" i="2"/>
  <c r="BD117" i="2"/>
  <c r="BC117" i="2"/>
  <c r="BD116" i="2"/>
  <c r="BC116" i="2"/>
  <c r="BD115" i="2"/>
  <c r="BC115" i="2"/>
  <c r="BD114" i="2"/>
  <c r="BC114" i="2"/>
  <c r="BD113" i="2"/>
  <c r="BC113" i="2"/>
  <c r="BD112" i="2"/>
  <c r="BC112" i="2"/>
  <c r="BD111" i="2"/>
  <c r="BC111" i="2"/>
  <c r="BD110" i="2"/>
  <c r="BC110" i="2"/>
  <c r="BD109" i="2"/>
  <c r="BC109" i="2"/>
  <c r="BD108" i="2"/>
  <c r="BC108" i="2"/>
  <c r="BD107" i="2"/>
  <c r="BC107" i="2"/>
  <c r="BD106" i="2"/>
  <c r="BC106" i="2"/>
  <c r="BD105" i="2"/>
  <c r="BC105" i="2"/>
  <c r="BD104" i="2"/>
  <c r="BC104" i="2"/>
  <c r="BD102" i="2"/>
  <c r="BC102" i="2"/>
  <c r="BD101" i="2"/>
  <c r="BC101" i="2"/>
  <c r="BD100" i="2"/>
  <c r="BC100" i="2"/>
  <c r="BD99" i="2"/>
  <c r="BC99" i="2"/>
  <c r="BD98" i="2"/>
  <c r="BC98" i="2"/>
  <c r="BD97" i="2"/>
  <c r="BC97" i="2"/>
  <c r="BD96" i="2"/>
  <c r="BC96" i="2"/>
  <c r="BD95" i="2"/>
  <c r="BC95" i="2"/>
  <c r="BD94" i="2"/>
  <c r="BC94" i="2"/>
  <c r="BD93" i="2"/>
  <c r="BC93" i="2"/>
  <c r="BD92" i="2"/>
  <c r="BC92" i="2"/>
  <c r="BD91" i="2"/>
  <c r="BC91" i="2"/>
  <c r="BD90" i="2"/>
  <c r="BC90" i="2"/>
  <c r="BD89" i="2"/>
  <c r="BC89" i="2"/>
  <c r="BD88" i="2"/>
  <c r="BC88" i="2"/>
  <c r="BD86" i="2"/>
  <c r="BC86" i="2"/>
  <c r="BD85" i="2"/>
  <c r="BC85" i="2"/>
  <c r="BD84" i="2"/>
  <c r="BC84" i="2"/>
  <c r="BD83" i="2"/>
  <c r="BC83" i="2"/>
  <c r="BD82" i="2"/>
  <c r="BC82" i="2"/>
  <c r="BD81" i="2"/>
  <c r="BC81" i="2"/>
  <c r="BD80" i="2"/>
  <c r="BC80" i="2"/>
  <c r="BD79" i="2"/>
  <c r="BC79" i="2"/>
  <c r="BD78" i="2"/>
  <c r="BC78" i="2"/>
  <c r="BD77" i="2"/>
  <c r="BC77" i="2"/>
  <c r="BD76" i="2"/>
  <c r="BC76" i="2"/>
  <c r="BD75" i="2"/>
  <c r="BC75" i="2"/>
  <c r="BD74" i="2"/>
  <c r="BC74" i="2"/>
  <c r="BD73" i="2"/>
  <c r="BC73" i="2"/>
  <c r="BD72" i="2"/>
  <c r="BC72" i="2"/>
  <c r="BD70" i="2"/>
  <c r="BC70" i="2"/>
  <c r="BD69" i="2"/>
  <c r="BC69" i="2"/>
  <c r="BD68" i="2"/>
  <c r="BC68" i="2"/>
  <c r="BD67" i="2"/>
  <c r="BC67" i="2"/>
  <c r="BD66" i="2"/>
  <c r="BC66" i="2"/>
  <c r="BD65" i="2"/>
  <c r="BC65" i="2"/>
  <c r="BD64" i="2"/>
  <c r="BC6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C31" i="2"/>
  <c r="BC30" i="2"/>
  <c r="BC29" i="2"/>
  <c r="BC28" i="2"/>
  <c r="BC27" i="2"/>
  <c r="BC26" i="2"/>
  <c r="BC25" i="2"/>
  <c r="BC24" i="2"/>
  <c r="BC22" i="2"/>
  <c r="BC21" i="2"/>
  <c r="BC20" i="2"/>
  <c r="BC19" i="2"/>
  <c r="BC18" i="2"/>
  <c r="BC17" i="2"/>
  <c r="BC16" i="2"/>
  <c r="BC15" i="2"/>
  <c r="BC14" i="2"/>
  <c r="BD31" i="2"/>
  <c r="BD30" i="2"/>
  <c r="BD29" i="2"/>
  <c r="BD28" i="2"/>
  <c r="BD27" i="2"/>
  <c r="BD26" i="2"/>
  <c r="BD25" i="2"/>
  <c r="BD24" i="2"/>
  <c r="BD22" i="2"/>
  <c r="BD21" i="2"/>
  <c r="BD20" i="2"/>
  <c r="BD19" i="2"/>
  <c r="BD18" i="2"/>
  <c r="BD17" i="2"/>
  <c r="BD16" i="2"/>
  <c r="BD15" i="2"/>
  <c r="BD14" i="2"/>
  <c r="AW16" i="2"/>
  <c r="AW17" i="2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W49" i="2" s="1"/>
  <c r="AW50" i="2" s="1"/>
  <c r="AW51" i="2" s="1"/>
  <c r="AW52" i="2" s="1"/>
  <c r="AW53" i="2" s="1"/>
  <c r="AW54" i="2" s="1"/>
  <c r="AW55" i="2" s="1"/>
  <c r="AW56" i="2" s="1"/>
  <c r="AW57" i="2" s="1"/>
  <c r="AW58" i="2" s="1"/>
  <c r="AW59" i="2" s="1"/>
  <c r="AW60" i="2" s="1"/>
  <c r="AW61" i="2" s="1"/>
  <c r="AW62" i="2" s="1"/>
  <c r="AW63" i="2" s="1"/>
  <c r="AW64" i="2" s="1"/>
  <c r="AW65" i="2" s="1"/>
  <c r="AW66" i="2" s="1"/>
  <c r="AW67" i="2" s="1"/>
  <c r="AW68" i="2" s="1"/>
  <c r="AW69" i="2" s="1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W89" i="2" s="1"/>
  <c r="AW90" i="2" s="1"/>
  <c r="AW91" i="2" s="1"/>
  <c r="AW92" i="2" s="1"/>
  <c r="AW93" i="2" s="1"/>
  <c r="AW94" i="2" s="1"/>
  <c r="AW95" i="2" s="1"/>
  <c r="AW96" i="2" s="1"/>
  <c r="AW97" i="2" s="1"/>
  <c r="AW98" i="2" s="1"/>
  <c r="AW99" i="2" s="1"/>
  <c r="AW100" i="2" s="1"/>
  <c r="AW101" i="2" s="1"/>
  <c r="AW102" i="2" s="1"/>
  <c r="AW103" i="2" s="1"/>
  <c r="AW104" i="2" s="1"/>
  <c r="AW105" i="2" s="1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W137" i="2" s="1"/>
  <c r="AW138" i="2" s="1"/>
  <c r="AW139" i="2" s="1"/>
  <c r="AW140" i="2" s="1"/>
  <c r="AW141" i="2" s="1"/>
  <c r="AW142" i="2" s="1"/>
  <c r="AW143" i="2" s="1"/>
  <c r="AW144" i="2" s="1"/>
  <c r="AW145" i="2" s="1"/>
  <c r="AW146" i="2" s="1"/>
  <c r="AW147" i="2" s="1"/>
  <c r="AW148" i="2" s="1"/>
  <c r="AW149" i="2" s="1"/>
  <c r="AW150" i="2" s="1"/>
  <c r="AW151" i="2" s="1"/>
  <c r="AW152" i="2" s="1"/>
  <c r="AW153" i="2" s="1"/>
  <c r="AW154" i="2" s="1"/>
  <c r="AW155" i="2" s="1"/>
  <c r="AW156" i="2" s="1"/>
  <c r="AW157" i="2" s="1"/>
  <c r="AW158" i="2" s="1"/>
  <c r="AW159" i="2" s="1"/>
  <c r="AW160" i="2" s="1"/>
  <c r="AW161" i="2" s="1"/>
  <c r="AW162" i="2" s="1"/>
  <c r="AW163" i="2" s="1"/>
  <c r="AW164" i="2" s="1"/>
  <c r="AW165" i="2" s="1"/>
  <c r="AW166" i="2" s="1"/>
  <c r="AW167" i="2" s="1"/>
  <c r="AW168" i="2" s="1"/>
  <c r="AW169" i="2" s="1"/>
  <c r="AW170" i="2" s="1"/>
  <c r="AW171" i="2" s="1"/>
  <c r="AW172" i="2" s="1"/>
  <c r="AW173" i="2" s="1"/>
  <c r="AW174" i="2" s="1"/>
  <c r="AW175" i="2" s="1"/>
  <c r="AW176" i="2" s="1"/>
  <c r="AW177" i="2" s="1"/>
  <c r="AW178" i="2" s="1"/>
  <c r="AW179" i="2" s="1"/>
  <c r="AW180" i="2" s="1"/>
  <c r="AW181" i="2" s="1"/>
  <c r="AW182" i="2" s="1"/>
  <c r="AW183" i="2" s="1"/>
  <c r="AW184" i="2" s="1"/>
  <c r="AW185" i="2" s="1"/>
  <c r="AW186" i="2" s="1"/>
  <c r="AW187" i="2" s="1"/>
  <c r="AW188" i="2" s="1"/>
  <c r="AW189" i="2" s="1"/>
  <c r="AW190" i="2" s="1"/>
  <c r="AW191" i="2" s="1"/>
  <c r="AW192" i="2" s="1"/>
  <c r="AW193" i="2" s="1"/>
  <c r="AW194" i="2" s="1"/>
  <c r="AW195" i="2" s="1"/>
  <c r="AW196" i="2" s="1"/>
  <c r="AW197" i="2" s="1"/>
  <c r="AW198" i="2" s="1"/>
  <c r="AW199" i="2" s="1"/>
  <c r="AW200" i="2" s="1"/>
  <c r="AW201" i="2" s="1"/>
  <c r="AW202" i="2" s="1"/>
  <c r="AW203" i="2" s="1"/>
  <c r="AW204" i="2" s="1"/>
  <c r="AW205" i="2" s="1"/>
  <c r="AW206" i="2" s="1"/>
  <c r="AW207" i="2" s="1"/>
  <c r="AW208" i="2" s="1"/>
  <c r="AW209" i="2" s="1"/>
  <c r="AW210" i="2" s="1"/>
  <c r="AW211" i="2" s="1"/>
  <c r="AW212" i="2" s="1"/>
  <c r="AW213" i="2" s="1"/>
  <c r="AW214" i="2" s="1"/>
  <c r="AW215" i="2" s="1"/>
  <c r="AW216" i="2" s="1"/>
  <c r="AW217" i="2" s="1"/>
  <c r="AW218" i="2" s="1"/>
  <c r="AW219" i="2" s="1"/>
  <c r="AW220" i="2" s="1"/>
  <c r="AW221" i="2" s="1"/>
  <c r="AW222" i="2" s="1"/>
  <c r="AW223" i="2" s="1"/>
  <c r="AW224" i="2" s="1"/>
  <c r="AW225" i="2" s="1"/>
  <c r="AW226" i="2" s="1"/>
  <c r="AW227" i="2" s="1"/>
  <c r="AW228" i="2" s="1"/>
  <c r="AW229" i="2" s="1"/>
  <c r="AW230" i="2" s="1"/>
  <c r="AW231" i="2" s="1"/>
  <c r="AW232" i="2" s="1"/>
  <c r="AW233" i="2" s="1"/>
  <c r="AW234" i="2" s="1"/>
  <c r="AW235" i="2" s="1"/>
  <c r="AW236" i="2" s="1"/>
  <c r="AW237" i="2" s="1"/>
  <c r="AW238" i="2" s="1"/>
  <c r="AW239" i="2" s="1"/>
  <c r="AW240" i="2" s="1"/>
  <c r="AW241" i="2" s="1"/>
  <c r="AW242" i="2" s="1"/>
  <c r="AW243" i="2" s="1"/>
  <c r="AW244" i="2" s="1"/>
  <c r="AW245" i="2" s="1"/>
  <c r="AW246" i="2" s="1"/>
  <c r="AW247" i="2" s="1"/>
  <c r="AW248" i="2" s="1"/>
  <c r="AW249" i="2" s="1"/>
  <c r="AW250" i="2" s="1"/>
  <c r="AW251" i="2" s="1"/>
  <c r="AW252" i="2" s="1"/>
  <c r="AW253" i="2" s="1"/>
  <c r="AW254" i="2" s="1"/>
  <c r="AW255" i="2" s="1"/>
  <c r="AW256" i="2" s="1"/>
  <c r="AW257" i="2" s="1"/>
  <c r="AW258" i="2" s="1"/>
  <c r="AW259" i="2" s="1"/>
  <c r="AW260" i="2" s="1"/>
  <c r="AW261" i="2" s="1"/>
  <c r="AW262" i="2" s="1"/>
  <c r="AW263" i="2" s="1"/>
  <c r="AW264" i="2" s="1"/>
  <c r="AW265" i="2" s="1"/>
  <c r="AW266" i="2" s="1"/>
  <c r="AW267" i="2" s="1"/>
  <c r="AW268" i="2" s="1"/>
  <c r="AW269" i="2" s="1"/>
  <c r="AW270" i="2" s="1"/>
  <c r="AW271" i="2" s="1"/>
  <c r="AW272" i="2" s="1"/>
  <c r="AW273" i="2" s="1"/>
  <c r="AW274" i="2" s="1"/>
  <c r="AW275" i="2" s="1"/>
  <c r="AW276" i="2" s="1"/>
  <c r="AW277" i="2" s="1"/>
  <c r="AW278" i="2" s="1"/>
  <c r="AW15" i="2"/>
  <c r="AW14" i="2"/>
  <c r="AT10" i="2"/>
  <c r="AG14" i="2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55" i="2" s="1"/>
  <c r="AG56" i="2" s="1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G138" i="2" s="1"/>
  <c r="AG139" i="2" s="1"/>
  <c r="AG140" i="2" s="1"/>
  <c r="AG141" i="2" s="1"/>
  <c r="AG142" i="2" s="1"/>
  <c r="AG143" i="2" s="1"/>
  <c r="AG144" i="2" s="1"/>
  <c r="AG145" i="2" s="1"/>
  <c r="AG146" i="2" s="1"/>
  <c r="AG147" i="2" s="1"/>
  <c r="AG148" i="2" s="1"/>
  <c r="AG149" i="2" s="1"/>
  <c r="AG150" i="2" s="1"/>
  <c r="AG151" i="2" s="1"/>
  <c r="AG152" i="2" s="1"/>
  <c r="AG153" i="2" s="1"/>
  <c r="AG154" i="2" s="1"/>
  <c r="AG155" i="2" s="1"/>
  <c r="AG156" i="2" s="1"/>
  <c r="AG157" i="2" s="1"/>
  <c r="AG158" i="2" s="1"/>
  <c r="AG159" i="2" s="1"/>
  <c r="AG160" i="2" s="1"/>
  <c r="AG161" i="2" s="1"/>
  <c r="AG162" i="2" s="1"/>
  <c r="AG163" i="2" s="1"/>
  <c r="AG164" i="2" s="1"/>
  <c r="AG165" i="2" s="1"/>
  <c r="AG166" i="2" s="1"/>
  <c r="AG167" i="2" s="1"/>
  <c r="AG168" i="2" s="1"/>
  <c r="AG169" i="2" s="1"/>
  <c r="AG170" i="2" s="1"/>
  <c r="AG171" i="2" s="1"/>
  <c r="AG172" i="2" s="1"/>
  <c r="AG173" i="2" s="1"/>
  <c r="AG174" i="2" s="1"/>
  <c r="AG175" i="2" s="1"/>
  <c r="AG176" i="2" s="1"/>
  <c r="AG177" i="2" s="1"/>
  <c r="AG178" i="2" s="1"/>
  <c r="AG179" i="2" s="1"/>
  <c r="AG180" i="2" s="1"/>
  <c r="AG181" i="2" s="1"/>
  <c r="AG182" i="2" s="1"/>
  <c r="AG183" i="2" s="1"/>
  <c r="AG184" i="2" s="1"/>
  <c r="AG185" i="2" s="1"/>
  <c r="AG186" i="2" s="1"/>
  <c r="AG187" i="2" s="1"/>
  <c r="AG188" i="2" s="1"/>
  <c r="AG189" i="2" s="1"/>
  <c r="AG190" i="2" s="1"/>
  <c r="AG191" i="2" s="1"/>
  <c r="AG192" i="2" s="1"/>
  <c r="AG193" i="2" s="1"/>
  <c r="AG194" i="2" s="1"/>
  <c r="AG195" i="2" s="1"/>
  <c r="AG196" i="2" s="1"/>
  <c r="AG197" i="2" s="1"/>
  <c r="AG198" i="2" s="1"/>
  <c r="AG199" i="2" s="1"/>
  <c r="AG200" i="2" s="1"/>
  <c r="AG201" i="2" s="1"/>
  <c r="AG202" i="2" s="1"/>
  <c r="AG203" i="2" s="1"/>
  <c r="AG204" i="2" s="1"/>
  <c r="AG205" i="2" s="1"/>
  <c r="AG206" i="2" s="1"/>
  <c r="AG207" i="2" s="1"/>
  <c r="AG208" i="2" s="1"/>
  <c r="AG209" i="2" s="1"/>
  <c r="AG210" i="2" s="1"/>
  <c r="AG211" i="2" s="1"/>
  <c r="AG212" i="2" s="1"/>
  <c r="AG213" i="2" s="1"/>
  <c r="AG214" i="2" s="1"/>
  <c r="AG215" i="2" s="1"/>
  <c r="AG216" i="2" s="1"/>
  <c r="AG217" i="2" s="1"/>
  <c r="AG218" i="2" s="1"/>
  <c r="AG219" i="2" s="1"/>
  <c r="AG220" i="2" s="1"/>
  <c r="AG221" i="2" s="1"/>
  <c r="AG222" i="2" s="1"/>
  <c r="AG223" i="2" s="1"/>
  <c r="AG224" i="2" s="1"/>
  <c r="AG225" i="2" s="1"/>
  <c r="AG226" i="2" s="1"/>
  <c r="AG227" i="2" s="1"/>
  <c r="AG228" i="2" s="1"/>
  <c r="AG229" i="2" s="1"/>
  <c r="AG230" i="2" s="1"/>
  <c r="AG231" i="2" s="1"/>
  <c r="AG232" i="2" s="1"/>
  <c r="AG233" i="2" s="1"/>
  <c r="AG234" i="2" s="1"/>
  <c r="AG235" i="2" s="1"/>
  <c r="AG236" i="2" s="1"/>
  <c r="AG237" i="2" s="1"/>
  <c r="AG238" i="2" s="1"/>
  <c r="AG239" i="2" s="1"/>
  <c r="AG240" i="2" s="1"/>
  <c r="AG241" i="2" s="1"/>
  <c r="AG242" i="2" s="1"/>
  <c r="AG243" i="2" s="1"/>
  <c r="AG244" i="2" s="1"/>
  <c r="AG245" i="2" s="1"/>
  <c r="AG246" i="2" s="1"/>
  <c r="AG247" i="2" s="1"/>
  <c r="AG248" i="2" s="1"/>
  <c r="AG249" i="2" s="1"/>
  <c r="AG250" i="2" s="1"/>
  <c r="AG251" i="2" s="1"/>
  <c r="AG252" i="2" s="1"/>
  <c r="AG253" i="2" s="1"/>
  <c r="AG254" i="2" s="1"/>
  <c r="AG255" i="2" s="1"/>
  <c r="AG256" i="2" s="1"/>
  <c r="AG257" i="2" s="1"/>
  <c r="AG258" i="2" s="1"/>
  <c r="AG259" i="2" s="1"/>
  <c r="AG260" i="2" s="1"/>
  <c r="AG261" i="2" s="1"/>
  <c r="AG262" i="2" s="1"/>
  <c r="AG263" i="2" s="1"/>
  <c r="AG264" i="2" s="1"/>
  <c r="AG265" i="2" s="1"/>
  <c r="AG266" i="2" s="1"/>
  <c r="AG267" i="2" s="1"/>
  <c r="AG268" i="2" s="1"/>
  <c r="AG269" i="2" s="1"/>
  <c r="AG270" i="2" s="1"/>
  <c r="AG271" i="2" s="1"/>
  <c r="AG272" i="2" s="1"/>
  <c r="AG273" i="2" s="1"/>
  <c r="AG274" i="2" s="1"/>
  <c r="AG275" i="2" s="1"/>
  <c r="AG276" i="2" s="1"/>
  <c r="AG277" i="2" s="1"/>
  <c r="AG278" i="2" s="1"/>
  <c r="AI12" i="2"/>
  <c r="AJ12" i="2" s="1"/>
  <c r="AE13" i="2"/>
  <c r="S13" i="2"/>
  <c r="R14" i="2"/>
  <c r="T12" i="2"/>
  <c r="U12" i="2" s="1"/>
  <c r="V12" i="2" s="1"/>
  <c r="W12" i="2" s="1"/>
  <c r="W13" i="2" s="1"/>
  <c r="C313" i="2"/>
  <c r="C314" i="2" s="1"/>
  <c r="C315" i="2" s="1"/>
  <c r="C316" i="2" s="1"/>
  <c r="E311" i="2"/>
  <c r="F311" i="2" s="1"/>
  <c r="G311" i="2" s="1"/>
  <c r="H311" i="2" s="1"/>
  <c r="I311" i="2" s="1"/>
  <c r="J311" i="2" s="1"/>
  <c r="K311" i="2" s="1"/>
  <c r="L311" i="2" s="1"/>
  <c r="M311" i="2" s="1"/>
  <c r="N311" i="2" s="1"/>
  <c r="O311" i="2" s="1"/>
  <c r="D288" i="2"/>
  <c r="C289" i="2"/>
  <c r="C290" i="2" s="1"/>
  <c r="E287" i="2"/>
  <c r="D13" i="2"/>
  <c r="K2" i="3"/>
  <c r="K3" i="3"/>
  <c r="B2" i="3"/>
  <c r="B4" i="3" s="1"/>
  <c r="C14" i="2"/>
  <c r="D14" i="2" s="1"/>
  <c r="E12" i="2"/>
  <c r="AE38" i="1"/>
  <c r="AM12" i="1"/>
  <c r="AK14" i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14" i="1"/>
  <c r="A15" i="1" s="1"/>
  <c r="A16" i="1" s="1"/>
  <c r="BC23" i="2" l="1"/>
  <c r="BC39" i="2"/>
  <c r="BC167" i="2"/>
  <c r="BC199" i="2"/>
  <c r="BC215" i="2"/>
  <c r="BC231" i="2"/>
  <c r="BC247" i="2"/>
  <c r="BC263" i="2"/>
  <c r="BD55" i="2"/>
  <c r="BD71" i="2"/>
  <c r="BD87" i="2"/>
  <c r="BD103" i="2"/>
  <c r="BD119" i="2"/>
  <c r="BD135" i="2"/>
  <c r="BD151" i="2"/>
  <c r="BD183" i="2"/>
  <c r="BC13" i="2"/>
  <c r="E13" i="2"/>
  <c r="T13" i="2"/>
  <c r="U13" i="2"/>
  <c r="AE14" i="2"/>
  <c r="W14" i="2"/>
  <c r="V14" i="2"/>
  <c r="S14" i="2"/>
  <c r="AH14" i="2" s="1"/>
  <c r="U14" i="2"/>
  <c r="T14" i="2"/>
  <c r="R15" i="2"/>
  <c r="V13" i="2"/>
  <c r="AH13" i="2"/>
  <c r="AI13" i="2"/>
  <c r="F287" i="2"/>
  <c r="G287" i="2" s="1"/>
  <c r="H287" i="2" s="1"/>
  <c r="I287" i="2" s="1"/>
  <c r="J287" i="2" s="1"/>
  <c r="K287" i="2" s="1"/>
  <c r="L287" i="2" s="1"/>
  <c r="M287" i="2" s="1"/>
  <c r="M289" i="2" s="1"/>
  <c r="E289" i="2"/>
  <c r="AK12" i="2"/>
  <c r="X12" i="2"/>
  <c r="X13" i="2" s="1"/>
  <c r="D312" i="2"/>
  <c r="D289" i="2"/>
  <c r="D313" i="2" s="1"/>
  <c r="D290" i="2"/>
  <c r="E290" i="2"/>
  <c r="E288" i="2"/>
  <c r="E312" i="2" s="1"/>
  <c r="C317" i="2"/>
  <c r="C15" i="2"/>
  <c r="E14" i="2"/>
  <c r="C291" i="2"/>
  <c r="F12" i="2"/>
  <c r="B3" i="3"/>
  <c r="AC12" i="1" s="1"/>
  <c r="AN12" i="1"/>
  <c r="AK36" i="1"/>
  <c r="A17" i="1"/>
  <c r="AM20" i="1"/>
  <c r="F288" i="2" l="1"/>
  <c r="L289" i="2"/>
  <c r="X14" i="2"/>
  <c r="L288" i="2"/>
  <c r="I290" i="2"/>
  <c r="F289" i="2"/>
  <c r="K290" i="2"/>
  <c r="G288" i="2"/>
  <c r="J288" i="2"/>
  <c r="K289" i="2"/>
  <c r="J289" i="2"/>
  <c r="G290" i="2"/>
  <c r="I288" i="2"/>
  <c r="M290" i="2"/>
  <c r="K288" i="2"/>
  <c r="H290" i="2"/>
  <c r="L290" i="2"/>
  <c r="H289" i="2"/>
  <c r="I289" i="2"/>
  <c r="H288" i="2"/>
  <c r="G289" i="2"/>
  <c r="F290" i="2"/>
  <c r="M291" i="2"/>
  <c r="J290" i="2"/>
  <c r="AE15" i="2"/>
  <c r="X15" i="2"/>
  <c r="W15" i="2"/>
  <c r="U15" i="2"/>
  <c r="T15" i="2"/>
  <c r="S15" i="2"/>
  <c r="R16" i="2"/>
  <c r="V15" i="2"/>
  <c r="E313" i="2"/>
  <c r="AI14" i="2"/>
  <c r="F291" i="2"/>
  <c r="N287" i="2"/>
  <c r="M288" i="2"/>
  <c r="AL12" i="2"/>
  <c r="Y12" i="2"/>
  <c r="E291" i="2"/>
  <c r="G291" i="2"/>
  <c r="H291" i="2"/>
  <c r="J291" i="2"/>
  <c r="D291" i="2"/>
  <c r="L291" i="2"/>
  <c r="K291" i="2"/>
  <c r="I291" i="2"/>
  <c r="E15" i="2"/>
  <c r="C318" i="2"/>
  <c r="C16" i="2"/>
  <c r="D15" i="2"/>
  <c r="G12" i="2"/>
  <c r="F14" i="2"/>
  <c r="F13" i="2"/>
  <c r="F15" i="2"/>
  <c r="C292" i="2"/>
  <c r="AC13" i="1"/>
  <c r="AC14" i="1" s="1"/>
  <c r="AC15" i="1" s="1"/>
  <c r="Y14" i="1"/>
  <c r="AL34" i="1"/>
  <c r="AM29" i="1"/>
  <c r="AL29" i="1"/>
  <c r="AL21" i="1"/>
  <c r="AL33" i="1"/>
  <c r="AM35" i="1"/>
  <c r="AL17" i="1"/>
  <c r="AL35" i="1"/>
  <c r="AM32" i="1"/>
  <c r="AL25" i="1"/>
  <c r="AM28" i="1"/>
  <c r="Y13" i="1"/>
  <c r="AM24" i="1"/>
  <c r="Y16" i="1"/>
  <c r="AM17" i="1"/>
  <c r="AM22" i="1"/>
  <c r="AM18" i="1"/>
  <c r="AM14" i="1"/>
  <c r="Y15" i="1"/>
  <c r="AM16" i="1"/>
  <c r="H15" i="1"/>
  <c r="H13" i="1"/>
  <c r="H17" i="1"/>
  <c r="H16" i="1"/>
  <c r="H14" i="1"/>
  <c r="AM25" i="1"/>
  <c r="AM21" i="1"/>
  <c r="Y17" i="1"/>
  <c r="AM13" i="1"/>
  <c r="AL30" i="1"/>
  <c r="AL26" i="1"/>
  <c r="V14" i="1"/>
  <c r="W14" i="1" s="1"/>
  <c r="AL13" i="1"/>
  <c r="AL32" i="1"/>
  <c r="AL28" i="1"/>
  <c r="AL24" i="1"/>
  <c r="AL20" i="1"/>
  <c r="AL16" i="1"/>
  <c r="AM31" i="1"/>
  <c r="AM19" i="1"/>
  <c r="AM27" i="1"/>
  <c r="AM15" i="1"/>
  <c r="AM23" i="1"/>
  <c r="AL22" i="1"/>
  <c r="AO12" i="1"/>
  <c r="AN34" i="1"/>
  <c r="AN30" i="1"/>
  <c r="AN26" i="1"/>
  <c r="AN22" i="1"/>
  <c r="AN18" i="1"/>
  <c r="AN14" i="1"/>
  <c r="AN33" i="1"/>
  <c r="AN29" i="1"/>
  <c r="AN25" i="1"/>
  <c r="AN21" i="1"/>
  <c r="AN17" i="1"/>
  <c r="AN13" i="1"/>
  <c r="AN19" i="1"/>
  <c r="AN15" i="1"/>
  <c r="AN28" i="1"/>
  <c r="AN31" i="1"/>
  <c r="AN24" i="1"/>
  <c r="AN16" i="1"/>
  <c r="AN27" i="1"/>
  <c r="AN20" i="1"/>
  <c r="AN23" i="1"/>
  <c r="AN32" i="1"/>
  <c r="AL27" i="1"/>
  <c r="AN35" i="1"/>
  <c r="AL23" i="1"/>
  <c r="AL18" i="1"/>
  <c r="V17" i="1"/>
  <c r="W17" i="1" s="1"/>
  <c r="AL19" i="1"/>
  <c r="AM30" i="1"/>
  <c r="AL14" i="1"/>
  <c r="AL31" i="1"/>
  <c r="AL15" i="1"/>
  <c r="AM26" i="1"/>
  <c r="AM33" i="1"/>
  <c r="AM34" i="1"/>
  <c r="AK37" i="1"/>
  <c r="AN36" i="1"/>
  <c r="AM36" i="1"/>
  <c r="AL36" i="1"/>
  <c r="V16" i="1"/>
  <c r="V15" i="1"/>
  <c r="V13" i="1"/>
  <c r="E17" i="1"/>
  <c r="E14" i="1"/>
  <c r="E16" i="1"/>
  <c r="AG13" i="1"/>
  <c r="E15" i="1"/>
  <c r="E13" i="1"/>
  <c r="AG12" i="1"/>
  <c r="B16" i="1"/>
  <c r="L16" i="1" s="1"/>
  <c r="B15" i="1"/>
  <c r="L15" i="1" s="1"/>
  <c r="B13" i="1"/>
  <c r="L13" i="1" s="1"/>
  <c r="B14" i="1"/>
  <c r="L14" i="1" s="1"/>
  <c r="A18" i="1"/>
  <c r="Y18" i="1" s="1"/>
  <c r="B17" i="1"/>
  <c r="L17" i="1" s="1"/>
  <c r="F314" i="2" l="1"/>
  <c r="O287" i="2"/>
  <c r="O292" i="2" s="1"/>
  <c r="N290" i="2"/>
  <c r="N288" i="2"/>
  <c r="N289" i="2"/>
  <c r="N291" i="2"/>
  <c r="E314" i="2"/>
  <c r="AI15" i="2"/>
  <c r="U16" i="2"/>
  <c r="T16" i="2"/>
  <c r="S16" i="2"/>
  <c r="Y16" i="2"/>
  <c r="X16" i="2"/>
  <c r="W16" i="2"/>
  <c r="V16" i="2"/>
  <c r="AE16" i="2"/>
  <c r="R17" i="2"/>
  <c r="AJ15" i="2"/>
  <c r="F312" i="2"/>
  <c r="AJ13" i="2"/>
  <c r="F313" i="2"/>
  <c r="AJ14" i="2"/>
  <c r="Y13" i="2"/>
  <c r="Y14" i="2"/>
  <c r="Y15" i="2"/>
  <c r="D314" i="2"/>
  <c r="AH15" i="2"/>
  <c r="AM12" i="2"/>
  <c r="Z12" i="2"/>
  <c r="N292" i="2"/>
  <c r="M292" i="2"/>
  <c r="D292" i="2"/>
  <c r="K292" i="2"/>
  <c r="H292" i="2"/>
  <c r="L292" i="2"/>
  <c r="G292" i="2"/>
  <c r="E292" i="2"/>
  <c r="I292" i="2"/>
  <c r="J292" i="2"/>
  <c r="F292" i="2"/>
  <c r="F16" i="2"/>
  <c r="C319" i="2"/>
  <c r="H12" i="2"/>
  <c r="G15" i="2"/>
  <c r="G14" i="2"/>
  <c r="G16" i="2"/>
  <c r="G13" i="2"/>
  <c r="C293" i="2"/>
  <c r="C17" i="2"/>
  <c r="E16" i="2"/>
  <c r="D16" i="2"/>
  <c r="G17" i="1"/>
  <c r="G15" i="1"/>
  <c r="I15" i="1" s="1"/>
  <c r="X17" i="1"/>
  <c r="D14" i="1"/>
  <c r="G14" i="1"/>
  <c r="I14" i="1" s="1"/>
  <c r="I17" i="1"/>
  <c r="Z17" i="1"/>
  <c r="Z14" i="1"/>
  <c r="D13" i="1"/>
  <c r="G13" i="1"/>
  <c r="I13" i="1" s="1"/>
  <c r="X14" i="1"/>
  <c r="D16" i="1"/>
  <c r="G16" i="1"/>
  <c r="I16" i="1" s="1"/>
  <c r="H18" i="1"/>
  <c r="AP12" i="1"/>
  <c r="AP37" i="1" s="1"/>
  <c r="AO34" i="1"/>
  <c r="AO30" i="1"/>
  <c r="AO26" i="1"/>
  <c r="AO22" i="1"/>
  <c r="AO18" i="1"/>
  <c r="AO14" i="1"/>
  <c r="AO20" i="1"/>
  <c r="AO32" i="1"/>
  <c r="AO33" i="1"/>
  <c r="AO29" i="1"/>
  <c r="AO25" i="1"/>
  <c r="AO21" i="1"/>
  <c r="AO17" i="1"/>
  <c r="AO13" i="1"/>
  <c r="AO16" i="1"/>
  <c r="AO28" i="1"/>
  <c r="AO24" i="1"/>
  <c r="AO31" i="1"/>
  <c r="AO15" i="1"/>
  <c r="AO23" i="1"/>
  <c r="AO27" i="1"/>
  <c r="AO19" i="1"/>
  <c r="AO35" i="1"/>
  <c r="AO36" i="1"/>
  <c r="AN37" i="1"/>
  <c r="AM37" i="1"/>
  <c r="AL37" i="1"/>
  <c r="AO37" i="1"/>
  <c r="AK38" i="1"/>
  <c r="X16" i="1"/>
  <c r="W16" i="1"/>
  <c r="Z16" i="1"/>
  <c r="X13" i="1"/>
  <c r="W13" i="1"/>
  <c r="Z13" i="1"/>
  <c r="W15" i="1"/>
  <c r="X15" i="1"/>
  <c r="Z15" i="1"/>
  <c r="C13" i="1"/>
  <c r="E18" i="1"/>
  <c r="V18" i="1"/>
  <c r="C14" i="1"/>
  <c r="C16" i="1"/>
  <c r="C17" i="1"/>
  <c r="D17" i="1"/>
  <c r="C15" i="1"/>
  <c r="D15" i="1"/>
  <c r="B18" i="1"/>
  <c r="L18" i="1" s="1"/>
  <c r="A19" i="1"/>
  <c r="G315" i="2" l="1"/>
  <c r="AK16" i="2"/>
  <c r="R18" i="2"/>
  <c r="X17" i="2"/>
  <c r="U17" i="2"/>
  <c r="W17" i="2"/>
  <c r="V17" i="2"/>
  <c r="T17" i="2"/>
  <c r="S17" i="2"/>
  <c r="AE17" i="2"/>
  <c r="AA17" i="2"/>
  <c r="Z17" i="2"/>
  <c r="Y17" i="2"/>
  <c r="G313" i="2"/>
  <c r="AK14" i="2"/>
  <c r="F315" i="2"/>
  <c r="AJ16" i="2"/>
  <c r="E315" i="2"/>
  <c r="AI16" i="2"/>
  <c r="G314" i="2"/>
  <c r="AK15" i="2"/>
  <c r="Z13" i="2"/>
  <c r="Z14" i="2"/>
  <c r="Z15" i="2"/>
  <c r="O288" i="2"/>
  <c r="O289" i="2"/>
  <c r="O290" i="2"/>
  <c r="O291" i="2"/>
  <c r="D315" i="2"/>
  <c r="AH16" i="2"/>
  <c r="Z16" i="2"/>
  <c r="G312" i="2"/>
  <c r="AK13" i="2"/>
  <c r="AN12" i="2"/>
  <c r="AA12" i="2"/>
  <c r="D293" i="2"/>
  <c r="J293" i="2"/>
  <c r="G293" i="2"/>
  <c r="H293" i="2"/>
  <c r="L293" i="2"/>
  <c r="K293" i="2"/>
  <c r="O293" i="2"/>
  <c r="I293" i="2"/>
  <c r="N293" i="2"/>
  <c r="F293" i="2"/>
  <c r="E293" i="2"/>
  <c r="M293" i="2"/>
  <c r="C320" i="2"/>
  <c r="C18" i="2"/>
  <c r="E17" i="2"/>
  <c r="D17" i="2"/>
  <c r="F17" i="2"/>
  <c r="G17" i="2"/>
  <c r="C294" i="2"/>
  <c r="I12" i="2"/>
  <c r="H13" i="2"/>
  <c r="H15" i="2"/>
  <c r="H16" i="2"/>
  <c r="H17" i="2"/>
  <c r="H14" i="2"/>
  <c r="J16" i="1"/>
  <c r="K16" i="1" s="1"/>
  <c r="J13" i="1"/>
  <c r="K13" i="1" s="1"/>
  <c r="O13" i="1" s="1"/>
  <c r="P13" i="1" s="1"/>
  <c r="Q13" i="1" s="1"/>
  <c r="J14" i="1"/>
  <c r="K14" i="1" s="1"/>
  <c r="O14" i="1" s="1"/>
  <c r="P14" i="1" s="1"/>
  <c r="J17" i="1"/>
  <c r="K17" i="1" s="1"/>
  <c r="O17" i="1" s="1"/>
  <c r="P17" i="1" s="1"/>
  <c r="J15" i="1"/>
  <c r="K15" i="1" s="1"/>
  <c r="O15" i="1" s="1"/>
  <c r="P15" i="1" s="1"/>
  <c r="G18" i="1"/>
  <c r="I18" i="1" s="1"/>
  <c r="Y19" i="1"/>
  <c r="H19" i="1"/>
  <c r="AQ12" i="1"/>
  <c r="AQ38" i="1" s="1"/>
  <c r="AP34" i="1"/>
  <c r="AP30" i="1"/>
  <c r="AP26" i="1"/>
  <c r="AP22" i="1"/>
  <c r="AP18" i="1"/>
  <c r="AP14" i="1"/>
  <c r="AP33" i="1"/>
  <c r="AP29" i="1"/>
  <c r="AP25" i="1"/>
  <c r="AP21" i="1"/>
  <c r="AP17" i="1"/>
  <c r="AP13" i="1"/>
  <c r="AP32" i="1"/>
  <c r="AP28" i="1"/>
  <c r="AP24" i="1"/>
  <c r="AP20" i="1"/>
  <c r="AP16" i="1"/>
  <c r="AP31" i="1"/>
  <c r="AP27" i="1"/>
  <c r="AP23" i="1"/>
  <c r="AP19" i="1"/>
  <c r="AP15" i="1"/>
  <c r="AP35" i="1"/>
  <c r="AP36" i="1"/>
  <c r="AO38" i="1"/>
  <c r="AP38" i="1"/>
  <c r="AN38" i="1"/>
  <c r="AL38" i="1"/>
  <c r="AM38" i="1"/>
  <c r="AK39" i="1"/>
  <c r="X18" i="1"/>
  <c r="W18" i="1"/>
  <c r="Z18" i="1"/>
  <c r="E19" i="1"/>
  <c r="V19" i="1"/>
  <c r="C18" i="1"/>
  <c r="D18" i="1"/>
  <c r="A20" i="1"/>
  <c r="B19" i="1"/>
  <c r="L19" i="1" s="1"/>
  <c r="H315" i="2" l="1"/>
  <c r="AL16" i="2"/>
  <c r="H314" i="2"/>
  <c r="AL15" i="2"/>
  <c r="H312" i="2"/>
  <c r="AL13" i="2"/>
  <c r="G316" i="2"/>
  <c r="AK17" i="2"/>
  <c r="F316" i="2"/>
  <c r="AJ17" i="2"/>
  <c r="D316" i="2"/>
  <c r="AH17" i="2"/>
  <c r="AA13" i="2"/>
  <c r="AA14" i="2"/>
  <c r="AA15" i="2"/>
  <c r="AA16" i="2"/>
  <c r="E316" i="2"/>
  <c r="AI17" i="2"/>
  <c r="H313" i="2"/>
  <c r="AL14" i="2"/>
  <c r="H316" i="2"/>
  <c r="AL17" i="2"/>
  <c r="R19" i="2"/>
  <c r="AA18" i="2"/>
  <c r="Z18" i="2"/>
  <c r="Y18" i="2"/>
  <c r="X18" i="2"/>
  <c r="V18" i="2"/>
  <c r="W18" i="2"/>
  <c r="U18" i="2"/>
  <c r="T18" i="2"/>
  <c r="S18" i="2"/>
  <c r="AE18" i="2"/>
  <c r="AO12" i="2"/>
  <c r="AB12" i="2"/>
  <c r="D294" i="2"/>
  <c r="F294" i="2"/>
  <c r="E294" i="2"/>
  <c r="G294" i="2"/>
  <c r="H294" i="2"/>
  <c r="N294" i="2"/>
  <c r="M294" i="2"/>
  <c r="K294" i="2"/>
  <c r="I294" i="2"/>
  <c r="O294" i="2"/>
  <c r="L294" i="2"/>
  <c r="J294" i="2"/>
  <c r="H18" i="2"/>
  <c r="C321" i="2"/>
  <c r="J12" i="2"/>
  <c r="I15" i="2"/>
  <c r="I16" i="2"/>
  <c r="I18" i="2"/>
  <c r="I13" i="2"/>
  <c r="I17" i="2"/>
  <c r="I14" i="2"/>
  <c r="C295" i="2"/>
  <c r="C19" i="2"/>
  <c r="I19" i="2" s="1"/>
  <c r="D18" i="2"/>
  <c r="E18" i="2"/>
  <c r="F18" i="2"/>
  <c r="G18" i="2"/>
  <c r="O16" i="1"/>
  <c r="P16" i="1" s="1"/>
  <c r="J18" i="1"/>
  <c r="K18" i="1" s="1"/>
  <c r="O18" i="1" s="1"/>
  <c r="P18" i="1" s="1"/>
  <c r="Q18" i="1" s="1"/>
  <c r="R13" i="1"/>
  <c r="S13" i="1"/>
  <c r="Q17" i="1"/>
  <c r="Q15" i="1"/>
  <c r="Q14" i="1"/>
  <c r="Q16" i="1"/>
  <c r="G19" i="1"/>
  <c r="I19" i="1" s="1"/>
  <c r="Y20" i="1"/>
  <c r="H20" i="1"/>
  <c r="AR12" i="1"/>
  <c r="AR39" i="1" s="1"/>
  <c r="AQ33" i="1"/>
  <c r="AQ29" i="1"/>
  <c r="AQ25" i="1"/>
  <c r="AQ21" i="1"/>
  <c r="AQ17" i="1"/>
  <c r="AQ13" i="1"/>
  <c r="AQ32" i="1"/>
  <c r="AQ28" i="1"/>
  <c r="AQ24" i="1"/>
  <c r="AQ20" i="1"/>
  <c r="AQ16" i="1"/>
  <c r="AQ31" i="1"/>
  <c r="AQ27" i="1"/>
  <c r="AQ23" i="1"/>
  <c r="AQ19" i="1"/>
  <c r="AQ15" i="1"/>
  <c r="AQ22" i="1"/>
  <c r="AQ34" i="1"/>
  <c r="AQ18" i="1"/>
  <c r="AQ14" i="1"/>
  <c r="AQ30" i="1"/>
  <c r="AQ26" i="1"/>
  <c r="AQ35" i="1"/>
  <c r="AQ36" i="1"/>
  <c r="AQ37" i="1"/>
  <c r="AQ39" i="1"/>
  <c r="AP39" i="1"/>
  <c r="AM39" i="1"/>
  <c r="AO39" i="1"/>
  <c r="AN39" i="1"/>
  <c r="AK40" i="1"/>
  <c r="AL39" i="1"/>
  <c r="X19" i="1"/>
  <c r="W19" i="1"/>
  <c r="Z19" i="1"/>
  <c r="E20" i="1"/>
  <c r="V20" i="1"/>
  <c r="C19" i="1"/>
  <c r="D19" i="1"/>
  <c r="B20" i="1"/>
  <c r="L20" i="1" s="1"/>
  <c r="A21" i="1"/>
  <c r="I316" i="2" l="1"/>
  <c r="AM17" i="2"/>
  <c r="I312" i="2"/>
  <c r="AM13" i="2"/>
  <c r="I317" i="2"/>
  <c r="AM18" i="2"/>
  <c r="R20" i="2"/>
  <c r="AA19" i="2"/>
  <c r="Y19" i="2"/>
  <c r="AB19" i="2"/>
  <c r="Z19" i="2"/>
  <c r="AE19" i="2"/>
  <c r="W19" i="2"/>
  <c r="X19" i="2"/>
  <c r="AM19" i="2" s="1"/>
  <c r="S19" i="2"/>
  <c r="V19" i="2"/>
  <c r="U19" i="2"/>
  <c r="T19" i="2"/>
  <c r="H317" i="2"/>
  <c r="AL18" i="2"/>
  <c r="I313" i="2"/>
  <c r="AM14" i="2"/>
  <c r="I315" i="2"/>
  <c r="AM16" i="2"/>
  <c r="I314" i="2"/>
  <c r="AM15" i="2"/>
  <c r="AB13" i="2"/>
  <c r="AB14" i="2"/>
  <c r="AB15" i="2"/>
  <c r="AB16" i="2"/>
  <c r="AB17" i="2"/>
  <c r="G317" i="2"/>
  <c r="AK18" i="2"/>
  <c r="AB18" i="2"/>
  <c r="F317" i="2"/>
  <c r="AJ18" i="2"/>
  <c r="E317" i="2"/>
  <c r="AI18" i="2"/>
  <c r="D317" i="2"/>
  <c r="AH18" i="2"/>
  <c r="AP12" i="2"/>
  <c r="AC12" i="2"/>
  <c r="D295" i="2"/>
  <c r="I295" i="2"/>
  <c r="J295" i="2"/>
  <c r="L295" i="2"/>
  <c r="K295" i="2"/>
  <c r="G295" i="2"/>
  <c r="H295" i="2"/>
  <c r="F295" i="2"/>
  <c r="N295" i="2"/>
  <c r="O295" i="2"/>
  <c r="M295" i="2"/>
  <c r="E295" i="2"/>
  <c r="I318" i="2"/>
  <c r="C322" i="2"/>
  <c r="C20" i="2"/>
  <c r="D19" i="2"/>
  <c r="E19" i="2"/>
  <c r="F19" i="2"/>
  <c r="G19" i="2"/>
  <c r="H19" i="2"/>
  <c r="C296" i="2"/>
  <c r="K12" i="2"/>
  <c r="J19" i="2"/>
  <c r="J15" i="2"/>
  <c r="J17" i="2"/>
  <c r="J13" i="2"/>
  <c r="J16" i="2"/>
  <c r="J14" i="2"/>
  <c r="J18" i="2"/>
  <c r="J19" i="1"/>
  <c r="K19" i="1" s="1"/>
  <c r="O19" i="1" s="1"/>
  <c r="P19" i="1" s="1"/>
  <c r="Q19" i="1" s="1"/>
  <c r="R16" i="1"/>
  <c r="S16" i="1"/>
  <c r="R17" i="1"/>
  <c r="S17" i="1"/>
  <c r="R14" i="1"/>
  <c r="S14" i="1"/>
  <c r="R15" i="1"/>
  <c r="S15" i="1"/>
  <c r="R18" i="1"/>
  <c r="S18" i="1"/>
  <c r="G20" i="1"/>
  <c r="I20" i="1" s="1"/>
  <c r="Y21" i="1"/>
  <c r="H21" i="1"/>
  <c r="AS12" i="1"/>
  <c r="AS40" i="1" s="1"/>
  <c r="AR33" i="1"/>
  <c r="AR29" i="1"/>
  <c r="AR25" i="1"/>
  <c r="AR21" i="1"/>
  <c r="AR17" i="1"/>
  <c r="AR13" i="1"/>
  <c r="AR32" i="1"/>
  <c r="AR28" i="1"/>
  <c r="AR24" i="1"/>
  <c r="AR20" i="1"/>
  <c r="AR16" i="1"/>
  <c r="AR35" i="1"/>
  <c r="AR22" i="1"/>
  <c r="AR23" i="1"/>
  <c r="AR31" i="1"/>
  <c r="AR15" i="1"/>
  <c r="AR18" i="1"/>
  <c r="AR34" i="1"/>
  <c r="AR19" i="1"/>
  <c r="AR27" i="1"/>
  <c r="AR30" i="1"/>
  <c r="AR14" i="1"/>
  <c r="AR26" i="1"/>
  <c r="AR36" i="1"/>
  <c r="AR37" i="1"/>
  <c r="AR38" i="1"/>
  <c r="AO40" i="1"/>
  <c r="AN40" i="1"/>
  <c r="AM40" i="1"/>
  <c r="AL40" i="1"/>
  <c r="AQ40" i="1"/>
  <c r="AR40" i="1"/>
  <c r="AP40" i="1"/>
  <c r="AK41" i="1"/>
  <c r="X20" i="1"/>
  <c r="W20" i="1"/>
  <c r="Z20" i="1"/>
  <c r="E21" i="1"/>
  <c r="V21" i="1"/>
  <c r="C20" i="1"/>
  <c r="D20" i="1"/>
  <c r="A22" i="1"/>
  <c r="B21" i="1"/>
  <c r="G318" i="2" l="1"/>
  <c r="AK19" i="2"/>
  <c r="E318" i="2"/>
  <c r="AI19" i="2"/>
  <c r="D318" i="2"/>
  <c r="AH19" i="2"/>
  <c r="J315" i="2"/>
  <c r="AN16" i="2"/>
  <c r="R21" i="2"/>
  <c r="AA20" i="2"/>
  <c r="AE20" i="2"/>
  <c r="AC20" i="2"/>
  <c r="AB20" i="2"/>
  <c r="W20" i="2"/>
  <c r="V20" i="2"/>
  <c r="U20" i="2"/>
  <c r="S20" i="2"/>
  <c r="T20" i="2"/>
  <c r="Z20" i="2"/>
  <c r="Y20" i="2"/>
  <c r="X20" i="2"/>
  <c r="J312" i="2"/>
  <c r="AN13" i="2"/>
  <c r="J316" i="2"/>
  <c r="AN17" i="2"/>
  <c r="J314" i="2"/>
  <c r="AN15" i="2"/>
  <c r="J318" i="2"/>
  <c r="AN19" i="2"/>
  <c r="F318" i="2"/>
  <c r="AJ19" i="2"/>
  <c r="AC13" i="2"/>
  <c r="AC14" i="2"/>
  <c r="AC15" i="2"/>
  <c r="AC16" i="2"/>
  <c r="AC17" i="2"/>
  <c r="AC18" i="2"/>
  <c r="AC19" i="2"/>
  <c r="J317" i="2"/>
  <c r="AN18" i="2"/>
  <c r="J313" i="2"/>
  <c r="AN14" i="2"/>
  <c r="H318" i="2"/>
  <c r="AL19" i="2"/>
  <c r="AQ12" i="2"/>
  <c r="AD12" i="2"/>
  <c r="M296" i="2"/>
  <c r="O296" i="2"/>
  <c r="D296" i="2"/>
  <c r="N296" i="2"/>
  <c r="I296" i="2"/>
  <c r="J296" i="2"/>
  <c r="G296" i="2"/>
  <c r="F296" i="2"/>
  <c r="L296" i="2"/>
  <c r="K296" i="2"/>
  <c r="H296" i="2"/>
  <c r="E296" i="2"/>
  <c r="J20" i="2"/>
  <c r="C323" i="2"/>
  <c r="L12" i="2"/>
  <c r="K18" i="2"/>
  <c r="K20" i="2"/>
  <c r="K16" i="2"/>
  <c r="K14" i="2"/>
  <c r="K17" i="2"/>
  <c r="K13" i="2"/>
  <c r="K15" i="2"/>
  <c r="K19" i="2"/>
  <c r="C297" i="2"/>
  <c r="C21" i="2"/>
  <c r="D20" i="2"/>
  <c r="E20" i="2"/>
  <c r="F20" i="2"/>
  <c r="G20" i="2"/>
  <c r="H20" i="2"/>
  <c r="I20" i="2"/>
  <c r="J20" i="1"/>
  <c r="K20" i="1" s="1"/>
  <c r="O20" i="1" s="1"/>
  <c r="P20" i="1" s="1"/>
  <c r="Q20" i="1" s="1"/>
  <c r="R19" i="1"/>
  <c r="S19" i="1"/>
  <c r="G21" i="1"/>
  <c r="I21" i="1" s="1"/>
  <c r="L21" i="1"/>
  <c r="Y22" i="1"/>
  <c r="H22" i="1"/>
  <c r="AT12" i="1"/>
  <c r="AT41" i="1" s="1"/>
  <c r="AS33" i="1"/>
  <c r="AS29" i="1"/>
  <c r="AS25" i="1"/>
  <c r="AS21" i="1"/>
  <c r="AS17" i="1"/>
  <c r="AS13" i="1"/>
  <c r="AS15" i="1"/>
  <c r="AS19" i="1"/>
  <c r="AS31" i="1"/>
  <c r="AS23" i="1"/>
  <c r="AS32" i="1"/>
  <c r="AS28" i="1"/>
  <c r="AS24" i="1"/>
  <c r="AS20" i="1"/>
  <c r="AS16" i="1"/>
  <c r="AS27" i="1"/>
  <c r="AS26" i="1"/>
  <c r="AS34" i="1"/>
  <c r="AS18" i="1"/>
  <c r="AS30" i="1"/>
  <c r="AS14" i="1"/>
  <c r="AS22" i="1"/>
  <c r="AS35" i="1"/>
  <c r="AS36" i="1"/>
  <c r="AS37" i="1"/>
  <c r="AS38" i="1"/>
  <c r="AS39" i="1"/>
  <c r="AR41" i="1"/>
  <c r="AO41" i="1"/>
  <c r="AQ41" i="1"/>
  <c r="AP41" i="1"/>
  <c r="AS41" i="1"/>
  <c r="AN41" i="1"/>
  <c r="AM41" i="1"/>
  <c r="AL41" i="1"/>
  <c r="AK42" i="1"/>
  <c r="X21" i="1"/>
  <c r="W21" i="1"/>
  <c r="Z21" i="1"/>
  <c r="E22" i="1"/>
  <c r="V22" i="1"/>
  <c r="C21" i="1"/>
  <c r="D21" i="1"/>
  <c r="A23" i="1"/>
  <c r="B22" i="1"/>
  <c r="K316" i="2" l="1"/>
  <c r="AO17" i="2"/>
  <c r="K315" i="2"/>
  <c r="AO16" i="2"/>
  <c r="K317" i="2"/>
  <c r="AO18" i="2"/>
  <c r="J319" i="2"/>
  <c r="AN20" i="2"/>
  <c r="AD13" i="2"/>
  <c r="AD14" i="2"/>
  <c r="AD15" i="2"/>
  <c r="AD16" i="2"/>
  <c r="AD17" i="2"/>
  <c r="AD18" i="2"/>
  <c r="AD19" i="2"/>
  <c r="H319" i="2"/>
  <c r="AL20" i="2"/>
  <c r="E319" i="2"/>
  <c r="AI20" i="2"/>
  <c r="D319" i="2"/>
  <c r="AH20" i="2"/>
  <c r="K314" i="2"/>
  <c r="AO15" i="2"/>
  <c r="K313" i="2"/>
  <c r="AO14" i="2"/>
  <c r="K319" i="2"/>
  <c r="AO20" i="2"/>
  <c r="I319" i="2"/>
  <c r="AM20" i="2"/>
  <c r="G319" i="2"/>
  <c r="AK20" i="2"/>
  <c r="F319" i="2"/>
  <c r="AJ20" i="2"/>
  <c r="AD20" i="2"/>
  <c r="R22" i="2"/>
  <c r="T21" i="2"/>
  <c r="S21" i="2"/>
  <c r="AD21" i="2"/>
  <c r="AE21" i="2"/>
  <c r="AA21" i="2"/>
  <c r="AC21" i="2"/>
  <c r="AB21" i="2"/>
  <c r="Z21" i="2"/>
  <c r="Y21" i="2"/>
  <c r="X21" i="2"/>
  <c r="W21" i="2"/>
  <c r="V21" i="2"/>
  <c r="U21" i="2"/>
  <c r="K318" i="2"/>
  <c r="AO19" i="2"/>
  <c r="K312" i="2"/>
  <c r="AO13" i="2"/>
  <c r="AR12" i="2"/>
  <c r="K21" i="2"/>
  <c r="K320" i="2"/>
  <c r="D297" i="2"/>
  <c r="H297" i="2"/>
  <c r="M297" i="2"/>
  <c r="N297" i="2"/>
  <c r="L297" i="2"/>
  <c r="F297" i="2"/>
  <c r="K297" i="2"/>
  <c r="J297" i="2"/>
  <c r="O297" i="2"/>
  <c r="I297" i="2"/>
  <c r="E297" i="2"/>
  <c r="G297" i="2"/>
  <c r="C324" i="2"/>
  <c r="C22" i="2"/>
  <c r="E21" i="2"/>
  <c r="D21" i="2"/>
  <c r="F21" i="2"/>
  <c r="G21" i="2"/>
  <c r="H21" i="2"/>
  <c r="I21" i="2"/>
  <c r="J21" i="2"/>
  <c r="C298" i="2"/>
  <c r="M12" i="2"/>
  <c r="L17" i="2"/>
  <c r="L20" i="2"/>
  <c r="L16" i="2"/>
  <c r="L21" i="2"/>
  <c r="L14" i="2"/>
  <c r="L19" i="2"/>
  <c r="L13" i="2"/>
  <c r="L18" i="2"/>
  <c r="L15" i="2"/>
  <c r="J21" i="1"/>
  <c r="K21" i="1" s="1"/>
  <c r="O21" i="1" s="1"/>
  <c r="P21" i="1" s="1"/>
  <c r="Q21" i="1" s="1"/>
  <c r="R20" i="1"/>
  <c r="S20" i="1"/>
  <c r="G22" i="1"/>
  <c r="I22" i="1" s="1"/>
  <c r="L22" i="1"/>
  <c r="Y23" i="1"/>
  <c r="H23" i="1"/>
  <c r="AU12" i="1"/>
  <c r="AU42" i="1" s="1"/>
  <c r="AT33" i="1"/>
  <c r="AT29" i="1"/>
  <c r="AT25" i="1"/>
  <c r="AT21" i="1"/>
  <c r="AT17" i="1"/>
  <c r="AT13" i="1"/>
  <c r="AT32" i="1"/>
  <c r="AT28" i="1"/>
  <c r="AT24" i="1"/>
  <c r="AT20" i="1"/>
  <c r="AT16" i="1"/>
  <c r="AT31" i="1"/>
  <c r="AT27" i="1"/>
  <c r="AT23" i="1"/>
  <c r="AT19" i="1"/>
  <c r="AT15" i="1"/>
  <c r="AT34" i="1"/>
  <c r="AT30" i="1"/>
  <c r="AT26" i="1"/>
  <c r="AT22" i="1"/>
  <c r="AT18" i="1"/>
  <c r="AT14" i="1"/>
  <c r="AT35" i="1"/>
  <c r="AT36" i="1"/>
  <c r="AT37" i="1"/>
  <c r="AT38" i="1"/>
  <c r="AT39" i="1"/>
  <c r="AT40" i="1"/>
  <c r="AT42" i="1"/>
  <c r="AR42" i="1"/>
  <c r="AS42" i="1"/>
  <c r="AQ42" i="1"/>
  <c r="AO42" i="1"/>
  <c r="AP42" i="1"/>
  <c r="AN42" i="1"/>
  <c r="AM42" i="1"/>
  <c r="AL42" i="1"/>
  <c r="AK43" i="1"/>
  <c r="X22" i="1"/>
  <c r="W22" i="1"/>
  <c r="Z22" i="1"/>
  <c r="E23" i="1"/>
  <c r="V23" i="1"/>
  <c r="C22" i="1"/>
  <c r="D22" i="1"/>
  <c r="A24" i="1"/>
  <c r="H24" i="1" s="1"/>
  <c r="B23" i="1"/>
  <c r="L23" i="1" s="1"/>
  <c r="H320" i="2" l="1"/>
  <c r="AL21" i="2"/>
  <c r="G320" i="2"/>
  <c r="AK21" i="2"/>
  <c r="F320" i="2"/>
  <c r="AJ21" i="2"/>
  <c r="L314" i="2"/>
  <c r="AP15" i="2"/>
  <c r="D320" i="2"/>
  <c r="AH21" i="2"/>
  <c r="L317" i="2"/>
  <c r="AP18" i="2"/>
  <c r="E320" i="2"/>
  <c r="AI21" i="2"/>
  <c r="AO21" i="2"/>
  <c r="L319" i="2"/>
  <c r="AP20" i="2"/>
  <c r="L316" i="2"/>
  <c r="AP17" i="2"/>
  <c r="J320" i="2"/>
  <c r="AN21" i="2"/>
  <c r="L312" i="2"/>
  <c r="AP13" i="2"/>
  <c r="I320" i="2"/>
  <c r="AM21" i="2"/>
  <c r="L318" i="2"/>
  <c r="AP19" i="2"/>
  <c r="L313" i="2"/>
  <c r="AP14" i="2"/>
  <c r="R23" i="2"/>
  <c r="W22" i="2"/>
  <c r="T22" i="2"/>
  <c r="V22" i="2"/>
  <c r="U22" i="2"/>
  <c r="S22" i="2"/>
  <c r="AA22" i="2"/>
  <c r="Z22" i="2"/>
  <c r="Y22" i="2"/>
  <c r="X22" i="2"/>
  <c r="AC22" i="2"/>
  <c r="AB22" i="2"/>
  <c r="AD22" i="2"/>
  <c r="AE22" i="2"/>
  <c r="L320" i="2"/>
  <c r="AP21" i="2"/>
  <c r="L315" i="2"/>
  <c r="AP16" i="2"/>
  <c r="AS12" i="2"/>
  <c r="L22" i="2"/>
  <c r="D298" i="2"/>
  <c r="H298" i="2"/>
  <c r="G298" i="2"/>
  <c r="E298" i="2"/>
  <c r="F298" i="2"/>
  <c r="K298" i="2"/>
  <c r="L298" i="2"/>
  <c r="O298" i="2"/>
  <c r="M298" i="2"/>
  <c r="N298" i="2"/>
  <c r="I298" i="2"/>
  <c r="J298" i="2"/>
  <c r="C325" i="2"/>
  <c r="C299" i="2"/>
  <c r="N12" i="2"/>
  <c r="M20" i="2"/>
  <c r="M16" i="2"/>
  <c r="M14" i="2"/>
  <c r="M15" i="2"/>
  <c r="M21" i="2"/>
  <c r="M17" i="2"/>
  <c r="M13" i="2"/>
  <c r="M19" i="2"/>
  <c r="M22" i="2"/>
  <c r="M18" i="2"/>
  <c r="C23" i="2"/>
  <c r="D22" i="2"/>
  <c r="E22" i="2"/>
  <c r="F22" i="2"/>
  <c r="G22" i="2"/>
  <c r="H22" i="2"/>
  <c r="I22" i="2"/>
  <c r="J22" i="2"/>
  <c r="K22" i="2"/>
  <c r="J22" i="1"/>
  <c r="K22" i="1" s="1"/>
  <c r="O22" i="1" s="1"/>
  <c r="P22" i="1" s="1"/>
  <c r="Q22" i="1" s="1"/>
  <c r="R21" i="1"/>
  <c r="S21" i="1"/>
  <c r="G23" i="1"/>
  <c r="I23" i="1" s="1"/>
  <c r="Y24" i="1"/>
  <c r="AV12" i="1"/>
  <c r="AU32" i="1"/>
  <c r="AU28" i="1"/>
  <c r="AU24" i="1"/>
  <c r="AU20" i="1"/>
  <c r="AU16" i="1"/>
  <c r="AU31" i="1"/>
  <c r="AU27" i="1"/>
  <c r="AU23" i="1"/>
  <c r="AU19" i="1"/>
  <c r="AU15" i="1"/>
  <c r="AU34" i="1"/>
  <c r="AU30" i="1"/>
  <c r="AU26" i="1"/>
  <c r="AU22" i="1"/>
  <c r="AU18" i="1"/>
  <c r="AU14" i="1"/>
  <c r="AU33" i="1"/>
  <c r="AU25" i="1"/>
  <c r="AU21" i="1"/>
  <c r="AU17" i="1"/>
  <c r="AU29" i="1"/>
  <c r="AU13" i="1"/>
  <c r="AU35" i="1"/>
  <c r="AU36" i="1"/>
  <c r="AU37" i="1"/>
  <c r="AU38" i="1"/>
  <c r="AU39" i="1"/>
  <c r="AU40" i="1"/>
  <c r="AU41" i="1"/>
  <c r="AK44" i="1"/>
  <c r="AP43" i="1"/>
  <c r="AO43" i="1"/>
  <c r="AN43" i="1"/>
  <c r="AM43" i="1"/>
  <c r="AT43" i="1"/>
  <c r="AQ43" i="1"/>
  <c r="AS43" i="1"/>
  <c r="AR43" i="1"/>
  <c r="AV43" i="1"/>
  <c r="AU43" i="1"/>
  <c r="AL43" i="1"/>
  <c r="W23" i="1"/>
  <c r="X23" i="1"/>
  <c r="Z23" i="1"/>
  <c r="E24" i="1"/>
  <c r="V24" i="1"/>
  <c r="C23" i="1"/>
  <c r="D23" i="1"/>
  <c r="A25" i="1"/>
  <c r="B24" i="1"/>
  <c r="L24" i="1" s="1"/>
  <c r="M313" i="2" l="1"/>
  <c r="AQ14" i="2"/>
  <c r="J321" i="2"/>
  <c r="AN22" i="2"/>
  <c r="M319" i="2"/>
  <c r="AQ20" i="2"/>
  <c r="H321" i="2"/>
  <c r="AL22" i="2"/>
  <c r="G321" i="2"/>
  <c r="AK22" i="2"/>
  <c r="F321" i="2"/>
  <c r="AJ22" i="2"/>
  <c r="E321" i="2"/>
  <c r="AI22" i="2"/>
  <c r="R24" i="2"/>
  <c r="Z23" i="2"/>
  <c r="Y23" i="2"/>
  <c r="X23" i="2"/>
  <c r="W23" i="2"/>
  <c r="V23" i="2"/>
  <c r="U23" i="2"/>
  <c r="T23" i="2"/>
  <c r="AD23" i="2"/>
  <c r="AE23" i="2"/>
  <c r="AA23" i="2"/>
  <c r="AC23" i="2"/>
  <c r="AB23" i="2"/>
  <c r="S23" i="2"/>
  <c r="M317" i="2"/>
  <c r="AQ18" i="2"/>
  <c r="M312" i="2"/>
  <c r="AQ13" i="2"/>
  <c r="M316" i="2"/>
  <c r="AQ17" i="2"/>
  <c r="M320" i="2"/>
  <c r="AQ21" i="2"/>
  <c r="K321" i="2"/>
  <c r="AO22" i="2"/>
  <c r="M315" i="2"/>
  <c r="AQ16" i="2"/>
  <c r="I321" i="2"/>
  <c r="AM22" i="2"/>
  <c r="AP22" i="2"/>
  <c r="L321" i="2"/>
  <c r="D321" i="2"/>
  <c r="AH22" i="2"/>
  <c r="M321" i="2"/>
  <c r="AQ22" i="2"/>
  <c r="M318" i="2"/>
  <c r="AQ19" i="2"/>
  <c r="M314" i="2"/>
  <c r="AQ15" i="2"/>
  <c r="L299" i="2"/>
  <c r="K299" i="2"/>
  <c r="D299" i="2"/>
  <c r="J299" i="2"/>
  <c r="I299" i="2"/>
  <c r="O299" i="2"/>
  <c r="N299" i="2"/>
  <c r="E299" i="2"/>
  <c r="F299" i="2"/>
  <c r="M299" i="2"/>
  <c r="H299" i="2"/>
  <c r="G299" i="2"/>
  <c r="C326" i="2"/>
  <c r="C300" i="2"/>
  <c r="O12" i="2"/>
  <c r="N20" i="2"/>
  <c r="N16" i="2"/>
  <c r="N13" i="2"/>
  <c r="N21" i="2"/>
  <c r="N17" i="2"/>
  <c r="N18" i="2"/>
  <c r="N15" i="2"/>
  <c r="N14" i="2"/>
  <c r="N22" i="2"/>
  <c r="N19" i="2"/>
  <c r="N23" i="2"/>
  <c r="C24" i="2"/>
  <c r="D23" i="2"/>
  <c r="E23" i="2"/>
  <c r="F23" i="2"/>
  <c r="G23" i="2"/>
  <c r="H23" i="2"/>
  <c r="I23" i="2"/>
  <c r="J23" i="2"/>
  <c r="K23" i="2"/>
  <c r="L23" i="2"/>
  <c r="M23" i="2"/>
  <c r="J23" i="1"/>
  <c r="K23" i="1" s="1"/>
  <c r="O23" i="1" s="1"/>
  <c r="P23" i="1" s="1"/>
  <c r="Q23" i="1" s="1"/>
  <c r="R22" i="1"/>
  <c r="S22" i="1"/>
  <c r="G24" i="1"/>
  <c r="I24" i="1" s="1"/>
  <c r="Y25" i="1"/>
  <c r="H25" i="1"/>
  <c r="AV32" i="1"/>
  <c r="AV28" i="1"/>
  <c r="AV24" i="1"/>
  <c r="AV20" i="1"/>
  <c r="AV16" i="1"/>
  <c r="AV31" i="1"/>
  <c r="AV27" i="1"/>
  <c r="AV23" i="1"/>
  <c r="AV19" i="1"/>
  <c r="AV15" i="1"/>
  <c r="AV25" i="1"/>
  <c r="AW12" i="1"/>
  <c r="AW44" i="1" s="1"/>
  <c r="AV21" i="1"/>
  <c r="AV29" i="1"/>
  <c r="AV34" i="1"/>
  <c r="AV18" i="1"/>
  <c r="AV22" i="1"/>
  <c r="AV30" i="1"/>
  <c r="AV14" i="1"/>
  <c r="AV13" i="1"/>
  <c r="AV33" i="1"/>
  <c r="AV17" i="1"/>
  <c r="AV26" i="1"/>
  <c r="AV35" i="1"/>
  <c r="AV36" i="1"/>
  <c r="AV37" i="1"/>
  <c r="AV38" i="1"/>
  <c r="AV39" i="1"/>
  <c r="AV40" i="1"/>
  <c r="AV41" i="1"/>
  <c r="AV42" i="1"/>
  <c r="AS44" i="1"/>
  <c r="AQ44" i="1"/>
  <c r="AR44" i="1"/>
  <c r="AP44" i="1"/>
  <c r="AO44" i="1"/>
  <c r="AN44" i="1"/>
  <c r="AM44" i="1"/>
  <c r="AL44" i="1"/>
  <c r="AK45" i="1"/>
  <c r="AT44" i="1"/>
  <c r="AU44" i="1"/>
  <c r="AV44" i="1"/>
  <c r="X24" i="1"/>
  <c r="W24" i="1"/>
  <c r="Z24" i="1"/>
  <c r="AA24" i="1" s="1"/>
  <c r="E25" i="1"/>
  <c r="V25" i="1"/>
  <c r="C24" i="1"/>
  <c r="D24" i="1"/>
  <c r="B25" i="1"/>
  <c r="L25" i="1" s="1"/>
  <c r="A26" i="1"/>
  <c r="AP23" i="2" l="1"/>
  <c r="N313" i="2"/>
  <c r="AR14" i="2"/>
  <c r="N317" i="2"/>
  <c r="AR18" i="2"/>
  <c r="K322" i="2"/>
  <c r="AO23" i="2"/>
  <c r="N312" i="2"/>
  <c r="AR13" i="2"/>
  <c r="I322" i="2"/>
  <c r="AM23" i="2"/>
  <c r="N315" i="2"/>
  <c r="AR16" i="2"/>
  <c r="N322" i="2"/>
  <c r="AR23" i="2"/>
  <c r="N314" i="2"/>
  <c r="AR15" i="2"/>
  <c r="M322" i="2"/>
  <c r="AQ23" i="2"/>
  <c r="N316" i="2"/>
  <c r="AR17" i="2"/>
  <c r="N320" i="2"/>
  <c r="AR21" i="2"/>
  <c r="J322" i="2"/>
  <c r="AN23" i="2"/>
  <c r="H322" i="2"/>
  <c r="AL23" i="2"/>
  <c r="N319" i="2"/>
  <c r="AR20" i="2"/>
  <c r="R25" i="2"/>
  <c r="AC24" i="2"/>
  <c r="Z24" i="2"/>
  <c r="W24" i="2"/>
  <c r="AB24" i="2"/>
  <c r="AA24" i="2"/>
  <c r="Y24" i="2"/>
  <c r="X24" i="2"/>
  <c r="AE24" i="2"/>
  <c r="AD24" i="2"/>
  <c r="U24" i="2"/>
  <c r="T24" i="2"/>
  <c r="S24" i="2"/>
  <c r="V24" i="2"/>
  <c r="N321" i="2"/>
  <c r="AR22" i="2"/>
  <c r="G322" i="2"/>
  <c r="AK23" i="2"/>
  <c r="A280" i="2" a="1"/>
  <c r="A280" i="2" s="1"/>
  <c r="P280" i="2" s="1"/>
  <c r="A279" i="2" a="1"/>
  <c r="A279" i="2" s="1"/>
  <c r="E322" i="2"/>
  <c r="AI23" i="2"/>
  <c r="N318" i="2"/>
  <c r="AR19" i="2"/>
  <c r="F322" i="2"/>
  <c r="AJ23" i="2"/>
  <c r="D322" i="2"/>
  <c r="AH23" i="2"/>
  <c r="L322" i="2"/>
  <c r="N24" i="2"/>
  <c r="N323" i="2" s="1"/>
  <c r="O300" i="2"/>
  <c r="D300" i="2"/>
  <c r="M300" i="2"/>
  <c r="N300" i="2"/>
  <c r="L300" i="2"/>
  <c r="G300" i="2"/>
  <c r="I300" i="2"/>
  <c r="J300" i="2"/>
  <c r="H300" i="2"/>
  <c r="F300" i="2"/>
  <c r="K300" i="2"/>
  <c r="E300" i="2"/>
  <c r="C327" i="2"/>
  <c r="C301" i="2"/>
  <c r="O14" i="2"/>
  <c r="O21" i="2"/>
  <c r="O17" i="2"/>
  <c r="O13" i="2"/>
  <c r="O16" i="2"/>
  <c r="O23" i="2"/>
  <c r="O22" i="2"/>
  <c r="O18" i="2"/>
  <c r="O20" i="2"/>
  <c r="O15" i="2"/>
  <c r="O24" i="2"/>
  <c r="O19" i="2"/>
  <c r="C25" i="2"/>
  <c r="D24" i="2"/>
  <c r="E24" i="2"/>
  <c r="F24" i="2"/>
  <c r="G24" i="2"/>
  <c r="H24" i="2"/>
  <c r="I24" i="2"/>
  <c r="J24" i="2"/>
  <c r="K24" i="2"/>
  <c r="L24" i="2"/>
  <c r="M24" i="2"/>
  <c r="J24" i="1"/>
  <c r="K24" i="1" s="1"/>
  <c r="O24" i="1" s="1"/>
  <c r="P24" i="1" s="1"/>
  <c r="Q24" i="1" s="1"/>
  <c r="R23" i="1"/>
  <c r="S23" i="1"/>
  <c r="G25" i="1"/>
  <c r="I25" i="1" s="1"/>
  <c r="Y26" i="1"/>
  <c r="H26" i="1"/>
  <c r="AX12" i="1"/>
  <c r="AW32" i="1"/>
  <c r="AW28" i="1"/>
  <c r="AW24" i="1"/>
  <c r="AW20" i="1"/>
  <c r="AW16" i="1"/>
  <c r="AW26" i="1"/>
  <c r="AW31" i="1"/>
  <c r="AW27" i="1"/>
  <c r="AW23" i="1"/>
  <c r="AW19" i="1"/>
  <c r="AW15" i="1"/>
  <c r="AW30" i="1"/>
  <c r="AW22" i="1"/>
  <c r="AW14" i="1"/>
  <c r="AW34" i="1"/>
  <c r="AW18" i="1"/>
  <c r="AW21" i="1"/>
  <c r="AW13" i="1"/>
  <c r="AW29" i="1"/>
  <c r="AW33" i="1"/>
  <c r="AW17" i="1"/>
  <c r="AW25" i="1"/>
  <c r="AW35" i="1"/>
  <c r="AW36" i="1"/>
  <c r="AW37" i="1"/>
  <c r="AW38" i="1"/>
  <c r="AW39" i="1"/>
  <c r="AW40" i="1"/>
  <c r="AW41" i="1"/>
  <c r="AW42" i="1"/>
  <c r="AW43" i="1"/>
  <c r="AV45" i="1"/>
  <c r="AU45" i="1"/>
  <c r="AT45" i="1"/>
  <c r="AS45" i="1"/>
  <c r="AR45" i="1"/>
  <c r="AO45" i="1"/>
  <c r="AQ45" i="1"/>
  <c r="AP45" i="1"/>
  <c r="AX45" i="1"/>
  <c r="AW45" i="1"/>
  <c r="AN45" i="1"/>
  <c r="AM45" i="1"/>
  <c r="AL45" i="1"/>
  <c r="AK46" i="1"/>
  <c r="W25" i="1"/>
  <c r="X25" i="1"/>
  <c r="Z25" i="1"/>
  <c r="E26" i="1"/>
  <c r="V26" i="1"/>
  <c r="C25" i="1"/>
  <c r="D25" i="1"/>
  <c r="A27" i="1"/>
  <c r="B26" i="1"/>
  <c r="L26" i="1" s="1"/>
  <c r="AN24" i="2" l="1"/>
  <c r="I323" i="2"/>
  <c r="AM24" i="2"/>
  <c r="O320" i="2"/>
  <c r="AS21" i="2"/>
  <c r="G323" i="2"/>
  <c r="AK24" i="2"/>
  <c r="F323" i="2"/>
  <c r="AJ24" i="2"/>
  <c r="O318" i="2"/>
  <c r="AS19" i="2"/>
  <c r="L323" i="2"/>
  <c r="AP24" i="2"/>
  <c r="K323" i="2"/>
  <c r="AO24" i="2"/>
  <c r="O312" i="2"/>
  <c r="AS13" i="2"/>
  <c r="E323" i="2"/>
  <c r="AI24" i="2"/>
  <c r="R26" i="2"/>
  <c r="AE25" i="2"/>
  <c r="AD25" i="2"/>
  <c r="AC25" i="2"/>
  <c r="AB25" i="2"/>
  <c r="Z25" i="2"/>
  <c r="AA25" i="2"/>
  <c r="Y25" i="2"/>
  <c r="V25" i="2"/>
  <c r="T25" i="2"/>
  <c r="X25" i="2"/>
  <c r="U25" i="2"/>
  <c r="S25" i="2"/>
  <c r="W25" i="2"/>
  <c r="O317" i="2"/>
  <c r="AS18" i="2"/>
  <c r="O322" i="2"/>
  <c r="AS23" i="2"/>
  <c r="O315" i="2"/>
  <c r="AS16" i="2"/>
  <c r="O316" i="2"/>
  <c r="AS17" i="2"/>
  <c r="H323" i="2"/>
  <c r="AL24" i="2"/>
  <c r="O313" i="2"/>
  <c r="AS14" i="2"/>
  <c r="AR24" i="2"/>
  <c r="D323" i="2"/>
  <c r="AH24" i="2"/>
  <c r="J323" i="2"/>
  <c r="O323" i="2"/>
  <c r="AS24" i="2"/>
  <c r="O314" i="2"/>
  <c r="AS15" i="2"/>
  <c r="O319" i="2"/>
  <c r="AS20" i="2"/>
  <c r="M323" i="2"/>
  <c r="AQ24" i="2"/>
  <c r="O321" i="2"/>
  <c r="AS22" i="2"/>
  <c r="D301" i="2"/>
  <c r="J301" i="2"/>
  <c r="G301" i="2"/>
  <c r="N301" i="2"/>
  <c r="M301" i="2"/>
  <c r="I301" i="2"/>
  <c r="K301" i="2"/>
  <c r="L301" i="2"/>
  <c r="O301" i="2"/>
  <c r="H301" i="2"/>
  <c r="E301" i="2"/>
  <c r="F301" i="2"/>
  <c r="C328" i="2"/>
  <c r="C26" i="2"/>
  <c r="E25" i="2"/>
  <c r="D25" i="2"/>
  <c r="F25" i="2"/>
  <c r="G25" i="2"/>
  <c r="H25" i="2"/>
  <c r="I25" i="2"/>
  <c r="J25" i="2"/>
  <c r="K25" i="2"/>
  <c r="L25" i="2"/>
  <c r="M25" i="2"/>
  <c r="N25" i="2"/>
  <c r="C302" i="2"/>
  <c r="O25" i="2"/>
  <c r="J25" i="1"/>
  <c r="K25" i="1" s="1"/>
  <c r="O25" i="1" s="1"/>
  <c r="P25" i="1" s="1"/>
  <c r="Q25" i="1" s="1"/>
  <c r="R24" i="1"/>
  <c r="S24" i="1"/>
  <c r="G26" i="1"/>
  <c r="I26" i="1" s="1"/>
  <c r="Y27" i="1"/>
  <c r="H27" i="1"/>
  <c r="AY12" i="1"/>
  <c r="AX32" i="1"/>
  <c r="AX28" i="1"/>
  <c r="AX24" i="1"/>
  <c r="AX20" i="1"/>
  <c r="AX16" i="1"/>
  <c r="AX31" i="1"/>
  <c r="AX27" i="1"/>
  <c r="AX23" i="1"/>
  <c r="AX19" i="1"/>
  <c r="AX15" i="1"/>
  <c r="AX14" i="1"/>
  <c r="AX34" i="1"/>
  <c r="AX30" i="1"/>
  <c r="AX26" i="1"/>
  <c r="AX22" i="1"/>
  <c r="AX18" i="1"/>
  <c r="AX33" i="1"/>
  <c r="AX29" i="1"/>
  <c r="AX25" i="1"/>
  <c r="AX21" i="1"/>
  <c r="AX17" i="1"/>
  <c r="AX13" i="1"/>
  <c r="AX35" i="1"/>
  <c r="AX36" i="1"/>
  <c r="AX37" i="1"/>
  <c r="AX38" i="1"/>
  <c r="AX39" i="1"/>
  <c r="AX40" i="1"/>
  <c r="AX41" i="1"/>
  <c r="AX42" i="1"/>
  <c r="AX43" i="1"/>
  <c r="AX44" i="1"/>
  <c r="AQ46" i="1"/>
  <c r="AK47" i="1"/>
  <c r="AP46" i="1"/>
  <c r="AN46" i="1"/>
  <c r="AO46" i="1"/>
  <c r="AU46" i="1"/>
  <c r="AS46" i="1"/>
  <c r="AT46" i="1"/>
  <c r="AR46" i="1"/>
  <c r="AL46" i="1"/>
  <c r="AY46" i="1"/>
  <c r="AX46" i="1"/>
  <c r="AW46" i="1"/>
  <c r="AV46" i="1"/>
  <c r="AM46" i="1"/>
  <c r="W26" i="1"/>
  <c r="X26" i="1"/>
  <c r="Z26" i="1"/>
  <c r="E27" i="1"/>
  <c r="V27" i="1"/>
  <c r="C26" i="1"/>
  <c r="D26" i="1"/>
  <c r="A28" i="1"/>
  <c r="B27" i="1"/>
  <c r="L27" i="1" s="1"/>
  <c r="AP25" i="2" l="1"/>
  <c r="R27" i="2"/>
  <c r="S26" i="2"/>
  <c r="AE26" i="2"/>
  <c r="AD26" i="2"/>
  <c r="AC26" i="2"/>
  <c r="AB26" i="2"/>
  <c r="AA26" i="2"/>
  <c r="Z26" i="2"/>
  <c r="Y26" i="2"/>
  <c r="X26" i="2"/>
  <c r="W26" i="2"/>
  <c r="V26" i="2"/>
  <c r="U26" i="2"/>
  <c r="T26" i="2"/>
  <c r="G324" i="2"/>
  <c r="AK25" i="2"/>
  <c r="D324" i="2"/>
  <c r="AH25" i="2"/>
  <c r="E324" i="2"/>
  <c r="AI25" i="2"/>
  <c r="O324" i="2"/>
  <c r="AS25" i="2"/>
  <c r="N324" i="2"/>
  <c r="AR25" i="2"/>
  <c r="M324" i="2"/>
  <c r="AQ25" i="2"/>
  <c r="J324" i="2"/>
  <c r="AN25" i="2"/>
  <c r="I324" i="2"/>
  <c r="AM25" i="2"/>
  <c r="H324" i="2"/>
  <c r="AL25" i="2"/>
  <c r="F324" i="2"/>
  <c r="AJ25" i="2"/>
  <c r="L324" i="2"/>
  <c r="K324" i="2"/>
  <c r="AO25" i="2"/>
  <c r="D302" i="2"/>
  <c r="H302" i="2"/>
  <c r="E302" i="2"/>
  <c r="F302" i="2"/>
  <c r="G302" i="2"/>
  <c r="O302" i="2"/>
  <c r="I302" i="2"/>
  <c r="K302" i="2"/>
  <c r="L302" i="2"/>
  <c r="N302" i="2"/>
  <c r="M302" i="2"/>
  <c r="J302" i="2"/>
  <c r="C329" i="2"/>
  <c r="C303" i="2"/>
  <c r="C27" i="2"/>
  <c r="D26" i="2"/>
  <c r="E26" i="2"/>
  <c r="F26" i="2"/>
  <c r="G26" i="2"/>
  <c r="H26" i="2"/>
  <c r="I26" i="2"/>
  <c r="J26" i="2"/>
  <c r="AN26" i="2" s="1"/>
  <c r="K26" i="2"/>
  <c r="L26" i="2"/>
  <c r="M26" i="2"/>
  <c r="N26" i="2"/>
  <c r="O26" i="2"/>
  <c r="J26" i="1"/>
  <c r="K26" i="1" s="1"/>
  <c r="O26" i="1" s="1"/>
  <c r="P26" i="1" s="1"/>
  <c r="Q26" i="1" s="1"/>
  <c r="R25" i="1"/>
  <c r="S25" i="1"/>
  <c r="G27" i="1"/>
  <c r="I27" i="1" s="1"/>
  <c r="Y28" i="1"/>
  <c r="H28" i="1"/>
  <c r="AZ12" i="1"/>
  <c r="AY31" i="1"/>
  <c r="AY27" i="1"/>
  <c r="AY23" i="1"/>
  <c r="AY19" i="1"/>
  <c r="AY15" i="1"/>
  <c r="AY34" i="1"/>
  <c r="AY30" i="1"/>
  <c r="AY26" i="1"/>
  <c r="AY22" i="1"/>
  <c r="AY18" i="1"/>
  <c r="AY14" i="1"/>
  <c r="AY33" i="1"/>
  <c r="AY29" i="1"/>
  <c r="AY25" i="1"/>
  <c r="AY21" i="1"/>
  <c r="AY17" i="1"/>
  <c r="AY13" i="1"/>
  <c r="AY28" i="1"/>
  <c r="AY24" i="1"/>
  <c r="AY20" i="1"/>
  <c r="AY32" i="1"/>
  <c r="AY16" i="1"/>
  <c r="AY35" i="1"/>
  <c r="AY36" i="1"/>
  <c r="AY37" i="1"/>
  <c r="AY38" i="1"/>
  <c r="AY39" i="1"/>
  <c r="AY40" i="1"/>
  <c r="AY41" i="1"/>
  <c r="AY42" i="1"/>
  <c r="AY43" i="1"/>
  <c r="AY44" i="1"/>
  <c r="AY45" i="1"/>
  <c r="AL47" i="1"/>
  <c r="AY47" i="1"/>
  <c r="AZ47" i="1"/>
  <c r="AT47" i="1"/>
  <c r="AQ47" i="1"/>
  <c r="AS47" i="1"/>
  <c r="AR47" i="1"/>
  <c r="AK48" i="1"/>
  <c r="AX47" i="1"/>
  <c r="AW47" i="1"/>
  <c r="AV47" i="1"/>
  <c r="AU47" i="1"/>
  <c r="AP47" i="1"/>
  <c r="AO47" i="1"/>
  <c r="AN47" i="1"/>
  <c r="AM47" i="1"/>
  <c r="X27" i="1"/>
  <c r="W27" i="1"/>
  <c r="Z27" i="1"/>
  <c r="E28" i="1"/>
  <c r="V28" i="1"/>
  <c r="C27" i="1"/>
  <c r="D27" i="1"/>
  <c r="B28" i="1"/>
  <c r="L28" i="1" s="1"/>
  <c r="A29" i="1"/>
  <c r="H29" i="1" s="1"/>
  <c r="AO26" i="2" l="1"/>
  <c r="K325" i="2"/>
  <c r="J325" i="2"/>
  <c r="N325" i="2"/>
  <c r="AR26" i="2"/>
  <c r="M325" i="2"/>
  <c r="AQ26" i="2"/>
  <c r="H325" i="2"/>
  <c r="AL26" i="2"/>
  <c r="G325" i="2"/>
  <c r="AK26" i="2"/>
  <c r="F325" i="2"/>
  <c r="AJ26" i="2"/>
  <c r="D325" i="2"/>
  <c r="AH26" i="2"/>
  <c r="R28" i="2"/>
  <c r="V27" i="2"/>
  <c r="S27" i="2"/>
  <c r="U27" i="2"/>
  <c r="T27" i="2"/>
  <c r="AE27" i="2"/>
  <c r="X27" i="2"/>
  <c r="W27" i="2"/>
  <c r="AD27" i="2"/>
  <c r="AC27" i="2"/>
  <c r="AA27" i="2"/>
  <c r="Z27" i="2"/>
  <c r="Y27" i="2"/>
  <c r="AB27" i="2"/>
  <c r="L325" i="2"/>
  <c r="AP26" i="2"/>
  <c r="E325" i="2"/>
  <c r="AI26" i="2"/>
  <c r="O325" i="2"/>
  <c r="AS26" i="2"/>
  <c r="I325" i="2"/>
  <c r="AM26" i="2"/>
  <c r="J303" i="2"/>
  <c r="D303" i="2"/>
  <c r="L303" i="2"/>
  <c r="I303" i="2"/>
  <c r="K303" i="2"/>
  <c r="N303" i="2"/>
  <c r="H303" i="2"/>
  <c r="E303" i="2"/>
  <c r="G303" i="2"/>
  <c r="O303" i="2"/>
  <c r="F303" i="2"/>
  <c r="M303" i="2"/>
  <c r="C330" i="2"/>
  <c r="C28" i="2"/>
  <c r="D27" i="2"/>
  <c r="E27" i="2"/>
  <c r="F27" i="2"/>
  <c r="G27" i="2"/>
  <c r="H27" i="2"/>
  <c r="I27" i="2"/>
  <c r="J27" i="2"/>
  <c r="K27" i="2"/>
  <c r="L27" i="2"/>
  <c r="AP27" i="2" s="1"/>
  <c r="M27" i="2"/>
  <c r="N27" i="2"/>
  <c r="O27" i="2"/>
  <c r="C304" i="2"/>
  <c r="J27" i="1"/>
  <c r="K27" i="1" s="1"/>
  <c r="O27" i="1" s="1"/>
  <c r="P27" i="1" s="1"/>
  <c r="Q27" i="1" s="1"/>
  <c r="R26" i="1"/>
  <c r="S26" i="1"/>
  <c r="G28" i="1"/>
  <c r="I28" i="1" s="1"/>
  <c r="AB29" i="1"/>
  <c r="Y29" i="1"/>
  <c r="BA12" i="1"/>
  <c r="AZ31" i="1"/>
  <c r="AZ27" i="1"/>
  <c r="AZ23" i="1"/>
  <c r="AZ19" i="1"/>
  <c r="AZ15" i="1"/>
  <c r="AZ34" i="1"/>
  <c r="AZ30" i="1"/>
  <c r="AZ26" i="1"/>
  <c r="AZ22" i="1"/>
  <c r="AZ18" i="1"/>
  <c r="AZ14" i="1"/>
  <c r="AZ28" i="1"/>
  <c r="AZ16" i="1"/>
  <c r="AZ21" i="1"/>
  <c r="AZ24" i="1"/>
  <c r="AZ32" i="1"/>
  <c r="AZ33" i="1"/>
  <c r="AZ17" i="1"/>
  <c r="AZ13" i="1"/>
  <c r="AZ20" i="1"/>
  <c r="AZ29" i="1"/>
  <c r="AZ25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W48" i="1"/>
  <c r="AV48" i="1"/>
  <c r="AU48" i="1"/>
  <c r="AT48" i="1"/>
  <c r="AS48" i="1"/>
  <c r="AQ48" i="1"/>
  <c r="AP48" i="1"/>
  <c r="AR48" i="1"/>
  <c r="AO48" i="1"/>
  <c r="AN48" i="1"/>
  <c r="AM48" i="1"/>
  <c r="AL48" i="1"/>
  <c r="AK49" i="1"/>
  <c r="AY48" i="1"/>
  <c r="AX48" i="1"/>
  <c r="BA48" i="1"/>
  <c r="AZ48" i="1"/>
  <c r="X28" i="1"/>
  <c r="W28" i="1"/>
  <c r="Z28" i="1"/>
  <c r="E29" i="1"/>
  <c r="V29" i="1"/>
  <c r="C28" i="1"/>
  <c r="D28" i="1"/>
  <c r="B29" i="1"/>
  <c r="L29" i="1" s="1"/>
  <c r="A30" i="1"/>
  <c r="AN27" i="2" l="1"/>
  <c r="L326" i="2"/>
  <c r="AR27" i="2"/>
  <c r="J326" i="2"/>
  <c r="O326" i="2"/>
  <c r="AS27" i="2"/>
  <c r="M326" i="2"/>
  <c r="AQ27" i="2"/>
  <c r="K326" i="2"/>
  <c r="AO27" i="2"/>
  <c r="H326" i="2"/>
  <c r="AL27" i="2"/>
  <c r="G326" i="2"/>
  <c r="AK27" i="2"/>
  <c r="I326" i="2"/>
  <c r="AM27" i="2"/>
  <c r="F326" i="2"/>
  <c r="AJ27" i="2"/>
  <c r="R29" i="2"/>
  <c r="Y28" i="2"/>
  <c r="X28" i="2"/>
  <c r="W28" i="2"/>
  <c r="V28" i="2"/>
  <c r="U28" i="2"/>
  <c r="T28" i="2"/>
  <c r="AE28" i="2"/>
  <c r="AD28" i="2"/>
  <c r="AC28" i="2"/>
  <c r="AB28" i="2"/>
  <c r="Z28" i="2"/>
  <c r="AA28" i="2"/>
  <c r="S28" i="2"/>
  <c r="E326" i="2"/>
  <c r="AI27" i="2"/>
  <c r="D326" i="2"/>
  <c r="AH27" i="2"/>
  <c r="N326" i="2"/>
  <c r="D304" i="2"/>
  <c r="N304" i="2"/>
  <c r="O304" i="2"/>
  <c r="M304" i="2"/>
  <c r="G304" i="2"/>
  <c r="E304" i="2"/>
  <c r="J304" i="2"/>
  <c r="K304" i="2"/>
  <c r="I304" i="2"/>
  <c r="F304" i="2"/>
  <c r="H304" i="2"/>
  <c r="L304" i="2"/>
  <c r="C331" i="2"/>
  <c r="C305" i="2"/>
  <c r="C29" i="2"/>
  <c r="D28" i="2"/>
  <c r="D327" i="2" s="1"/>
  <c r="E28" i="2"/>
  <c r="F28" i="2"/>
  <c r="G28" i="2"/>
  <c r="H28" i="2"/>
  <c r="I28" i="2"/>
  <c r="J28" i="2"/>
  <c r="J327" i="2" s="1"/>
  <c r="K28" i="2"/>
  <c r="L28" i="2"/>
  <c r="M28" i="2"/>
  <c r="N28" i="2"/>
  <c r="O28" i="2"/>
  <c r="J28" i="1"/>
  <c r="K28" i="1" s="1"/>
  <c r="O28" i="1" s="1"/>
  <c r="P28" i="1" s="1"/>
  <c r="Q28" i="1" s="1"/>
  <c r="R27" i="1"/>
  <c r="S27" i="1"/>
  <c r="G29" i="1"/>
  <c r="I29" i="1" s="1"/>
  <c r="Y30" i="1"/>
  <c r="H30" i="1"/>
  <c r="BB12" i="1"/>
  <c r="BA31" i="1"/>
  <c r="BA27" i="1"/>
  <c r="BA23" i="1"/>
  <c r="BA19" i="1"/>
  <c r="BA15" i="1"/>
  <c r="BA25" i="1"/>
  <c r="BA17" i="1"/>
  <c r="BA13" i="1"/>
  <c r="BA29" i="1"/>
  <c r="BA34" i="1"/>
  <c r="BA30" i="1"/>
  <c r="BA26" i="1"/>
  <c r="BA22" i="1"/>
  <c r="BA18" i="1"/>
  <c r="BA14" i="1"/>
  <c r="BA21" i="1"/>
  <c r="BA33" i="1"/>
  <c r="BA16" i="1"/>
  <c r="BA24" i="1"/>
  <c r="BA20" i="1"/>
  <c r="BA32" i="1"/>
  <c r="BA28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AR49" i="1"/>
  <c r="AQ49" i="1"/>
  <c r="AO49" i="1"/>
  <c r="AK50" i="1"/>
  <c r="AP49" i="1"/>
  <c r="AV49" i="1"/>
  <c r="AU49" i="1"/>
  <c r="AT49" i="1"/>
  <c r="AS49" i="1"/>
  <c r="AZ49" i="1"/>
  <c r="AX49" i="1"/>
  <c r="AY49" i="1"/>
  <c r="AW49" i="1"/>
  <c r="AN49" i="1"/>
  <c r="AM49" i="1"/>
  <c r="AL49" i="1"/>
  <c r="BB49" i="1"/>
  <c r="BA49" i="1"/>
  <c r="W29" i="1"/>
  <c r="X29" i="1"/>
  <c r="Z29" i="1"/>
  <c r="AD29" i="1" s="1"/>
  <c r="E30" i="1"/>
  <c r="V30" i="1"/>
  <c r="C29" i="1"/>
  <c r="D29" i="1"/>
  <c r="A31" i="1"/>
  <c r="B30" i="1"/>
  <c r="L30" i="1" s="1"/>
  <c r="O327" i="2" l="1"/>
  <c r="AS28" i="2"/>
  <c r="K327" i="2"/>
  <c r="AO28" i="2"/>
  <c r="AN28" i="2"/>
  <c r="H327" i="2"/>
  <c r="AL28" i="2"/>
  <c r="G327" i="2"/>
  <c r="AK28" i="2"/>
  <c r="F327" i="2"/>
  <c r="AJ28" i="2"/>
  <c r="E327" i="2"/>
  <c r="AI28" i="2"/>
  <c r="M327" i="2"/>
  <c r="AQ28" i="2"/>
  <c r="R30" i="2"/>
  <c r="AB29" i="2"/>
  <c r="Y29" i="2"/>
  <c r="V29" i="2"/>
  <c r="AA29" i="2"/>
  <c r="Z29" i="2"/>
  <c r="X29" i="2"/>
  <c r="W29" i="2"/>
  <c r="AD29" i="2"/>
  <c r="AE29" i="2"/>
  <c r="AC29" i="2"/>
  <c r="U29" i="2"/>
  <c r="T29" i="2"/>
  <c r="S29" i="2"/>
  <c r="N327" i="2"/>
  <c r="AR28" i="2"/>
  <c r="L327" i="2"/>
  <c r="AP28" i="2"/>
  <c r="I327" i="2"/>
  <c r="AM28" i="2"/>
  <c r="AH28" i="2"/>
  <c r="D305" i="2"/>
  <c r="L305" i="2"/>
  <c r="J305" i="2"/>
  <c r="O305" i="2"/>
  <c r="H305" i="2"/>
  <c r="K305" i="2"/>
  <c r="M305" i="2"/>
  <c r="F305" i="2"/>
  <c r="N305" i="2"/>
  <c r="I305" i="2"/>
  <c r="G305" i="2"/>
  <c r="E305" i="2"/>
  <c r="C30" i="2"/>
  <c r="E29" i="2"/>
  <c r="D29" i="2"/>
  <c r="F29" i="2"/>
  <c r="G29" i="2"/>
  <c r="H29" i="2"/>
  <c r="I29" i="2"/>
  <c r="J29" i="2"/>
  <c r="K29" i="2"/>
  <c r="L29" i="2"/>
  <c r="M29" i="2"/>
  <c r="N29" i="2"/>
  <c r="O29" i="2"/>
  <c r="C306" i="2"/>
  <c r="J29" i="1"/>
  <c r="K29" i="1" s="1"/>
  <c r="O29" i="1" s="1"/>
  <c r="P29" i="1" s="1"/>
  <c r="Q29" i="1" s="1"/>
  <c r="R28" i="1"/>
  <c r="S28" i="1"/>
  <c r="G30" i="1"/>
  <c r="I30" i="1" s="1"/>
  <c r="Y31" i="1"/>
  <c r="H31" i="1"/>
  <c r="BC12" i="1"/>
  <c r="BB31" i="1"/>
  <c r="BB27" i="1"/>
  <c r="BB23" i="1"/>
  <c r="BB19" i="1"/>
  <c r="BB15" i="1"/>
  <c r="BB34" i="1"/>
  <c r="BB30" i="1"/>
  <c r="BB26" i="1"/>
  <c r="BB22" i="1"/>
  <c r="BB18" i="1"/>
  <c r="BB14" i="1"/>
  <c r="BB13" i="1"/>
  <c r="BB33" i="1"/>
  <c r="BB29" i="1"/>
  <c r="BB25" i="1"/>
  <c r="BB21" i="1"/>
  <c r="BB17" i="1"/>
  <c r="BB32" i="1"/>
  <c r="BB28" i="1"/>
  <c r="BB24" i="1"/>
  <c r="BB20" i="1"/>
  <c r="BB16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C50" i="1"/>
  <c r="AM50" i="1"/>
  <c r="BB50" i="1"/>
  <c r="AL50" i="1"/>
  <c r="AZ50" i="1"/>
  <c r="BA50" i="1"/>
  <c r="AU50" i="1"/>
  <c r="AS50" i="1"/>
  <c r="AR50" i="1"/>
  <c r="AT50" i="1"/>
  <c r="AK51" i="1"/>
  <c r="AY50" i="1"/>
  <c r="AV50" i="1"/>
  <c r="AQ50" i="1"/>
  <c r="AX50" i="1"/>
  <c r="AW50" i="1"/>
  <c r="AP50" i="1"/>
  <c r="AO50" i="1"/>
  <c r="AN50" i="1"/>
  <c r="W30" i="1"/>
  <c r="X30" i="1"/>
  <c r="Z30" i="1"/>
  <c r="E31" i="1"/>
  <c r="V31" i="1"/>
  <c r="C30" i="1"/>
  <c r="D30" i="1"/>
  <c r="A32" i="1"/>
  <c r="H32" i="1" s="1"/>
  <c r="B31" i="1"/>
  <c r="L31" i="1" s="1"/>
  <c r="N328" i="2" l="1"/>
  <c r="AR29" i="2"/>
  <c r="I328" i="2"/>
  <c r="AM29" i="2"/>
  <c r="H328" i="2"/>
  <c r="AL29" i="2"/>
  <c r="L328" i="2"/>
  <c r="AP29" i="2"/>
  <c r="G328" i="2"/>
  <c r="AK29" i="2"/>
  <c r="R31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M328" i="2"/>
  <c r="AQ29" i="2"/>
  <c r="J328" i="2"/>
  <c r="AN29" i="2"/>
  <c r="F328" i="2"/>
  <c r="AJ29" i="2"/>
  <c r="O328" i="2"/>
  <c r="AS29" i="2"/>
  <c r="K328" i="2"/>
  <c r="AO29" i="2"/>
  <c r="D328" i="2"/>
  <c r="AH29" i="2"/>
  <c r="E328" i="2"/>
  <c r="AI29" i="2"/>
  <c r="D306" i="2"/>
  <c r="F306" i="2"/>
  <c r="H306" i="2"/>
  <c r="G306" i="2"/>
  <c r="E306" i="2"/>
  <c r="M306" i="2"/>
  <c r="I306" i="2"/>
  <c r="O306" i="2"/>
  <c r="J306" i="2"/>
  <c r="K306" i="2"/>
  <c r="L306" i="2"/>
  <c r="N306" i="2"/>
  <c r="C307" i="2"/>
  <c r="C31" i="2"/>
  <c r="D30" i="2"/>
  <c r="E30" i="2"/>
  <c r="F30" i="2"/>
  <c r="G30" i="2"/>
  <c r="H30" i="2"/>
  <c r="I30" i="2"/>
  <c r="J30" i="2"/>
  <c r="K30" i="2"/>
  <c r="L30" i="2"/>
  <c r="M30" i="2"/>
  <c r="N30" i="2"/>
  <c r="O30" i="2"/>
  <c r="J30" i="1"/>
  <c r="K30" i="1" s="1"/>
  <c r="O30" i="1" s="1"/>
  <c r="P30" i="1" s="1"/>
  <c r="Q30" i="1" s="1"/>
  <c r="R29" i="1"/>
  <c r="S29" i="1"/>
  <c r="G31" i="1"/>
  <c r="I31" i="1" s="1"/>
  <c r="Y32" i="1"/>
  <c r="BC34" i="1"/>
  <c r="BC30" i="1"/>
  <c r="BC26" i="1"/>
  <c r="BC22" i="1"/>
  <c r="BC18" i="1"/>
  <c r="BC14" i="1"/>
  <c r="BC33" i="1"/>
  <c r="BC29" i="1"/>
  <c r="BC25" i="1"/>
  <c r="BC21" i="1"/>
  <c r="BC17" i="1"/>
  <c r="BC13" i="1"/>
  <c r="BD12" i="1"/>
  <c r="BC32" i="1"/>
  <c r="BC28" i="1"/>
  <c r="BC24" i="1"/>
  <c r="BC20" i="1"/>
  <c r="BC16" i="1"/>
  <c r="BC31" i="1"/>
  <c r="BC15" i="1"/>
  <c r="BC27" i="1"/>
  <c r="BC23" i="1"/>
  <c r="BC19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AX51" i="1"/>
  <c r="AW51" i="1"/>
  <c r="AV51" i="1"/>
  <c r="AU51" i="1"/>
  <c r="AT51" i="1"/>
  <c r="AS51" i="1"/>
  <c r="AR51" i="1"/>
  <c r="AQ51" i="1"/>
  <c r="AL51" i="1"/>
  <c r="AK52" i="1"/>
  <c r="BA51" i="1"/>
  <c r="AZ51" i="1"/>
  <c r="BC51" i="1"/>
  <c r="BB51" i="1"/>
  <c r="AY51" i="1"/>
  <c r="AP51" i="1"/>
  <c r="AO51" i="1"/>
  <c r="AM51" i="1"/>
  <c r="AN51" i="1"/>
  <c r="X31" i="1"/>
  <c r="W31" i="1"/>
  <c r="Z31" i="1"/>
  <c r="E32" i="1"/>
  <c r="V32" i="1"/>
  <c r="C31" i="1"/>
  <c r="D31" i="1"/>
  <c r="A33" i="1"/>
  <c r="B32" i="1"/>
  <c r="L32" i="1" s="1"/>
  <c r="AP30" i="2" l="1"/>
  <c r="J329" i="2"/>
  <c r="AN30" i="2"/>
  <c r="H329" i="2"/>
  <c r="AL30" i="2"/>
  <c r="R32" i="2"/>
  <c r="R33" i="2" s="1"/>
  <c r="AE31" i="2"/>
  <c r="AD31" i="2"/>
  <c r="AB31" i="2"/>
  <c r="AC31" i="2"/>
  <c r="V31" i="2"/>
  <c r="U31" i="2"/>
  <c r="T31" i="2"/>
  <c r="S31" i="2"/>
  <c r="X31" i="2"/>
  <c r="W31" i="2"/>
  <c r="AA31" i="2"/>
  <c r="Z31" i="2"/>
  <c r="Y31" i="2"/>
  <c r="G329" i="2"/>
  <c r="AK30" i="2"/>
  <c r="F329" i="2"/>
  <c r="AJ30" i="2"/>
  <c r="E329" i="2"/>
  <c r="AI30" i="2"/>
  <c r="D329" i="2"/>
  <c r="AH30" i="2"/>
  <c r="M329" i="2"/>
  <c r="AQ30" i="2"/>
  <c r="K329" i="2"/>
  <c r="AO30" i="2"/>
  <c r="I329" i="2"/>
  <c r="AM30" i="2"/>
  <c r="N329" i="2"/>
  <c r="AR30" i="2"/>
  <c r="L329" i="2"/>
  <c r="O329" i="2"/>
  <c r="AS30" i="2"/>
  <c r="I307" i="2"/>
  <c r="D307" i="2"/>
  <c r="J307" i="2"/>
  <c r="K307" i="2"/>
  <c r="L307" i="2"/>
  <c r="M307" i="2"/>
  <c r="E307" i="2"/>
  <c r="G307" i="2"/>
  <c r="N307" i="2"/>
  <c r="O307" i="2"/>
  <c r="F307" i="2"/>
  <c r="H307" i="2"/>
  <c r="C32" i="2"/>
  <c r="C33" i="2" s="1"/>
  <c r="D31" i="2"/>
  <c r="E31" i="2"/>
  <c r="F31" i="2"/>
  <c r="G31" i="2"/>
  <c r="H31" i="2"/>
  <c r="I31" i="2"/>
  <c r="J31" i="2"/>
  <c r="K31" i="2"/>
  <c r="L31" i="2"/>
  <c r="M31" i="2"/>
  <c r="N31" i="2"/>
  <c r="AR31" i="2" s="1"/>
  <c r="O31" i="2"/>
  <c r="J31" i="1"/>
  <c r="K31" i="1" s="1"/>
  <c r="O31" i="1" s="1"/>
  <c r="P31" i="1" s="1"/>
  <c r="Q31" i="1" s="1"/>
  <c r="R30" i="1"/>
  <c r="S30" i="1"/>
  <c r="G32" i="1"/>
  <c r="I32" i="1" s="1"/>
  <c r="Y33" i="1"/>
  <c r="H33" i="1"/>
  <c r="BE12" i="1"/>
  <c r="BD34" i="1"/>
  <c r="BD30" i="1"/>
  <c r="BD26" i="1"/>
  <c r="BD22" i="1"/>
  <c r="BD18" i="1"/>
  <c r="BD14" i="1"/>
  <c r="BD33" i="1"/>
  <c r="BD29" i="1"/>
  <c r="BD25" i="1"/>
  <c r="BD21" i="1"/>
  <c r="BD17" i="1"/>
  <c r="BD13" i="1"/>
  <c r="BD31" i="1"/>
  <c r="BD15" i="1"/>
  <c r="BD28" i="1"/>
  <c r="BD24" i="1"/>
  <c r="BD27" i="1"/>
  <c r="BD16" i="1"/>
  <c r="BD20" i="1"/>
  <c r="BD19" i="1"/>
  <c r="BD23" i="1"/>
  <c r="BD32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AS52" i="1"/>
  <c r="AR52" i="1"/>
  <c r="AP52" i="1"/>
  <c r="AQ52" i="1"/>
  <c r="AK53" i="1"/>
  <c r="AW52" i="1"/>
  <c r="AU52" i="1"/>
  <c r="AT52" i="1"/>
  <c r="AV52" i="1"/>
  <c r="AO52" i="1"/>
  <c r="AN52" i="1"/>
  <c r="AM52" i="1"/>
  <c r="AL52" i="1"/>
  <c r="BC52" i="1"/>
  <c r="BE52" i="1"/>
  <c r="BD52" i="1"/>
  <c r="AZ52" i="1"/>
  <c r="AY52" i="1"/>
  <c r="AX52" i="1"/>
  <c r="BB52" i="1"/>
  <c r="BA52" i="1"/>
  <c r="X32" i="1"/>
  <c r="W32" i="1"/>
  <c r="Z32" i="1"/>
  <c r="E33" i="1"/>
  <c r="V33" i="1"/>
  <c r="C32" i="1"/>
  <c r="D32" i="1"/>
  <c r="B33" i="1"/>
  <c r="L33" i="1" s="1"/>
  <c r="A34" i="1"/>
  <c r="S33" i="2" l="1"/>
  <c r="AE33" i="2"/>
  <c r="AD33" i="2"/>
  <c r="Z33" i="2"/>
  <c r="X33" i="2"/>
  <c r="U33" i="2"/>
  <c r="T33" i="2"/>
  <c r="AC33" i="2"/>
  <c r="AB33" i="2"/>
  <c r="AA33" i="2"/>
  <c r="R34" i="2"/>
  <c r="Y33" i="2"/>
  <c r="W33" i="2"/>
  <c r="V33" i="2"/>
  <c r="C34" i="2"/>
  <c r="E33" i="2"/>
  <c r="D33" i="2"/>
  <c r="AH33" i="2" s="1"/>
  <c r="F33" i="2"/>
  <c r="G33" i="2"/>
  <c r="H33" i="2"/>
  <c r="I33" i="2"/>
  <c r="AM33" i="2" s="1"/>
  <c r="J33" i="2"/>
  <c r="K33" i="2"/>
  <c r="AO33" i="2" s="1"/>
  <c r="L33" i="2"/>
  <c r="M33" i="2"/>
  <c r="AQ33" i="2" s="1"/>
  <c r="N33" i="2"/>
  <c r="AR33" i="2" s="1"/>
  <c r="O33" i="2"/>
  <c r="H330" i="2"/>
  <c r="AL31" i="2"/>
  <c r="F330" i="2"/>
  <c r="AJ31" i="2"/>
  <c r="L330" i="2"/>
  <c r="AP31" i="2"/>
  <c r="I330" i="2"/>
  <c r="AM31" i="2"/>
  <c r="E330" i="2"/>
  <c r="AI31" i="2"/>
  <c r="U32" i="2"/>
  <c r="T32" i="2"/>
  <c r="S32" i="2"/>
  <c r="AE32" i="2"/>
  <c r="AD32" i="2"/>
  <c r="AC32" i="2"/>
  <c r="AA32" i="2"/>
  <c r="Z32" i="2"/>
  <c r="AB32" i="2"/>
  <c r="Y32" i="2"/>
  <c r="V32" i="2"/>
  <c r="X32" i="2"/>
  <c r="W32" i="2"/>
  <c r="O330" i="2"/>
  <c r="AS31" i="2"/>
  <c r="M330" i="2"/>
  <c r="AQ31" i="2"/>
  <c r="K330" i="2"/>
  <c r="AO31" i="2"/>
  <c r="J330" i="2"/>
  <c r="AN31" i="2"/>
  <c r="G330" i="2"/>
  <c r="AK31" i="2"/>
  <c r="D330" i="2"/>
  <c r="AH31" i="2"/>
  <c r="N330" i="2"/>
  <c r="D32" i="2"/>
  <c r="E32" i="2"/>
  <c r="F32" i="2"/>
  <c r="G32" i="2"/>
  <c r="H32" i="2"/>
  <c r="I32" i="2"/>
  <c r="J32" i="2"/>
  <c r="K32" i="2"/>
  <c r="L32" i="2"/>
  <c r="M32" i="2"/>
  <c r="N32" i="2"/>
  <c r="O32" i="2"/>
  <c r="J32" i="1"/>
  <c r="K32" i="1" s="1"/>
  <c r="O32" i="1" s="1"/>
  <c r="P32" i="1" s="1"/>
  <c r="Q32" i="1" s="1"/>
  <c r="R31" i="1"/>
  <c r="S31" i="1"/>
  <c r="G33" i="1"/>
  <c r="I33" i="1" s="1"/>
  <c r="Y34" i="1"/>
  <c r="H34" i="1"/>
  <c r="BE34" i="1"/>
  <c r="BE30" i="1"/>
  <c r="BE26" i="1"/>
  <c r="BE22" i="1"/>
  <c r="BE18" i="1"/>
  <c r="BE14" i="1"/>
  <c r="BE32" i="1"/>
  <c r="BE28" i="1"/>
  <c r="BE24" i="1"/>
  <c r="BE20" i="1"/>
  <c r="BE16" i="1"/>
  <c r="BE33" i="1"/>
  <c r="BE29" i="1"/>
  <c r="BE25" i="1"/>
  <c r="BE21" i="1"/>
  <c r="BE17" i="1"/>
  <c r="BE13" i="1"/>
  <c r="BE27" i="1"/>
  <c r="BE19" i="1"/>
  <c r="BE23" i="1"/>
  <c r="BE31" i="1"/>
  <c r="BE15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D53" i="1"/>
  <c r="AN53" i="1"/>
  <c r="BC53" i="1"/>
  <c r="AM53" i="1"/>
  <c r="BA53" i="1"/>
  <c r="BB53" i="1"/>
  <c r="AL53" i="1"/>
  <c r="AV53" i="1"/>
  <c r="AU53" i="1"/>
  <c r="AT53" i="1"/>
  <c r="AS53" i="1"/>
  <c r="AZ53" i="1"/>
  <c r="AY53" i="1"/>
  <c r="AX53" i="1"/>
  <c r="AW53" i="1"/>
  <c r="AR53" i="1"/>
  <c r="AO53" i="1"/>
  <c r="AQ53" i="1"/>
  <c r="AP53" i="1"/>
  <c r="BE53" i="1"/>
  <c r="AK54" i="1"/>
  <c r="W33" i="1"/>
  <c r="X33" i="1"/>
  <c r="Z33" i="1"/>
  <c r="E34" i="1"/>
  <c r="V34" i="1"/>
  <c r="C33" i="1"/>
  <c r="D33" i="1"/>
  <c r="A35" i="1"/>
  <c r="B34" i="1"/>
  <c r="L34" i="1" s="1"/>
  <c r="AS33" i="2" l="1"/>
  <c r="AC34" i="2"/>
  <c r="AA34" i="2"/>
  <c r="AE34" i="2"/>
  <c r="AD34" i="2"/>
  <c r="AB34" i="2"/>
  <c r="Z34" i="2"/>
  <c r="V34" i="2"/>
  <c r="U34" i="2"/>
  <c r="T34" i="2"/>
  <c r="S34" i="2"/>
  <c r="X34" i="2"/>
  <c r="R35" i="2"/>
  <c r="Y34" i="2"/>
  <c r="W34" i="2"/>
  <c r="AP33" i="2"/>
  <c r="AN33" i="2"/>
  <c r="AL33" i="2"/>
  <c r="AJ33" i="2"/>
  <c r="C35" i="2"/>
  <c r="F34" i="2"/>
  <c r="E34" i="2"/>
  <c r="D34" i="2"/>
  <c r="G34" i="2"/>
  <c r="AK34" i="2" s="1"/>
  <c r="H34" i="2"/>
  <c r="I34" i="2"/>
  <c r="J34" i="2"/>
  <c r="K34" i="2"/>
  <c r="AO34" i="2" s="1"/>
  <c r="L34" i="2"/>
  <c r="AP34" i="2" s="1"/>
  <c r="M34" i="2"/>
  <c r="AQ34" i="2" s="1"/>
  <c r="N34" i="2"/>
  <c r="AR34" i="2" s="1"/>
  <c r="O34" i="2"/>
  <c r="AS34" i="2" s="1"/>
  <c r="AK33" i="2"/>
  <c r="AI33" i="2"/>
  <c r="O331" i="2"/>
  <c r="AS32" i="2"/>
  <c r="L331" i="2"/>
  <c r="AP32" i="2"/>
  <c r="J331" i="2"/>
  <c r="AN32" i="2"/>
  <c r="H331" i="2"/>
  <c r="AL32" i="2"/>
  <c r="G331" i="2"/>
  <c r="AK32" i="2"/>
  <c r="F331" i="2"/>
  <c r="AJ32" i="2"/>
  <c r="N331" i="2"/>
  <c r="AR32" i="2"/>
  <c r="K331" i="2"/>
  <c r="AO32" i="2"/>
  <c r="I331" i="2"/>
  <c r="AM32" i="2"/>
  <c r="E331" i="2"/>
  <c r="AI32" i="2"/>
  <c r="M331" i="2"/>
  <c r="AQ32" i="2"/>
  <c r="D331" i="2"/>
  <c r="AH32" i="2"/>
  <c r="J33" i="1"/>
  <c r="K33" i="1" s="1"/>
  <c r="O33" i="1" s="1"/>
  <c r="P33" i="1" s="1"/>
  <c r="Q33" i="1" s="1"/>
  <c r="R32" i="1"/>
  <c r="S32" i="1"/>
  <c r="G34" i="1"/>
  <c r="I34" i="1" s="1"/>
  <c r="Y35" i="1"/>
  <c r="H35" i="1"/>
  <c r="AY54" i="1"/>
  <c r="AX54" i="1"/>
  <c r="AW54" i="1"/>
  <c r="AV54" i="1"/>
  <c r="AU54" i="1"/>
  <c r="AR54" i="1"/>
  <c r="AT54" i="1"/>
  <c r="AS54" i="1"/>
  <c r="BE54" i="1"/>
  <c r="AK55" i="1"/>
  <c r="BD54" i="1"/>
  <c r="BC54" i="1"/>
  <c r="AP54" i="1"/>
  <c r="BB54" i="1"/>
  <c r="BA54" i="1"/>
  <c r="AZ54" i="1"/>
  <c r="AQ54" i="1"/>
  <c r="AO54" i="1"/>
  <c r="AN54" i="1"/>
  <c r="AM54" i="1"/>
  <c r="AL54" i="1"/>
  <c r="X34" i="1"/>
  <c r="W34" i="1"/>
  <c r="Z34" i="1"/>
  <c r="E35" i="1"/>
  <c r="V35" i="1"/>
  <c r="C34" i="1"/>
  <c r="D34" i="1"/>
  <c r="A36" i="1"/>
  <c r="B35" i="1"/>
  <c r="L35" i="1" s="1"/>
  <c r="T35" i="2" l="1"/>
  <c r="S35" i="2"/>
  <c r="AD35" i="2"/>
  <c r="Z35" i="2"/>
  <c r="U35" i="2"/>
  <c r="R36" i="2"/>
  <c r="AA35" i="2"/>
  <c r="V35" i="2"/>
  <c r="AC35" i="2"/>
  <c r="AB35" i="2"/>
  <c r="Y35" i="2"/>
  <c r="X35" i="2"/>
  <c r="W35" i="2"/>
  <c r="AL35" i="2" s="1"/>
  <c r="AE35" i="2"/>
  <c r="AM34" i="2"/>
  <c r="AL34" i="2"/>
  <c r="AJ34" i="2"/>
  <c r="AN34" i="2"/>
  <c r="AH34" i="2"/>
  <c r="AI34" i="2"/>
  <c r="D35" i="2"/>
  <c r="C36" i="2"/>
  <c r="E35" i="2"/>
  <c r="F35" i="2"/>
  <c r="G35" i="2"/>
  <c r="AK35" i="2" s="1"/>
  <c r="H35" i="2"/>
  <c r="I35" i="2"/>
  <c r="J35" i="2"/>
  <c r="AN35" i="2" s="1"/>
  <c r="K35" i="2"/>
  <c r="AO35" i="2" s="1"/>
  <c r="L35" i="2"/>
  <c r="AP35" i="2" s="1"/>
  <c r="M35" i="2"/>
  <c r="AQ35" i="2" s="1"/>
  <c r="N35" i="2"/>
  <c r="O35" i="2"/>
  <c r="J34" i="1"/>
  <c r="K34" i="1" s="1"/>
  <c r="O34" i="1" s="1"/>
  <c r="P34" i="1" s="1"/>
  <c r="Q34" i="1" s="1"/>
  <c r="R33" i="1"/>
  <c r="S33" i="1"/>
  <c r="G35" i="1"/>
  <c r="I35" i="1" s="1"/>
  <c r="Y36" i="1"/>
  <c r="H36" i="1"/>
  <c r="AT55" i="1"/>
  <c r="AS55" i="1"/>
  <c r="AQ55" i="1"/>
  <c r="AR55" i="1"/>
  <c r="AX55" i="1"/>
  <c r="AV55" i="1"/>
  <c r="AW55" i="1"/>
  <c r="AU55" i="1"/>
  <c r="AL55" i="1"/>
  <c r="AK56" i="1"/>
  <c r="BC55" i="1"/>
  <c r="BB55" i="1"/>
  <c r="AZ55" i="1"/>
  <c r="BE55" i="1"/>
  <c r="BD55" i="1"/>
  <c r="BA55" i="1"/>
  <c r="AY55" i="1"/>
  <c r="AP55" i="1"/>
  <c r="AO55" i="1"/>
  <c r="AN55" i="1"/>
  <c r="AM55" i="1"/>
  <c r="W35" i="1"/>
  <c r="X35" i="1"/>
  <c r="Z35" i="1"/>
  <c r="E36" i="1"/>
  <c r="V36" i="1"/>
  <c r="C35" i="1"/>
  <c r="D35" i="1"/>
  <c r="A37" i="1"/>
  <c r="B36" i="1"/>
  <c r="L36" i="1" s="1"/>
  <c r="AM35" i="2" l="1"/>
  <c r="AS35" i="2"/>
  <c r="AR35" i="2"/>
  <c r="C37" i="2"/>
  <c r="E36" i="2"/>
  <c r="F36" i="2"/>
  <c r="AJ36" i="2" s="1"/>
  <c r="D36" i="2"/>
  <c r="G36" i="2"/>
  <c r="H36" i="2"/>
  <c r="I36" i="2"/>
  <c r="J36" i="2"/>
  <c r="K36" i="2"/>
  <c r="L36" i="2"/>
  <c r="M36" i="2"/>
  <c r="N36" i="2"/>
  <c r="AR36" i="2" s="1"/>
  <c r="O36" i="2"/>
  <c r="R37" i="2"/>
  <c r="AB36" i="2"/>
  <c r="U36" i="2"/>
  <c r="S36" i="2"/>
  <c r="AD36" i="2"/>
  <c r="T36" i="2"/>
  <c r="AE36" i="2"/>
  <c r="X36" i="2"/>
  <c r="W36" i="2"/>
  <c r="AA36" i="2"/>
  <c r="AC36" i="2"/>
  <c r="Y36" i="2"/>
  <c r="Z36" i="2"/>
  <c r="V36" i="2"/>
  <c r="AK36" i="2" s="1"/>
  <c r="AJ35" i="2"/>
  <c r="AH35" i="2"/>
  <c r="AI35" i="2"/>
  <c r="J35" i="1"/>
  <c r="K35" i="1" s="1"/>
  <c r="O35" i="1" s="1"/>
  <c r="P35" i="1" s="1"/>
  <c r="Q35" i="1" s="1"/>
  <c r="R34" i="1"/>
  <c r="S34" i="1"/>
  <c r="G36" i="1"/>
  <c r="I36" i="1" s="1"/>
  <c r="Y37" i="1"/>
  <c r="H37" i="1"/>
  <c r="BE56" i="1"/>
  <c r="AO56" i="1"/>
  <c r="BD56" i="1"/>
  <c r="AN56" i="1"/>
  <c r="BB56" i="1"/>
  <c r="BC56" i="1"/>
  <c r="AM56" i="1"/>
  <c r="AL56" i="1"/>
  <c r="AW56" i="1"/>
  <c r="AT56" i="1"/>
  <c r="AV56" i="1"/>
  <c r="AU56" i="1"/>
  <c r="AS56" i="1"/>
  <c r="AR56" i="1"/>
  <c r="AQ56" i="1"/>
  <c r="AP56" i="1"/>
  <c r="BA56" i="1"/>
  <c r="AZ56" i="1"/>
  <c r="AY56" i="1"/>
  <c r="AK57" i="1"/>
  <c r="AX56" i="1"/>
  <c r="W36" i="1"/>
  <c r="X36" i="1"/>
  <c r="Z36" i="1"/>
  <c r="E37" i="1"/>
  <c r="V37" i="1"/>
  <c r="C36" i="1"/>
  <c r="D36" i="1"/>
  <c r="B37" i="1"/>
  <c r="L37" i="1" s="1"/>
  <c r="A38" i="1"/>
  <c r="AO36" i="2" l="1"/>
  <c r="AH36" i="2"/>
  <c r="D37" i="2"/>
  <c r="C38" i="2"/>
  <c r="E37" i="2"/>
  <c r="F37" i="2"/>
  <c r="H37" i="2"/>
  <c r="G37" i="2"/>
  <c r="I37" i="2"/>
  <c r="J37" i="2"/>
  <c r="AN37" i="2" s="1"/>
  <c r="K37" i="2"/>
  <c r="L37" i="2"/>
  <c r="M37" i="2"/>
  <c r="N37" i="2"/>
  <c r="O37" i="2"/>
  <c r="AS37" i="2" s="1"/>
  <c r="T37" i="2"/>
  <c r="AA37" i="2"/>
  <c r="AE37" i="2"/>
  <c r="AB37" i="2"/>
  <c r="V37" i="2"/>
  <c r="S37" i="2"/>
  <c r="X37" i="2"/>
  <c r="Z37" i="2"/>
  <c r="W37" i="2"/>
  <c r="Y37" i="2"/>
  <c r="U37" i="2"/>
  <c r="AJ37" i="2" s="1"/>
  <c r="AD37" i="2"/>
  <c r="R38" i="2"/>
  <c r="AC37" i="2"/>
  <c r="AN36" i="2"/>
  <c r="AM36" i="2"/>
  <c r="AI36" i="2"/>
  <c r="AP36" i="2"/>
  <c r="AL36" i="2"/>
  <c r="AS36" i="2"/>
  <c r="AQ36" i="2"/>
  <c r="J36" i="1"/>
  <c r="K36" i="1" s="1"/>
  <c r="O36" i="1" s="1"/>
  <c r="P36" i="1" s="1"/>
  <c r="Q36" i="1" s="1"/>
  <c r="R35" i="1"/>
  <c r="S35" i="1"/>
  <c r="G37" i="1"/>
  <c r="Y38" i="1"/>
  <c r="H38" i="1"/>
  <c r="I37" i="1"/>
  <c r="AZ57" i="1"/>
  <c r="AY57" i="1"/>
  <c r="AX57" i="1"/>
  <c r="AW57" i="1"/>
  <c r="AV57" i="1"/>
  <c r="AT57" i="1"/>
  <c r="AU57" i="1"/>
  <c r="AS57" i="1"/>
  <c r="BD57" i="1"/>
  <c r="BB57" i="1"/>
  <c r="BC57" i="1"/>
  <c r="BA57" i="1"/>
  <c r="AL57" i="1"/>
  <c r="AR57" i="1"/>
  <c r="AM57" i="1"/>
  <c r="AQ57" i="1"/>
  <c r="AP57" i="1"/>
  <c r="AO57" i="1"/>
  <c r="AN57" i="1"/>
  <c r="AK58" i="1"/>
  <c r="BE57" i="1"/>
  <c r="X37" i="1"/>
  <c r="W37" i="1"/>
  <c r="Z37" i="1"/>
  <c r="E38" i="1"/>
  <c r="V38" i="1"/>
  <c r="C37" i="1"/>
  <c r="D37" i="1"/>
  <c r="A39" i="1"/>
  <c r="B38" i="1"/>
  <c r="L38" i="1" s="1"/>
  <c r="AH37" i="2" l="1"/>
  <c r="AL37" i="2"/>
  <c r="AI37" i="2"/>
  <c r="AR37" i="2"/>
  <c r="Y38" i="2"/>
  <c r="U38" i="2"/>
  <c r="S38" i="2"/>
  <c r="W38" i="2"/>
  <c r="AA38" i="2"/>
  <c r="T38" i="2"/>
  <c r="AI38" i="2" s="1"/>
  <c r="AC38" i="2"/>
  <c r="X38" i="2"/>
  <c r="AM38" i="2" s="1"/>
  <c r="AD38" i="2"/>
  <c r="R39" i="2"/>
  <c r="V38" i="2"/>
  <c r="AE38" i="2"/>
  <c r="AB38" i="2"/>
  <c r="Z38" i="2"/>
  <c r="AK37" i="2"/>
  <c r="E38" i="2"/>
  <c r="G38" i="2"/>
  <c r="D38" i="2"/>
  <c r="F38" i="2"/>
  <c r="C39" i="2"/>
  <c r="H38" i="2"/>
  <c r="I38" i="2"/>
  <c r="J38" i="2"/>
  <c r="K38" i="2"/>
  <c r="L38" i="2"/>
  <c r="AP38" i="2" s="1"/>
  <c r="M38" i="2"/>
  <c r="N38" i="2"/>
  <c r="O38" i="2"/>
  <c r="AP37" i="2"/>
  <c r="AM37" i="2"/>
  <c r="AQ37" i="2"/>
  <c r="AO37" i="2"/>
  <c r="J37" i="1"/>
  <c r="K37" i="1" s="1"/>
  <c r="O37" i="1" s="1"/>
  <c r="P37" i="1" s="1"/>
  <c r="Q37" i="1" s="1"/>
  <c r="R36" i="1"/>
  <c r="S36" i="1"/>
  <c r="G38" i="1"/>
  <c r="I38" i="1" s="1"/>
  <c r="Y39" i="1"/>
  <c r="H39" i="1"/>
  <c r="AU58" i="1"/>
  <c r="AT58" i="1"/>
  <c r="AR58" i="1"/>
  <c r="AS58" i="1"/>
  <c r="AY58" i="1"/>
  <c r="AV58" i="1"/>
  <c r="AX58" i="1"/>
  <c r="AW58" i="1"/>
  <c r="AK59" i="1"/>
  <c r="BE58" i="1"/>
  <c r="BD58" i="1"/>
  <c r="BC58" i="1"/>
  <c r="AQ58" i="1"/>
  <c r="BB58" i="1"/>
  <c r="BA58" i="1"/>
  <c r="AZ58" i="1"/>
  <c r="AP58" i="1"/>
  <c r="AO58" i="1"/>
  <c r="AN58" i="1"/>
  <c r="AM58" i="1"/>
  <c r="AL58" i="1"/>
  <c r="X38" i="1"/>
  <c r="W38" i="1"/>
  <c r="Z38" i="1"/>
  <c r="E39" i="1"/>
  <c r="V39" i="1"/>
  <c r="C38" i="1"/>
  <c r="D38" i="1"/>
  <c r="A40" i="1"/>
  <c r="B39" i="1"/>
  <c r="L39" i="1" s="1"/>
  <c r="AH38" i="2" l="1"/>
  <c r="AO38" i="2"/>
  <c r="AQ38" i="2"/>
  <c r="AK38" i="2"/>
  <c r="AE39" i="2"/>
  <c r="U39" i="2"/>
  <c r="Y39" i="2"/>
  <c r="AD39" i="2"/>
  <c r="S39" i="2"/>
  <c r="W39" i="2"/>
  <c r="V39" i="2"/>
  <c r="T39" i="2"/>
  <c r="AC39" i="2"/>
  <c r="X39" i="2"/>
  <c r="R40" i="2"/>
  <c r="AA39" i="2"/>
  <c r="AB39" i="2"/>
  <c r="Z39" i="2"/>
  <c r="AS38" i="2"/>
  <c r="AR38" i="2"/>
  <c r="AL38" i="2"/>
  <c r="AJ38" i="2"/>
  <c r="D39" i="2"/>
  <c r="G39" i="2"/>
  <c r="H39" i="2"/>
  <c r="F39" i="2"/>
  <c r="C40" i="2"/>
  <c r="E39" i="2"/>
  <c r="I39" i="2"/>
  <c r="J39" i="2"/>
  <c r="K39" i="2"/>
  <c r="L39" i="2"/>
  <c r="M39" i="2"/>
  <c r="AQ39" i="2" s="1"/>
  <c r="N39" i="2"/>
  <c r="O39" i="2"/>
  <c r="AN38" i="2"/>
  <c r="J38" i="1"/>
  <c r="K38" i="1" s="1"/>
  <c r="O38" i="1" s="1"/>
  <c r="P38" i="1" s="1"/>
  <c r="Q38" i="1" s="1"/>
  <c r="R37" i="1"/>
  <c r="S37" i="1"/>
  <c r="G39" i="1"/>
  <c r="Y40" i="1"/>
  <c r="H40" i="1"/>
  <c r="I39" i="1"/>
  <c r="AK60" i="1"/>
  <c r="AP59" i="1"/>
  <c r="BE59" i="1"/>
  <c r="AO59" i="1"/>
  <c r="BC59" i="1"/>
  <c r="BD59" i="1"/>
  <c r="AN59" i="1"/>
  <c r="AM59" i="1"/>
  <c r="AX59" i="1"/>
  <c r="AV59" i="1"/>
  <c r="AW59" i="1"/>
  <c r="AU59" i="1"/>
  <c r="AL59" i="1"/>
  <c r="BA59" i="1"/>
  <c r="AZ59" i="1"/>
  <c r="BB59" i="1"/>
  <c r="AS59" i="1"/>
  <c r="AY59" i="1"/>
  <c r="AR59" i="1"/>
  <c r="AQ59" i="1"/>
  <c r="AT59" i="1"/>
  <c r="X39" i="1"/>
  <c r="W39" i="1"/>
  <c r="Z39" i="1"/>
  <c r="E40" i="1"/>
  <c r="V40" i="1"/>
  <c r="C39" i="1"/>
  <c r="D39" i="1"/>
  <c r="A41" i="1"/>
  <c r="B40" i="1"/>
  <c r="L40" i="1" s="1"/>
  <c r="AK39" i="2" l="1"/>
  <c r="AH39" i="2"/>
  <c r="AO39" i="2"/>
  <c r="AP39" i="2"/>
  <c r="C41" i="2"/>
  <c r="H40" i="2"/>
  <c r="J40" i="2"/>
  <c r="F40" i="2"/>
  <c r="E40" i="2"/>
  <c r="I40" i="2"/>
  <c r="G40" i="2"/>
  <c r="D40" i="2"/>
  <c r="K40" i="2"/>
  <c r="L40" i="2"/>
  <c r="M40" i="2"/>
  <c r="AQ40" i="2" s="1"/>
  <c r="N40" i="2"/>
  <c r="O40" i="2"/>
  <c r="AS39" i="2"/>
  <c r="AN39" i="2"/>
  <c r="AD40" i="2"/>
  <c r="AC40" i="2"/>
  <c r="AE40" i="2"/>
  <c r="Z40" i="2"/>
  <c r="T40" i="2"/>
  <c r="R41" i="2"/>
  <c r="AA40" i="2"/>
  <c r="X40" i="2"/>
  <c r="U40" i="2"/>
  <c r="AJ40" i="2" s="1"/>
  <c r="V40" i="2"/>
  <c r="AK40" i="2" s="1"/>
  <c r="Y40" i="2"/>
  <c r="AB40" i="2"/>
  <c r="W40" i="2"/>
  <c r="S40" i="2"/>
  <c r="AI39" i="2"/>
  <c r="AJ39" i="2"/>
  <c r="AM39" i="2"/>
  <c r="AR39" i="2"/>
  <c r="AL39" i="2"/>
  <c r="J39" i="1"/>
  <c r="K39" i="1" s="1"/>
  <c r="O39" i="1" s="1"/>
  <c r="P39" i="1" s="1"/>
  <c r="Q39" i="1" s="1"/>
  <c r="R38" i="1"/>
  <c r="S38" i="1"/>
  <c r="G40" i="1"/>
  <c r="I40" i="1"/>
  <c r="Y41" i="1"/>
  <c r="H41" i="1"/>
  <c r="BA60" i="1"/>
  <c r="AZ60" i="1"/>
  <c r="AY60" i="1"/>
  <c r="AX60" i="1"/>
  <c r="AW60" i="1"/>
  <c r="AT60" i="1"/>
  <c r="AV60" i="1"/>
  <c r="AU60" i="1"/>
  <c r="AS60" i="1"/>
  <c r="AQ60" i="1"/>
  <c r="AR60" i="1"/>
  <c r="AP60" i="1"/>
  <c r="AO60" i="1"/>
  <c r="AN60" i="1"/>
  <c r="AM60" i="1"/>
  <c r="AL60" i="1"/>
  <c r="AK61" i="1"/>
  <c r="BE60" i="1"/>
  <c r="BD60" i="1"/>
  <c r="BC60" i="1"/>
  <c r="BB60" i="1"/>
  <c r="X40" i="1"/>
  <c r="W40" i="1"/>
  <c r="Z40" i="1"/>
  <c r="E41" i="1"/>
  <c r="V41" i="1"/>
  <c r="C40" i="1"/>
  <c r="D40" i="1"/>
  <c r="A42" i="1"/>
  <c r="B41" i="1"/>
  <c r="L41" i="1" s="1"/>
  <c r="AL40" i="2" l="1"/>
  <c r="AM40" i="2"/>
  <c r="AH40" i="2"/>
  <c r="AN40" i="2"/>
  <c r="AP40" i="2"/>
  <c r="AI40" i="2"/>
  <c r="AR40" i="2"/>
  <c r="F41" i="2"/>
  <c r="H41" i="2"/>
  <c r="K41" i="2"/>
  <c r="E41" i="2"/>
  <c r="G41" i="2"/>
  <c r="I41" i="2"/>
  <c r="J41" i="2"/>
  <c r="D41" i="2"/>
  <c r="AH41" i="2" s="1"/>
  <c r="C42" i="2"/>
  <c r="L41" i="2"/>
  <c r="M41" i="2"/>
  <c r="N41" i="2"/>
  <c r="O41" i="2"/>
  <c r="W41" i="2"/>
  <c r="AC41" i="2"/>
  <c r="S41" i="2"/>
  <c r="V41" i="2"/>
  <c r="AA41" i="2"/>
  <c r="AE41" i="2"/>
  <c r="AB41" i="2"/>
  <c r="Y41" i="2"/>
  <c r="AD41" i="2"/>
  <c r="U41" i="2"/>
  <c r="AJ41" i="2" s="1"/>
  <c r="Z41" i="2"/>
  <c r="X41" i="2"/>
  <c r="R42" i="2"/>
  <c r="T41" i="2"/>
  <c r="AO40" i="2"/>
  <c r="AS40" i="2"/>
  <c r="J40" i="1"/>
  <c r="K40" i="1" s="1"/>
  <c r="O40" i="1" s="1"/>
  <c r="P40" i="1" s="1"/>
  <c r="Q40" i="1" s="1"/>
  <c r="R39" i="1"/>
  <c r="S39" i="1"/>
  <c r="G41" i="1"/>
  <c r="I41" i="1" s="1"/>
  <c r="Y42" i="1"/>
  <c r="H42" i="1"/>
  <c r="AV61" i="1"/>
  <c r="AU61" i="1"/>
  <c r="AS61" i="1"/>
  <c r="AT61" i="1"/>
  <c r="AZ61" i="1"/>
  <c r="AX61" i="1"/>
  <c r="AY61" i="1"/>
  <c r="AW61" i="1"/>
  <c r="BD61" i="1"/>
  <c r="BC61" i="1"/>
  <c r="BB61" i="1"/>
  <c r="BA61" i="1"/>
  <c r="AL61" i="1"/>
  <c r="AR61" i="1"/>
  <c r="AO61" i="1"/>
  <c r="AN61" i="1"/>
  <c r="AQ61" i="1"/>
  <c r="AP61" i="1"/>
  <c r="AM61" i="1"/>
  <c r="BE61" i="1"/>
  <c r="AK62" i="1"/>
  <c r="W41" i="1"/>
  <c r="Z41" i="1"/>
  <c r="X41" i="1"/>
  <c r="E42" i="1"/>
  <c r="V42" i="1"/>
  <c r="C41" i="1"/>
  <c r="D41" i="1"/>
  <c r="A43" i="1"/>
  <c r="B42" i="1"/>
  <c r="L42" i="1" s="1"/>
  <c r="AM41" i="2" l="1"/>
  <c r="AO41" i="2"/>
  <c r="AR41" i="2"/>
  <c r="AI41" i="2"/>
  <c r="AN41" i="2"/>
  <c r="I42" i="2"/>
  <c r="C43" i="2"/>
  <c r="D42" i="2"/>
  <c r="M42" i="2"/>
  <c r="L42" i="2"/>
  <c r="H42" i="2"/>
  <c r="G42" i="2"/>
  <c r="F42" i="2"/>
  <c r="E42" i="2"/>
  <c r="J42" i="2"/>
  <c r="K42" i="2"/>
  <c r="N42" i="2"/>
  <c r="O42" i="2"/>
  <c r="AQ41" i="2"/>
  <c r="AK41" i="2"/>
  <c r="AL41" i="2"/>
  <c r="R43" i="2"/>
  <c r="AC42" i="2"/>
  <c r="AA42" i="2"/>
  <c r="U42" i="2"/>
  <c r="Y42" i="2"/>
  <c r="W42" i="2"/>
  <c r="AD42" i="2"/>
  <c r="AE42" i="2"/>
  <c r="X42" i="2"/>
  <c r="AM42" i="2" s="1"/>
  <c r="S42" i="2"/>
  <c r="V42" i="2"/>
  <c r="AB42" i="2"/>
  <c r="Z42" i="2"/>
  <c r="T42" i="2"/>
  <c r="AP41" i="2"/>
  <c r="AS41" i="2"/>
  <c r="J41" i="1"/>
  <c r="K41" i="1" s="1"/>
  <c r="O41" i="1" s="1"/>
  <c r="P41" i="1" s="1"/>
  <c r="Q41" i="1" s="1"/>
  <c r="R40" i="1"/>
  <c r="S40" i="1"/>
  <c r="G42" i="1"/>
  <c r="I42" i="1" s="1"/>
  <c r="Y43" i="1"/>
  <c r="H43" i="1"/>
  <c r="AQ62" i="1"/>
  <c r="AK63" i="1"/>
  <c r="AP62" i="1"/>
  <c r="BD62" i="1"/>
  <c r="BE62" i="1"/>
  <c r="AO62" i="1"/>
  <c r="AN62" i="1"/>
  <c r="AY62" i="1"/>
  <c r="AV62" i="1"/>
  <c r="AX62" i="1"/>
  <c r="AW62" i="1"/>
  <c r="BC62" i="1"/>
  <c r="AT62" i="1"/>
  <c r="BB62" i="1"/>
  <c r="BA62" i="1"/>
  <c r="AZ62" i="1"/>
  <c r="AU62" i="1"/>
  <c r="AS62" i="1"/>
  <c r="AR62" i="1"/>
  <c r="AM62" i="1"/>
  <c r="AL62" i="1"/>
  <c r="X42" i="1"/>
  <c r="W42" i="1"/>
  <c r="Z42" i="1"/>
  <c r="E43" i="1"/>
  <c r="V43" i="1"/>
  <c r="C42" i="1"/>
  <c r="D42" i="1"/>
  <c r="B43" i="1"/>
  <c r="L43" i="1" s="1"/>
  <c r="A44" i="1"/>
  <c r="AO42" i="2" l="1"/>
  <c r="AI42" i="2"/>
  <c r="AS42" i="2"/>
  <c r="AK42" i="2"/>
  <c r="AL42" i="2"/>
  <c r="AN42" i="2"/>
  <c r="AP42" i="2"/>
  <c r="AJ42" i="2"/>
  <c r="AQ42" i="2"/>
  <c r="AH42" i="2"/>
  <c r="AR42" i="2"/>
  <c r="K43" i="2"/>
  <c r="J43" i="2"/>
  <c r="F43" i="2"/>
  <c r="E43" i="2"/>
  <c r="I43" i="2"/>
  <c r="D43" i="2"/>
  <c r="M43" i="2"/>
  <c r="G43" i="2"/>
  <c r="N43" i="2"/>
  <c r="C44" i="2"/>
  <c r="H43" i="2"/>
  <c r="AL43" i="2" s="1"/>
  <c r="L43" i="2"/>
  <c r="O43" i="2"/>
  <c r="AS43" i="2" s="1"/>
  <c r="V43" i="2"/>
  <c r="Z43" i="2"/>
  <c r="AC43" i="2"/>
  <c r="U43" i="2"/>
  <c r="S43" i="2"/>
  <c r="Y43" i="2"/>
  <c r="T43" i="2"/>
  <c r="AA43" i="2"/>
  <c r="X43" i="2"/>
  <c r="W43" i="2"/>
  <c r="R44" i="2"/>
  <c r="AB43" i="2"/>
  <c r="AQ43" i="2" s="1"/>
  <c r="AE43" i="2"/>
  <c r="AD43" i="2"/>
  <c r="J42" i="1"/>
  <c r="K42" i="1" s="1"/>
  <c r="O42" i="1" s="1"/>
  <c r="P42" i="1" s="1"/>
  <c r="Q42" i="1" s="1"/>
  <c r="R41" i="1"/>
  <c r="S41" i="1"/>
  <c r="G43" i="1"/>
  <c r="I43" i="1" s="1"/>
  <c r="Y44" i="1"/>
  <c r="H44" i="1"/>
  <c r="BB63" i="1"/>
  <c r="AL63" i="1"/>
  <c r="BA63" i="1"/>
  <c r="AZ63" i="1"/>
  <c r="AY63" i="1"/>
  <c r="AX63" i="1"/>
  <c r="AV63" i="1"/>
  <c r="AW63" i="1"/>
  <c r="AU63" i="1"/>
  <c r="AP63" i="1"/>
  <c r="AN63" i="1"/>
  <c r="AO63" i="1"/>
  <c r="AM63" i="1"/>
  <c r="AK64" i="1"/>
  <c r="BD63" i="1"/>
  <c r="BE63" i="1"/>
  <c r="AR63" i="1"/>
  <c r="BC63" i="1"/>
  <c r="AT63" i="1"/>
  <c r="AS63" i="1"/>
  <c r="AQ63" i="1"/>
  <c r="W43" i="1"/>
  <c r="X43" i="1"/>
  <c r="Z43" i="1"/>
  <c r="E44" i="1"/>
  <c r="V44" i="1"/>
  <c r="C43" i="1"/>
  <c r="D43" i="1"/>
  <c r="A45" i="1"/>
  <c r="B44" i="1"/>
  <c r="L44" i="1" s="1"/>
  <c r="AP43" i="2" l="1"/>
  <c r="AN43" i="2"/>
  <c r="AM43" i="2"/>
  <c r="AH43" i="2"/>
  <c r="AO43" i="2"/>
  <c r="AR43" i="2"/>
  <c r="S44" i="2"/>
  <c r="AE44" i="2"/>
  <c r="AD44" i="2"/>
  <c r="X44" i="2"/>
  <c r="AB44" i="2"/>
  <c r="Y44" i="2"/>
  <c r="Z44" i="2"/>
  <c r="U44" i="2"/>
  <c r="T44" i="2"/>
  <c r="R45" i="2"/>
  <c r="V44" i="2"/>
  <c r="AC44" i="2"/>
  <c r="W44" i="2"/>
  <c r="AA44" i="2"/>
  <c r="AK43" i="2"/>
  <c r="AI43" i="2"/>
  <c r="AJ43" i="2"/>
  <c r="C45" i="2"/>
  <c r="M44" i="2"/>
  <c r="F44" i="2"/>
  <c r="N44" i="2"/>
  <c r="D44" i="2"/>
  <c r="L44" i="2"/>
  <c r="K44" i="2"/>
  <c r="H44" i="2"/>
  <c r="J44" i="2"/>
  <c r="I44" i="2"/>
  <c r="AM44" i="2" s="1"/>
  <c r="G44" i="2"/>
  <c r="E44" i="2"/>
  <c r="O44" i="2"/>
  <c r="J43" i="1"/>
  <c r="K43" i="1" s="1"/>
  <c r="O43" i="1" s="1"/>
  <c r="P43" i="1" s="1"/>
  <c r="Q43" i="1" s="1"/>
  <c r="R42" i="1"/>
  <c r="S42" i="1"/>
  <c r="G44" i="1"/>
  <c r="I44" i="1" s="1"/>
  <c r="Y45" i="1"/>
  <c r="H45" i="1"/>
  <c r="AW64" i="1"/>
  <c r="AV64" i="1"/>
  <c r="AT64" i="1"/>
  <c r="AU64" i="1"/>
  <c r="BA64" i="1"/>
  <c r="AX64" i="1"/>
  <c r="AZ64" i="1"/>
  <c r="AY64" i="1"/>
  <c r="AS64" i="1"/>
  <c r="AR64" i="1"/>
  <c r="AQ64" i="1"/>
  <c r="AP64" i="1"/>
  <c r="AO64" i="1"/>
  <c r="AN64" i="1"/>
  <c r="AM64" i="1"/>
  <c r="AL64" i="1"/>
  <c r="AK65" i="1"/>
  <c r="BE64" i="1"/>
  <c r="BD64" i="1"/>
  <c r="BC64" i="1"/>
  <c r="BB64" i="1"/>
  <c r="W44" i="1"/>
  <c r="X44" i="1"/>
  <c r="Z44" i="1"/>
  <c r="E45" i="1"/>
  <c r="V45" i="1"/>
  <c r="C44" i="1"/>
  <c r="D44" i="1"/>
  <c r="A46" i="1"/>
  <c r="B45" i="1"/>
  <c r="L45" i="1" s="1"/>
  <c r="AI44" i="2" l="1"/>
  <c r="AQ44" i="2"/>
  <c r="AR44" i="2"/>
  <c r="AS44" i="2"/>
  <c r="Y45" i="2"/>
  <c r="AE45" i="2"/>
  <c r="R46" i="2"/>
  <c r="V45" i="2"/>
  <c r="AA45" i="2"/>
  <c r="X45" i="2"/>
  <c r="Z45" i="2"/>
  <c r="AB45" i="2"/>
  <c r="AC45" i="2"/>
  <c r="AD45" i="2"/>
  <c r="W45" i="2"/>
  <c r="U45" i="2"/>
  <c r="T45" i="2"/>
  <c r="S45" i="2"/>
  <c r="AK44" i="2"/>
  <c r="AJ44" i="2"/>
  <c r="AH44" i="2"/>
  <c r="AO44" i="2"/>
  <c r="AN44" i="2"/>
  <c r="F45" i="2"/>
  <c r="G45" i="2"/>
  <c r="C46" i="2"/>
  <c r="D45" i="2"/>
  <c r="M45" i="2"/>
  <c r="I45" i="2"/>
  <c r="H45" i="2"/>
  <c r="O45" i="2"/>
  <c r="K45" i="2"/>
  <c r="AO45" i="2" s="1"/>
  <c r="N45" i="2"/>
  <c r="E45" i="2"/>
  <c r="L45" i="2"/>
  <c r="AP45" i="2" s="1"/>
  <c r="J45" i="2"/>
  <c r="AL44" i="2"/>
  <c r="AP44" i="2"/>
  <c r="J44" i="1"/>
  <c r="K44" i="1" s="1"/>
  <c r="O44" i="1" s="1"/>
  <c r="P44" i="1" s="1"/>
  <c r="Q44" i="1" s="1"/>
  <c r="R43" i="1"/>
  <c r="S43" i="1"/>
  <c r="G45" i="1"/>
  <c r="I45" i="1" s="1"/>
  <c r="Y46" i="1"/>
  <c r="H46" i="1"/>
  <c r="AR65" i="1"/>
  <c r="AQ65" i="1"/>
  <c r="BE65" i="1"/>
  <c r="AK66" i="1"/>
  <c r="AP65" i="1"/>
  <c r="AO65" i="1"/>
  <c r="AZ65" i="1"/>
  <c r="AX65" i="1"/>
  <c r="AY65" i="1"/>
  <c r="AW65" i="1"/>
  <c r="BD65" i="1"/>
  <c r="BB65" i="1"/>
  <c r="BC65" i="1"/>
  <c r="BA65" i="1"/>
  <c r="AL65" i="1"/>
  <c r="AV65" i="1"/>
  <c r="AM65" i="1"/>
  <c r="AU65" i="1"/>
  <c r="AT65" i="1"/>
  <c r="AS65" i="1"/>
  <c r="AN65" i="1"/>
  <c r="X45" i="1"/>
  <c r="W45" i="1"/>
  <c r="Z45" i="1"/>
  <c r="E46" i="1"/>
  <c r="V46" i="1"/>
  <c r="C45" i="1"/>
  <c r="D45" i="1"/>
  <c r="B46" i="1"/>
  <c r="L46" i="1" s="1"/>
  <c r="A47" i="1"/>
  <c r="AJ45" i="2" l="1"/>
  <c r="AN45" i="2"/>
  <c r="AH45" i="2"/>
  <c r="AR45" i="2"/>
  <c r="K46" i="2"/>
  <c r="E46" i="2"/>
  <c r="L46" i="2"/>
  <c r="I46" i="2"/>
  <c r="D46" i="2"/>
  <c r="H46" i="2"/>
  <c r="O46" i="2"/>
  <c r="M46" i="2"/>
  <c r="J46" i="2"/>
  <c r="G46" i="2"/>
  <c r="AK46" i="2" s="1"/>
  <c r="N46" i="2"/>
  <c r="C47" i="2"/>
  <c r="F46" i="2"/>
  <c r="AK45" i="2"/>
  <c r="AL45" i="2"/>
  <c r="AS45" i="2"/>
  <c r="AQ45" i="2"/>
  <c r="AM45" i="2"/>
  <c r="AC46" i="2"/>
  <c r="AB46" i="2"/>
  <c r="AE46" i="2"/>
  <c r="AA46" i="2"/>
  <c r="AP46" i="2" s="1"/>
  <c r="Y46" i="2"/>
  <c r="W46" i="2"/>
  <c r="V46" i="2"/>
  <c r="T46" i="2"/>
  <c r="AI46" i="2" s="1"/>
  <c r="S46" i="2"/>
  <c r="AD46" i="2"/>
  <c r="X46" i="2"/>
  <c r="U46" i="2"/>
  <c r="R47" i="2"/>
  <c r="Z46" i="2"/>
  <c r="AI45" i="2"/>
  <c r="J45" i="1"/>
  <c r="K45" i="1" s="1"/>
  <c r="O45" i="1" s="1"/>
  <c r="P45" i="1" s="1"/>
  <c r="Q45" i="1" s="1"/>
  <c r="R44" i="1"/>
  <c r="S44" i="1"/>
  <c r="G46" i="1"/>
  <c r="I46" i="1" s="1"/>
  <c r="Y47" i="1"/>
  <c r="H47" i="1"/>
  <c r="BC66" i="1"/>
  <c r="AM66" i="1"/>
  <c r="BB66" i="1"/>
  <c r="AL66" i="1"/>
  <c r="BA66" i="1"/>
  <c r="AZ66" i="1"/>
  <c r="AY66" i="1"/>
  <c r="AX66" i="1"/>
  <c r="AW66" i="1"/>
  <c r="AV66" i="1"/>
  <c r="AR66" i="1"/>
  <c r="AU66" i="1"/>
  <c r="AK67" i="1"/>
  <c r="BE66" i="1"/>
  <c r="BD66" i="1"/>
  <c r="AT66" i="1"/>
  <c r="AS66" i="1"/>
  <c r="AN66" i="1"/>
  <c r="AQ66" i="1"/>
  <c r="AP66" i="1"/>
  <c r="AO66" i="1"/>
  <c r="W46" i="1"/>
  <c r="X46" i="1"/>
  <c r="Z46" i="1"/>
  <c r="E47" i="1"/>
  <c r="V47" i="1"/>
  <c r="C46" i="1"/>
  <c r="D46" i="1"/>
  <c r="B47" i="1"/>
  <c r="L47" i="1" s="1"/>
  <c r="A48" i="1"/>
  <c r="AS46" i="2" l="1"/>
  <c r="AO46" i="2"/>
  <c r="AL46" i="2"/>
  <c r="E47" i="2"/>
  <c r="D47" i="2"/>
  <c r="L47" i="2"/>
  <c r="H47" i="2"/>
  <c r="C48" i="2"/>
  <c r="F47" i="2"/>
  <c r="M47" i="2"/>
  <c r="I47" i="2"/>
  <c r="O47" i="2"/>
  <c r="J47" i="2"/>
  <c r="K47" i="2"/>
  <c r="G47" i="2"/>
  <c r="N47" i="2"/>
  <c r="V47" i="2"/>
  <c r="AE47" i="2"/>
  <c r="AD47" i="2"/>
  <c r="U47" i="2"/>
  <c r="X47" i="2"/>
  <c r="Y47" i="2"/>
  <c r="S47" i="2"/>
  <c r="AC47" i="2"/>
  <c r="AB47" i="2"/>
  <c r="AA47" i="2"/>
  <c r="T47" i="2"/>
  <c r="W47" i="2"/>
  <c r="Z47" i="2"/>
  <c r="R48" i="2"/>
  <c r="AN46" i="2"/>
  <c r="AM46" i="2"/>
  <c r="AJ46" i="2"/>
  <c r="AH46" i="2"/>
  <c r="AQ46" i="2"/>
  <c r="AR46" i="2"/>
  <c r="J46" i="1"/>
  <c r="K46" i="1" s="1"/>
  <c r="O46" i="1" s="1"/>
  <c r="P46" i="1" s="1"/>
  <c r="Q46" i="1" s="1"/>
  <c r="R45" i="1"/>
  <c r="S45" i="1"/>
  <c r="G47" i="1"/>
  <c r="I47" i="1" s="1"/>
  <c r="Y48" i="1"/>
  <c r="H48" i="1"/>
  <c r="AX67" i="1"/>
  <c r="AW67" i="1"/>
  <c r="AU67" i="1"/>
  <c r="AV67" i="1"/>
  <c r="BB67" i="1"/>
  <c r="AZ67" i="1"/>
  <c r="AY67" i="1"/>
  <c r="BA67" i="1"/>
  <c r="AP67" i="1"/>
  <c r="AO67" i="1"/>
  <c r="AN67" i="1"/>
  <c r="AM67" i="1"/>
  <c r="AL67" i="1"/>
  <c r="BE67" i="1"/>
  <c r="BD67" i="1"/>
  <c r="AK68" i="1"/>
  <c r="BC67" i="1"/>
  <c r="AS67" i="1"/>
  <c r="AT67" i="1"/>
  <c r="AR67" i="1"/>
  <c r="AQ67" i="1"/>
  <c r="X47" i="1"/>
  <c r="W47" i="1"/>
  <c r="Z47" i="1"/>
  <c r="E48" i="1"/>
  <c r="V48" i="1"/>
  <c r="C47" i="1"/>
  <c r="D47" i="1"/>
  <c r="A49" i="1"/>
  <c r="B48" i="1"/>
  <c r="L48" i="1" s="1"/>
  <c r="AH47" i="2" l="1"/>
  <c r="AO47" i="2"/>
  <c r="AK47" i="2"/>
  <c r="AL47" i="2"/>
  <c r="R49" i="2"/>
  <c r="AB48" i="2"/>
  <c r="AE48" i="2"/>
  <c r="Y48" i="2"/>
  <c r="AC48" i="2"/>
  <c r="AA48" i="2"/>
  <c r="U48" i="2"/>
  <c r="X48" i="2"/>
  <c r="S48" i="2"/>
  <c r="Z48" i="2"/>
  <c r="V48" i="2"/>
  <c r="T48" i="2"/>
  <c r="W48" i="2"/>
  <c r="AD48" i="2"/>
  <c r="AQ47" i="2"/>
  <c r="AR47" i="2"/>
  <c r="AN47" i="2"/>
  <c r="AI47" i="2"/>
  <c r="L48" i="2"/>
  <c r="O48" i="2"/>
  <c r="AS48" i="2" s="1"/>
  <c r="E48" i="2"/>
  <c r="K48" i="2"/>
  <c r="C49" i="2"/>
  <c r="N48" i="2"/>
  <c r="F48" i="2"/>
  <c r="G48" i="2"/>
  <c r="D48" i="2"/>
  <c r="J48" i="2"/>
  <c r="I48" i="2"/>
  <c r="M48" i="2"/>
  <c r="H48" i="2"/>
  <c r="AP47" i="2"/>
  <c r="AM47" i="2"/>
  <c r="AJ47" i="2"/>
  <c r="AS47" i="2"/>
  <c r="J47" i="1"/>
  <c r="K47" i="1" s="1"/>
  <c r="O47" i="1" s="1"/>
  <c r="P47" i="1" s="1"/>
  <c r="Q47" i="1" s="1"/>
  <c r="R46" i="1"/>
  <c r="S46" i="1"/>
  <c r="G48" i="1"/>
  <c r="I48" i="1" s="1"/>
  <c r="Y49" i="1"/>
  <c r="H49" i="1"/>
  <c r="AS68" i="1"/>
  <c r="AR68" i="1"/>
  <c r="AK69" i="1"/>
  <c r="AP68" i="1"/>
  <c r="AQ68" i="1"/>
  <c r="BA68" i="1"/>
  <c r="AZ68" i="1"/>
  <c r="AY68" i="1"/>
  <c r="AX68" i="1"/>
  <c r="AW68" i="1"/>
  <c r="AU68" i="1"/>
  <c r="AV68" i="1"/>
  <c r="AT68" i="1"/>
  <c r="AO68" i="1"/>
  <c r="AN68" i="1"/>
  <c r="AM68" i="1"/>
  <c r="AL68" i="1"/>
  <c r="BE68" i="1"/>
  <c r="BD68" i="1"/>
  <c r="BB68" i="1"/>
  <c r="BC68" i="1"/>
  <c r="X48" i="1"/>
  <c r="W48" i="1"/>
  <c r="Z48" i="1"/>
  <c r="E49" i="1"/>
  <c r="V49" i="1"/>
  <c r="C48" i="1"/>
  <c r="D48" i="1"/>
  <c r="A50" i="1"/>
  <c r="B49" i="1"/>
  <c r="L49" i="1" s="1"/>
  <c r="AQ48" i="2" l="1"/>
  <c r="AO48" i="2"/>
  <c r="AK48" i="2"/>
  <c r="AH48" i="2"/>
  <c r="AJ48" i="2"/>
  <c r="AN48" i="2"/>
  <c r="O49" i="2"/>
  <c r="E49" i="2"/>
  <c r="I49" i="2"/>
  <c r="H49" i="2"/>
  <c r="M49" i="2"/>
  <c r="G49" i="2"/>
  <c r="D49" i="2"/>
  <c r="N49" i="2"/>
  <c r="J49" i="2"/>
  <c r="F49" i="2"/>
  <c r="C50" i="2"/>
  <c r="L49" i="2"/>
  <c r="K49" i="2"/>
  <c r="AP48" i="2"/>
  <c r="AI48" i="2"/>
  <c r="AR48" i="2"/>
  <c r="R50" i="2"/>
  <c r="Z49" i="2"/>
  <c r="Y49" i="2"/>
  <c r="AA49" i="2"/>
  <c r="X49" i="2"/>
  <c r="S49" i="2"/>
  <c r="AE49" i="2"/>
  <c r="AB49" i="2"/>
  <c r="U49" i="2"/>
  <c r="AD49" i="2"/>
  <c r="W49" i="2"/>
  <c r="V49" i="2"/>
  <c r="T49" i="2"/>
  <c r="AC49" i="2"/>
  <c r="AM48" i="2"/>
  <c r="AL48" i="2"/>
  <c r="J48" i="1"/>
  <c r="K48" i="1" s="1"/>
  <c r="O48" i="1" s="1"/>
  <c r="P48" i="1" s="1"/>
  <c r="Q48" i="1" s="1"/>
  <c r="R47" i="1"/>
  <c r="S47" i="1"/>
  <c r="G49" i="1"/>
  <c r="I49" i="1" s="1"/>
  <c r="Y50" i="1"/>
  <c r="H50" i="1"/>
  <c r="BD69" i="1"/>
  <c r="AN69" i="1"/>
  <c r="BC69" i="1"/>
  <c r="AM69" i="1"/>
  <c r="BB69" i="1"/>
  <c r="AL69" i="1"/>
  <c r="BA69" i="1"/>
  <c r="AZ69" i="1"/>
  <c r="AX69" i="1"/>
  <c r="AW69" i="1"/>
  <c r="AY69" i="1"/>
  <c r="AK70" i="1"/>
  <c r="BE69" i="1"/>
  <c r="AP69" i="1"/>
  <c r="AV69" i="1"/>
  <c r="AR69" i="1"/>
  <c r="AO69" i="1"/>
  <c r="AU69" i="1"/>
  <c r="AT69" i="1"/>
  <c r="AS69" i="1"/>
  <c r="AQ69" i="1"/>
  <c r="X49" i="1"/>
  <c r="W49" i="1"/>
  <c r="Z49" i="1"/>
  <c r="E50" i="1"/>
  <c r="V50" i="1"/>
  <c r="C49" i="1"/>
  <c r="D49" i="1"/>
  <c r="B50" i="1"/>
  <c r="L50" i="1" s="1"/>
  <c r="A51" i="1"/>
  <c r="AO49" i="2" l="1"/>
  <c r="AS49" i="2"/>
  <c r="AP49" i="2"/>
  <c r="AK49" i="2"/>
  <c r="O50" i="2"/>
  <c r="I50" i="2"/>
  <c r="D50" i="2"/>
  <c r="H50" i="2"/>
  <c r="N50" i="2"/>
  <c r="L50" i="2"/>
  <c r="AP50" i="2" s="1"/>
  <c r="E50" i="2"/>
  <c r="C51" i="2"/>
  <c r="G50" i="2"/>
  <c r="AK50" i="2" s="1"/>
  <c r="M50" i="2"/>
  <c r="K50" i="2"/>
  <c r="J50" i="2"/>
  <c r="AN50" i="2" s="1"/>
  <c r="F50" i="2"/>
  <c r="AJ50" i="2" s="1"/>
  <c r="AJ49" i="2"/>
  <c r="AQ49" i="2"/>
  <c r="AH49" i="2"/>
  <c r="AN49" i="2"/>
  <c r="AR49" i="2"/>
  <c r="AM49" i="2"/>
  <c r="W50" i="2"/>
  <c r="Y50" i="2"/>
  <c r="S50" i="2"/>
  <c r="R51" i="2"/>
  <c r="V50" i="2"/>
  <c r="U50" i="2"/>
  <c r="T50" i="2"/>
  <c r="Z50" i="2"/>
  <c r="X50" i="2"/>
  <c r="AD50" i="2"/>
  <c r="AE50" i="2"/>
  <c r="AC50" i="2"/>
  <c r="AB50" i="2"/>
  <c r="AA50" i="2"/>
  <c r="AI49" i="2"/>
  <c r="AL49" i="2"/>
  <c r="J49" i="1"/>
  <c r="K49" i="1" s="1"/>
  <c r="O49" i="1" s="1"/>
  <c r="P49" i="1" s="1"/>
  <c r="Q49" i="1" s="1"/>
  <c r="R48" i="1"/>
  <c r="S48" i="1"/>
  <c r="G50" i="1"/>
  <c r="I50" i="1" s="1"/>
  <c r="Y51" i="1"/>
  <c r="H51" i="1"/>
  <c r="AY70" i="1"/>
  <c r="AX70" i="1"/>
  <c r="AV70" i="1"/>
  <c r="AW70" i="1"/>
  <c r="BC70" i="1"/>
  <c r="BB70" i="1"/>
  <c r="BA70" i="1"/>
  <c r="AZ70" i="1"/>
  <c r="AM70" i="1"/>
  <c r="AL70" i="1"/>
  <c r="AR70" i="1"/>
  <c r="AT70" i="1"/>
  <c r="AS70" i="1"/>
  <c r="AK71" i="1"/>
  <c r="BE70" i="1"/>
  <c r="BD70" i="1"/>
  <c r="AU70" i="1"/>
  <c r="AQ70" i="1"/>
  <c r="AP70" i="1"/>
  <c r="AO70" i="1"/>
  <c r="AN70" i="1"/>
  <c r="W50" i="1"/>
  <c r="X50" i="1"/>
  <c r="Z50" i="1"/>
  <c r="E51" i="1"/>
  <c r="V51" i="1"/>
  <c r="C50" i="1"/>
  <c r="D50" i="1"/>
  <c r="B51" i="1"/>
  <c r="L51" i="1" s="1"/>
  <c r="A52" i="1"/>
  <c r="AS50" i="2" l="1"/>
  <c r="AH50" i="2"/>
  <c r="AL50" i="2"/>
  <c r="AO50" i="2"/>
  <c r="AR50" i="2"/>
  <c r="AE51" i="2"/>
  <c r="AB51" i="2"/>
  <c r="Z51" i="2"/>
  <c r="R52" i="2"/>
  <c r="AD51" i="2"/>
  <c r="T51" i="2"/>
  <c r="AC51" i="2"/>
  <c r="AR51" i="2" s="1"/>
  <c r="X51" i="2"/>
  <c r="U51" i="2"/>
  <c r="Y51" i="2"/>
  <c r="W51" i="2"/>
  <c r="V51" i="2"/>
  <c r="S51" i="2"/>
  <c r="AA51" i="2"/>
  <c r="AI50" i="2"/>
  <c r="AM50" i="2"/>
  <c r="G51" i="2"/>
  <c r="N51" i="2"/>
  <c r="M51" i="2"/>
  <c r="AQ51" i="2" s="1"/>
  <c r="O51" i="2"/>
  <c r="J51" i="2"/>
  <c r="I51" i="2"/>
  <c r="C52" i="2"/>
  <c r="L51" i="2"/>
  <c r="K51" i="2"/>
  <c r="H51" i="2"/>
  <c r="D51" i="2"/>
  <c r="AH51" i="2" s="1"/>
  <c r="F51" i="2"/>
  <c r="E51" i="2"/>
  <c r="AQ50" i="2"/>
  <c r="J50" i="1"/>
  <c r="K50" i="1" s="1"/>
  <c r="O50" i="1" s="1"/>
  <c r="P50" i="1" s="1"/>
  <c r="Q50" i="1" s="1"/>
  <c r="R49" i="1"/>
  <c r="S49" i="1"/>
  <c r="G51" i="1"/>
  <c r="I51" i="1" s="1"/>
  <c r="Y52" i="1"/>
  <c r="H52" i="1"/>
  <c r="AT71" i="1"/>
  <c r="AS71" i="1"/>
  <c r="AQ71" i="1"/>
  <c r="AR71" i="1"/>
  <c r="BB71" i="1"/>
  <c r="AZ71" i="1"/>
  <c r="AY71" i="1"/>
  <c r="BA71" i="1"/>
  <c r="AP71" i="1"/>
  <c r="AN71" i="1"/>
  <c r="BD71" i="1"/>
  <c r="BC71" i="1"/>
  <c r="AO71" i="1"/>
  <c r="AM71" i="1"/>
  <c r="AL71" i="1"/>
  <c r="AK72" i="1"/>
  <c r="BE71" i="1"/>
  <c r="AU71" i="1"/>
  <c r="AX71" i="1"/>
  <c r="AW71" i="1"/>
  <c r="AV71" i="1"/>
  <c r="X51" i="1"/>
  <c r="W51" i="1"/>
  <c r="Z51" i="1"/>
  <c r="E52" i="1"/>
  <c r="V52" i="1"/>
  <c r="C51" i="1"/>
  <c r="D51" i="1"/>
  <c r="A53" i="1"/>
  <c r="B52" i="1"/>
  <c r="L52" i="1" s="1"/>
  <c r="AN51" i="2" l="1"/>
  <c r="AM51" i="2"/>
  <c r="AK51" i="2"/>
  <c r="AE52" i="2"/>
  <c r="R53" i="2"/>
  <c r="AB52" i="2"/>
  <c r="U52" i="2"/>
  <c r="AD52" i="2"/>
  <c r="Z52" i="2"/>
  <c r="AC52" i="2"/>
  <c r="AA52" i="2"/>
  <c r="Y52" i="2"/>
  <c r="AN52" i="2" s="1"/>
  <c r="V52" i="2"/>
  <c r="X52" i="2"/>
  <c r="AM52" i="2" s="1"/>
  <c r="W52" i="2"/>
  <c r="T52" i="2"/>
  <c r="S52" i="2"/>
  <c r="AL51" i="2"/>
  <c r="AJ51" i="2"/>
  <c r="J52" i="2"/>
  <c r="F52" i="2"/>
  <c r="E52" i="2"/>
  <c r="O52" i="2"/>
  <c r="D52" i="2"/>
  <c r="I52" i="2"/>
  <c r="C53" i="2"/>
  <c r="K52" i="2"/>
  <c r="AO52" i="2" s="1"/>
  <c r="G52" i="2"/>
  <c r="M52" i="2"/>
  <c r="AQ52" i="2" s="1"/>
  <c r="L52" i="2"/>
  <c r="AP52" i="2" s="1"/>
  <c r="H52" i="2"/>
  <c r="AL52" i="2" s="1"/>
  <c r="N52" i="2"/>
  <c r="AS51" i="2"/>
  <c r="AO51" i="2"/>
  <c r="AP51" i="2"/>
  <c r="AI51" i="2"/>
  <c r="J51" i="1"/>
  <c r="K51" i="1" s="1"/>
  <c r="O51" i="1" s="1"/>
  <c r="P51" i="1" s="1"/>
  <c r="Q51" i="1" s="1"/>
  <c r="R50" i="1"/>
  <c r="S50" i="1"/>
  <c r="G52" i="1"/>
  <c r="I52" i="1" s="1"/>
  <c r="Y53" i="1"/>
  <c r="H53" i="1"/>
  <c r="BE72" i="1"/>
  <c r="AO72" i="1"/>
  <c r="BD72" i="1"/>
  <c r="AN72" i="1"/>
  <c r="BB72" i="1"/>
  <c r="AL72" i="1"/>
  <c r="BC72" i="1"/>
  <c r="AM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K73" i="1"/>
  <c r="W52" i="1"/>
  <c r="X52" i="1"/>
  <c r="Z52" i="1"/>
  <c r="E53" i="1"/>
  <c r="V53" i="1"/>
  <c r="C52" i="1"/>
  <c r="D52" i="1"/>
  <c r="B53" i="1"/>
  <c r="L53" i="1" s="1"/>
  <c r="A54" i="1"/>
  <c r="AH52" i="2" l="1"/>
  <c r="AI52" i="2"/>
  <c r="AJ52" i="2"/>
  <c r="AK52" i="2"/>
  <c r="AE53" i="2"/>
  <c r="AA53" i="2"/>
  <c r="AB53" i="2"/>
  <c r="AC53" i="2"/>
  <c r="S53" i="2"/>
  <c r="AH53" i="2" s="1"/>
  <c r="V53" i="2"/>
  <c r="R54" i="2"/>
  <c r="Z53" i="2"/>
  <c r="AO53" i="2" s="1"/>
  <c r="Y53" i="2"/>
  <c r="AD53" i="2"/>
  <c r="W53" i="2"/>
  <c r="U53" i="2"/>
  <c r="T53" i="2"/>
  <c r="X53" i="2"/>
  <c r="E53" i="2"/>
  <c r="D53" i="2"/>
  <c r="K53" i="2"/>
  <c r="F53" i="2"/>
  <c r="C54" i="2"/>
  <c r="N53" i="2"/>
  <c r="L53" i="2"/>
  <c r="AP53" i="2" s="1"/>
  <c r="H53" i="2"/>
  <c r="O53" i="2"/>
  <c r="M53" i="2"/>
  <c r="I53" i="2"/>
  <c r="G53" i="2"/>
  <c r="AK53" i="2" s="1"/>
  <c r="J53" i="2"/>
  <c r="AR52" i="2"/>
  <c r="AS52" i="2"/>
  <c r="J52" i="1"/>
  <c r="K52" i="1" s="1"/>
  <c r="O52" i="1" s="1"/>
  <c r="P52" i="1" s="1"/>
  <c r="Q52" i="1" s="1"/>
  <c r="R51" i="1"/>
  <c r="S51" i="1"/>
  <c r="G53" i="1"/>
  <c r="I53" i="1" s="1"/>
  <c r="Y54" i="1"/>
  <c r="H54" i="1"/>
  <c r="AZ73" i="1"/>
  <c r="AY73" i="1"/>
  <c r="AW73" i="1"/>
  <c r="AX73" i="1"/>
  <c r="BD73" i="1"/>
  <c r="BB73" i="1"/>
  <c r="BA73" i="1"/>
  <c r="BC73" i="1"/>
  <c r="AK74" i="1"/>
  <c r="BE73" i="1"/>
  <c r="AQ73" i="1"/>
  <c r="AV73" i="1"/>
  <c r="AU73" i="1"/>
  <c r="AT73" i="1"/>
  <c r="AS73" i="1"/>
  <c r="AR73" i="1"/>
  <c r="AP73" i="1"/>
  <c r="AO73" i="1"/>
  <c r="AN73" i="1"/>
  <c r="AL73" i="1"/>
  <c r="AM73" i="1"/>
  <c r="W53" i="1"/>
  <c r="X53" i="1"/>
  <c r="Z53" i="1"/>
  <c r="E54" i="1"/>
  <c r="V54" i="1"/>
  <c r="C53" i="1"/>
  <c r="D53" i="1"/>
  <c r="A55" i="1"/>
  <c r="B54" i="1"/>
  <c r="L54" i="1" s="1"/>
  <c r="AS53" i="2" l="1"/>
  <c r="AJ53" i="2"/>
  <c r="AL53" i="2"/>
  <c r="AN53" i="2"/>
  <c r="AM53" i="2"/>
  <c r="T54" i="2"/>
  <c r="AE54" i="2"/>
  <c r="AB54" i="2"/>
  <c r="W54" i="2"/>
  <c r="S54" i="2"/>
  <c r="Y54" i="2"/>
  <c r="Z54" i="2"/>
  <c r="X54" i="2"/>
  <c r="R55" i="2"/>
  <c r="V54" i="2"/>
  <c r="AD54" i="2"/>
  <c r="AC54" i="2"/>
  <c r="AA54" i="2"/>
  <c r="U54" i="2"/>
  <c r="AR53" i="2"/>
  <c r="M54" i="2"/>
  <c r="O54" i="2"/>
  <c r="D54" i="2"/>
  <c r="H54" i="2"/>
  <c r="L54" i="2"/>
  <c r="K54" i="2"/>
  <c r="J54" i="2"/>
  <c r="N54" i="2"/>
  <c r="F54" i="2"/>
  <c r="E54" i="2"/>
  <c r="G54" i="2"/>
  <c r="C55" i="2"/>
  <c r="I54" i="2"/>
  <c r="AQ53" i="2"/>
  <c r="AI53" i="2"/>
  <c r="J53" i="1"/>
  <c r="K53" i="1" s="1"/>
  <c r="O53" i="1" s="1"/>
  <c r="P53" i="1" s="1"/>
  <c r="Q53" i="1" s="1"/>
  <c r="R52" i="1"/>
  <c r="S52" i="1"/>
  <c r="G54" i="1"/>
  <c r="I54" i="1"/>
  <c r="Y55" i="1"/>
  <c r="H55" i="1"/>
  <c r="AU74" i="1"/>
  <c r="AT74" i="1"/>
  <c r="AR74" i="1"/>
  <c r="AS74" i="1"/>
  <c r="BC74" i="1"/>
  <c r="AZ74" i="1"/>
  <c r="BB74" i="1"/>
  <c r="BA74" i="1"/>
  <c r="AM74" i="1"/>
  <c r="AL74" i="1"/>
  <c r="BD74" i="1"/>
  <c r="AY74" i="1"/>
  <c r="AX74" i="1"/>
  <c r="AW74" i="1"/>
  <c r="AV74" i="1"/>
  <c r="AK75" i="1"/>
  <c r="BE74" i="1"/>
  <c r="AQ74" i="1"/>
  <c r="AP74" i="1"/>
  <c r="AN74" i="1"/>
  <c r="AO74" i="1"/>
  <c r="X54" i="1"/>
  <c r="W54" i="1"/>
  <c r="Z54" i="1"/>
  <c r="E55" i="1"/>
  <c r="V55" i="1"/>
  <c r="C54" i="1"/>
  <c r="D54" i="1"/>
  <c r="A56" i="1"/>
  <c r="B55" i="1"/>
  <c r="L55" i="1" s="1"/>
  <c r="AL54" i="2" l="1"/>
  <c r="AJ54" i="2"/>
  <c r="G55" i="2"/>
  <c r="D55" i="2"/>
  <c r="O55" i="2"/>
  <c r="M55" i="2"/>
  <c r="I55" i="2"/>
  <c r="N55" i="2"/>
  <c r="K55" i="2"/>
  <c r="F55" i="2"/>
  <c r="E55" i="2"/>
  <c r="C56" i="2"/>
  <c r="L55" i="2"/>
  <c r="J55" i="2"/>
  <c r="H55" i="2"/>
  <c r="AL55" i="2" s="1"/>
  <c r="AK54" i="2"/>
  <c r="AM54" i="2"/>
  <c r="AH54" i="2"/>
  <c r="AS54" i="2"/>
  <c r="AI54" i="2"/>
  <c r="AP54" i="2"/>
  <c r="V55" i="2"/>
  <c r="AK55" i="2" s="1"/>
  <c r="X55" i="2"/>
  <c r="AD55" i="2"/>
  <c r="AS55" i="2" s="1"/>
  <c r="S55" i="2"/>
  <c r="AH55" i="2" s="1"/>
  <c r="W55" i="2"/>
  <c r="U55" i="2"/>
  <c r="Y55" i="2"/>
  <c r="T55" i="2"/>
  <c r="R56" i="2"/>
  <c r="AC55" i="2"/>
  <c r="AR55" i="2" s="1"/>
  <c r="AB55" i="2"/>
  <c r="AE55" i="2"/>
  <c r="AA55" i="2"/>
  <c r="Z55" i="2"/>
  <c r="AR54" i="2"/>
  <c r="AO54" i="2"/>
  <c r="AN54" i="2"/>
  <c r="AQ54" i="2"/>
  <c r="J54" i="1"/>
  <c r="K54" i="1" s="1"/>
  <c r="O54" i="1" s="1"/>
  <c r="P54" i="1" s="1"/>
  <c r="Q54" i="1" s="1"/>
  <c r="R53" i="1"/>
  <c r="S53" i="1"/>
  <c r="G55" i="1"/>
  <c r="I55" i="1"/>
  <c r="Y56" i="1"/>
  <c r="H56" i="1"/>
  <c r="AK76" i="1"/>
  <c r="AK77" i="1" s="1"/>
  <c r="AP75" i="1"/>
  <c r="BE75" i="1"/>
  <c r="AO75" i="1"/>
  <c r="AM75" i="1"/>
  <c r="BD75" i="1"/>
  <c r="AN75" i="1"/>
  <c r="BC75" i="1"/>
  <c r="BB75" i="1"/>
  <c r="AZ75" i="1"/>
  <c r="BA75" i="1"/>
  <c r="AY75" i="1"/>
  <c r="AT75" i="1"/>
  <c r="AS75" i="1"/>
  <c r="AR75" i="1"/>
  <c r="AQ75" i="1"/>
  <c r="AL75" i="1"/>
  <c r="AX75" i="1"/>
  <c r="AW75" i="1"/>
  <c r="AV75" i="1"/>
  <c r="AU75" i="1"/>
  <c r="X55" i="1"/>
  <c r="W55" i="1"/>
  <c r="Z55" i="1"/>
  <c r="E56" i="1"/>
  <c r="V56" i="1"/>
  <c r="C55" i="1"/>
  <c r="D55" i="1"/>
  <c r="B56" i="1"/>
  <c r="L56" i="1" s="1"/>
  <c r="A57" i="1"/>
  <c r="AQ55" i="2" l="1"/>
  <c r="AJ55" i="2"/>
  <c r="AN55" i="2"/>
  <c r="AE56" i="2"/>
  <c r="R57" i="2"/>
  <c r="T56" i="2"/>
  <c r="AD56" i="2"/>
  <c r="Y56" i="2"/>
  <c r="AA56" i="2"/>
  <c r="AP56" i="2" s="1"/>
  <c r="S56" i="2"/>
  <c r="AC56" i="2"/>
  <c r="AR56" i="2" s="1"/>
  <c r="U56" i="2"/>
  <c r="W56" i="2"/>
  <c r="AB56" i="2"/>
  <c r="AQ56" i="2" s="1"/>
  <c r="Z56" i="2"/>
  <c r="X56" i="2"/>
  <c r="V56" i="2"/>
  <c r="L56" i="2"/>
  <c r="J56" i="2"/>
  <c r="O56" i="2"/>
  <c r="N56" i="2"/>
  <c r="G56" i="2"/>
  <c r="M56" i="2"/>
  <c r="I56" i="2"/>
  <c r="K56" i="2"/>
  <c r="H56" i="2"/>
  <c r="C57" i="2"/>
  <c r="F56" i="2"/>
  <c r="D56" i="2"/>
  <c r="E56" i="2"/>
  <c r="AM55" i="2"/>
  <c r="AO55" i="2"/>
  <c r="AI55" i="2"/>
  <c r="AP55" i="2"/>
  <c r="J55" i="1"/>
  <c r="K55" i="1" s="1"/>
  <c r="O55" i="1" s="1"/>
  <c r="P55" i="1" s="1"/>
  <c r="Q55" i="1" s="1"/>
  <c r="R54" i="1"/>
  <c r="S54" i="1"/>
  <c r="G56" i="1"/>
  <c r="I56" i="1" s="1"/>
  <c r="Y57" i="1"/>
  <c r="H57" i="1"/>
  <c r="BE77" i="1"/>
  <c r="AK78" i="1"/>
  <c r="AM77" i="1"/>
  <c r="AN77" i="1"/>
  <c r="AL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A76" i="1"/>
  <c r="AZ76" i="1"/>
  <c r="AX76" i="1"/>
  <c r="AY76" i="1"/>
  <c r="BE76" i="1"/>
  <c r="BB76" i="1"/>
  <c r="BD76" i="1"/>
  <c r="BC76" i="1"/>
  <c r="AW76" i="1"/>
  <c r="AU76" i="1"/>
  <c r="AV76" i="1"/>
  <c r="AT76" i="1"/>
  <c r="AM76" i="1"/>
  <c r="AL76" i="1"/>
  <c r="AS76" i="1"/>
  <c r="AR76" i="1"/>
  <c r="AQ76" i="1"/>
  <c r="AP76" i="1"/>
  <c r="AO76" i="1"/>
  <c r="AN76" i="1"/>
  <c r="X56" i="1"/>
  <c r="W56" i="1"/>
  <c r="Z56" i="1"/>
  <c r="E57" i="1"/>
  <c r="V57" i="1"/>
  <c r="C56" i="1"/>
  <c r="D56" i="1"/>
  <c r="A58" i="1"/>
  <c r="B57" i="1"/>
  <c r="L57" i="1" s="1"/>
  <c r="AM56" i="2" l="1"/>
  <c r="AS56" i="2"/>
  <c r="G57" i="2"/>
  <c r="O57" i="2"/>
  <c r="L57" i="2"/>
  <c r="M57" i="2"/>
  <c r="D57" i="2"/>
  <c r="J57" i="2"/>
  <c r="C58" i="2"/>
  <c r="K57" i="2"/>
  <c r="E57" i="2"/>
  <c r="AI57" i="2" s="1"/>
  <c r="I57" i="2"/>
  <c r="H57" i="2"/>
  <c r="AL57" i="2" s="1"/>
  <c r="N57" i="2"/>
  <c r="F57" i="2"/>
  <c r="AJ57" i="2" s="1"/>
  <c r="AH56" i="2"/>
  <c r="AE57" i="2"/>
  <c r="AD57" i="2"/>
  <c r="V57" i="2"/>
  <c r="W57" i="2"/>
  <c r="S57" i="2"/>
  <c r="AC57" i="2"/>
  <c r="Y57" i="2"/>
  <c r="AA57" i="2"/>
  <c r="AP57" i="2" s="1"/>
  <c r="X57" i="2"/>
  <c r="T57" i="2"/>
  <c r="AB57" i="2"/>
  <c r="U57" i="2"/>
  <c r="R58" i="2"/>
  <c r="Z57" i="2"/>
  <c r="AO57" i="2" s="1"/>
  <c r="AJ56" i="2"/>
  <c r="AO56" i="2"/>
  <c r="AK56" i="2"/>
  <c r="AN56" i="2"/>
  <c r="AL56" i="2"/>
  <c r="AI56" i="2"/>
  <c r="J56" i="1"/>
  <c r="K56" i="1" s="1"/>
  <c r="O56" i="1" s="1"/>
  <c r="P56" i="1" s="1"/>
  <c r="Q56" i="1" s="1"/>
  <c r="R55" i="1"/>
  <c r="S55" i="1"/>
  <c r="G57" i="1"/>
  <c r="I57" i="1" s="1"/>
  <c r="Y58" i="1"/>
  <c r="H58" i="1"/>
  <c r="AM78" i="1"/>
  <c r="AO78" i="1"/>
  <c r="AN78" i="1"/>
  <c r="AK79" i="1"/>
  <c r="AL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X57" i="1"/>
  <c r="W57" i="1"/>
  <c r="Z57" i="1"/>
  <c r="E58" i="1"/>
  <c r="V58" i="1"/>
  <c r="C57" i="1"/>
  <c r="D57" i="1"/>
  <c r="B58" i="1"/>
  <c r="L58" i="1" s="1"/>
  <c r="A59" i="1"/>
  <c r="AQ57" i="2" l="1"/>
  <c r="AK57" i="2"/>
  <c r="AS57" i="2"/>
  <c r="V58" i="2"/>
  <c r="X58" i="2"/>
  <c r="AC58" i="2"/>
  <c r="AA58" i="2"/>
  <c r="U58" i="2"/>
  <c r="T58" i="2"/>
  <c r="Y58" i="2"/>
  <c r="AE58" i="2"/>
  <c r="AD58" i="2"/>
  <c r="AS58" i="2" s="1"/>
  <c r="S58" i="2"/>
  <c r="Z58" i="2"/>
  <c r="AB58" i="2"/>
  <c r="W58" i="2"/>
  <c r="R59" i="2"/>
  <c r="AM57" i="2"/>
  <c r="AN57" i="2"/>
  <c r="AR57" i="2"/>
  <c r="F58" i="2"/>
  <c r="O58" i="2"/>
  <c r="K58" i="2"/>
  <c r="J58" i="2"/>
  <c r="I58" i="2"/>
  <c r="H58" i="2"/>
  <c r="G58" i="2"/>
  <c r="N58" i="2"/>
  <c r="M58" i="2"/>
  <c r="L58" i="2"/>
  <c r="AP58" i="2" s="1"/>
  <c r="D58" i="2"/>
  <c r="AH58" i="2" s="1"/>
  <c r="C59" i="2"/>
  <c r="E58" i="2"/>
  <c r="AI58" i="2" s="1"/>
  <c r="AH57" i="2"/>
  <c r="J57" i="1"/>
  <c r="K57" i="1" s="1"/>
  <c r="O57" i="1" s="1"/>
  <c r="P57" i="1" s="1"/>
  <c r="Q57" i="1" s="1"/>
  <c r="R56" i="1"/>
  <c r="S56" i="1"/>
  <c r="G58" i="1"/>
  <c r="I58" i="1" s="1"/>
  <c r="Y59" i="1"/>
  <c r="H59" i="1"/>
  <c r="AP79" i="1"/>
  <c r="AN79" i="1"/>
  <c r="AM79" i="1"/>
  <c r="AL79" i="1"/>
  <c r="AO79" i="1"/>
  <c r="AK80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X58" i="1"/>
  <c r="W58" i="1"/>
  <c r="Z58" i="1"/>
  <c r="E59" i="1"/>
  <c r="V59" i="1"/>
  <c r="C58" i="1"/>
  <c r="D58" i="1"/>
  <c r="B59" i="1"/>
  <c r="L59" i="1" s="1"/>
  <c r="A60" i="1"/>
  <c r="AN58" i="2" l="1"/>
  <c r="AL58" i="2"/>
  <c r="AJ58" i="2"/>
  <c r="AC59" i="2"/>
  <c r="AA59" i="2"/>
  <c r="W59" i="2"/>
  <c r="V59" i="2"/>
  <c r="AE59" i="2"/>
  <c r="AD59" i="2"/>
  <c r="AB59" i="2"/>
  <c r="Z59" i="2"/>
  <c r="S59" i="2"/>
  <c r="R60" i="2"/>
  <c r="Y59" i="2"/>
  <c r="AN59" i="2" s="1"/>
  <c r="X59" i="2"/>
  <c r="AM59" i="2" s="1"/>
  <c r="T59" i="2"/>
  <c r="U59" i="2"/>
  <c r="E59" i="2"/>
  <c r="H59" i="2"/>
  <c r="N59" i="2"/>
  <c r="G59" i="2"/>
  <c r="F59" i="2"/>
  <c r="D59" i="2"/>
  <c r="C60" i="2"/>
  <c r="J59" i="2"/>
  <c r="I59" i="2"/>
  <c r="O59" i="2"/>
  <c r="K59" i="2"/>
  <c r="M59" i="2"/>
  <c r="L59" i="2"/>
  <c r="AQ58" i="2"/>
  <c r="AO58" i="2"/>
  <c r="AR58" i="2"/>
  <c r="AM58" i="2"/>
  <c r="AK58" i="2"/>
  <c r="J58" i="1"/>
  <c r="K58" i="1" s="1"/>
  <c r="O58" i="1" s="1"/>
  <c r="P58" i="1" s="1"/>
  <c r="Q58" i="1" s="1"/>
  <c r="R57" i="1"/>
  <c r="S57" i="1"/>
  <c r="G59" i="1"/>
  <c r="I59" i="1" s="1"/>
  <c r="Y60" i="1"/>
  <c r="H60" i="1"/>
  <c r="AP80" i="1"/>
  <c r="AN80" i="1"/>
  <c r="AO80" i="1"/>
  <c r="AM80" i="1"/>
  <c r="AK81" i="1"/>
  <c r="AL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X59" i="1"/>
  <c r="W59" i="1"/>
  <c r="Z59" i="1"/>
  <c r="E60" i="1"/>
  <c r="V60" i="1"/>
  <c r="C59" i="1"/>
  <c r="D59" i="1"/>
  <c r="A61" i="1"/>
  <c r="B60" i="1"/>
  <c r="L60" i="1" s="1"/>
  <c r="AH59" i="2" l="1"/>
  <c r="AJ59" i="2"/>
  <c r="AI59" i="2"/>
  <c r="AK59" i="2"/>
  <c r="U60" i="2"/>
  <c r="AD60" i="2"/>
  <c r="AC60" i="2"/>
  <c r="Z60" i="2"/>
  <c r="X60" i="2"/>
  <c r="T60" i="2"/>
  <c r="S60" i="2"/>
  <c r="Y60" i="2"/>
  <c r="V60" i="2"/>
  <c r="AB60" i="2"/>
  <c r="AE60" i="2"/>
  <c r="AA60" i="2"/>
  <c r="W60" i="2"/>
  <c r="R61" i="2"/>
  <c r="AS59" i="2"/>
  <c r="AR59" i="2"/>
  <c r="AQ59" i="2"/>
  <c r="AO59" i="2"/>
  <c r="G60" i="2"/>
  <c r="I60" i="2"/>
  <c r="AM60" i="2" s="1"/>
  <c r="F60" i="2"/>
  <c r="AJ60" i="2" s="1"/>
  <c r="E60" i="2"/>
  <c r="L60" i="2"/>
  <c r="C61" i="2"/>
  <c r="D60" i="2"/>
  <c r="AH60" i="2" s="1"/>
  <c r="J60" i="2"/>
  <c r="N60" i="2"/>
  <c r="K60" i="2"/>
  <c r="H60" i="2"/>
  <c r="O60" i="2"/>
  <c r="M60" i="2"/>
  <c r="AL59" i="2"/>
  <c r="AP59" i="2"/>
  <c r="J59" i="1"/>
  <c r="K59" i="1" s="1"/>
  <c r="O59" i="1" s="1"/>
  <c r="P59" i="1" s="1"/>
  <c r="Q59" i="1" s="1"/>
  <c r="R58" i="1"/>
  <c r="S58" i="1"/>
  <c r="G60" i="1"/>
  <c r="I60" i="1" s="1"/>
  <c r="Y61" i="1"/>
  <c r="H61" i="1"/>
  <c r="AM81" i="1"/>
  <c r="AR81" i="1"/>
  <c r="AN81" i="1"/>
  <c r="AO81" i="1"/>
  <c r="AP81" i="1"/>
  <c r="AK82" i="1"/>
  <c r="AL81" i="1"/>
  <c r="AQ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X60" i="1"/>
  <c r="W60" i="1"/>
  <c r="Z60" i="1"/>
  <c r="E61" i="1"/>
  <c r="V61" i="1"/>
  <c r="C60" i="1"/>
  <c r="D60" i="1"/>
  <c r="A62" i="1"/>
  <c r="B61" i="1"/>
  <c r="L61" i="1" s="1"/>
  <c r="AK60" i="2" l="1"/>
  <c r="AS60" i="2"/>
  <c r="AP60" i="2"/>
  <c r="AI60" i="2"/>
  <c r="AL60" i="2"/>
  <c r="AQ60" i="2"/>
  <c r="AN60" i="2"/>
  <c r="AR60" i="2"/>
  <c r="AA61" i="2"/>
  <c r="Z61" i="2"/>
  <c r="Y61" i="2"/>
  <c r="AC61" i="2"/>
  <c r="AD61" i="2"/>
  <c r="R62" i="2"/>
  <c r="AE61" i="2"/>
  <c r="AB61" i="2"/>
  <c r="X61" i="2"/>
  <c r="T61" i="2"/>
  <c r="V61" i="2"/>
  <c r="U61" i="2"/>
  <c r="W61" i="2"/>
  <c r="S61" i="2"/>
  <c r="C62" i="2"/>
  <c r="O61" i="2"/>
  <c r="J61" i="2"/>
  <c r="H61" i="2"/>
  <c r="F61" i="2"/>
  <c r="N61" i="2"/>
  <c r="L61" i="2"/>
  <c r="AP61" i="2" s="1"/>
  <c r="K61" i="2"/>
  <c r="AO61" i="2" s="1"/>
  <c r="I61" i="2"/>
  <c r="AM61" i="2" s="1"/>
  <c r="G61" i="2"/>
  <c r="M61" i="2"/>
  <c r="E61" i="2"/>
  <c r="D61" i="2"/>
  <c r="AO60" i="2"/>
  <c r="J60" i="1"/>
  <c r="K60" i="1" s="1"/>
  <c r="O60" i="1" s="1"/>
  <c r="P60" i="1" s="1"/>
  <c r="Q60" i="1" s="1"/>
  <c r="R59" i="1"/>
  <c r="S59" i="1"/>
  <c r="G61" i="1"/>
  <c r="I61" i="1" s="1"/>
  <c r="Y62" i="1"/>
  <c r="H62" i="1"/>
  <c r="AK83" i="1"/>
  <c r="AN82" i="1"/>
  <c r="AM82" i="1"/>
  <c r="AR82" i="1"/>
  <c r="AL82" i="1"/>
  <c r="AQ82" i="1"/>
  <c r="AS82" i="1"/>
  <c r="AP82" i="1"/>
  <c r="AO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X61" i="1"/>
  <c r="W61" i="1"/>
  <c r="Z61" i="1"/>
  <c r="E62" i="1"/>
  <c r="V62" i="1"/>
  <c r="C61" i="1"/>
  <c r="D61" i="1"/>
  <c r="A63" i="1"/>
  <c r="B62" i="1"/>
  <c r="L62" i="1" s="1"/>
  <c r="AS61" i="2" l="1"/>
  <c r="AH61" i="2"/>
  <c r="AN61" i="2"/>
  <c r="AQ61" i="2"/>
  <c r="AJ61" i="2"/>
  <c r="AK61" i="2"/>
  <c r="R63" i="2"/>
  <c r="Y62" i="2"/>
  <c r="X62" i="2"/>
  <c r="W62" i="2"/>
  <c r="T62" i="2"/>
  <c r="AA62" i="2"/>
  <c r="Z62" i="2"/>
  <c r="V62" i="2"/>
  <c r="AB62" i="2"/>
  <c r="S62" i="2"/>
  <c r="AE62" i="2"/>
  <c r="AD62" i="2"/>
  <c r="AC62" i="2"/>
  <c r="U62" i="2"/>
  <c r="AR61" i="2"/>
  <c r="O62" i="2"/>
  <c r="N62" i="2"/>
  <c r="E62" i="2"/>
  <c r="L62" i="2"/>
  <c r="C63" i="2"/>
  <c r="K62" i="2"/>
  <c r="H62" i="2"/>
  <c r="AL62" i="2" s="1"/>
  <c r="D62" i="2"/>
  <c r="G62" i="2"/>
  <c r="F62" i="2"/>
  <c r="AJ62" i="2" s="1"/>
  <c r="J62" i="2"/>
  <c r="I62" i="2"/>
  <c r="AM62" i="2" s="1"/>
  <c r="M62" i="2"/>
  <c r="AQ62" i="2" s="1"/>
  <c r="AL61" i="2"/>
  <c r="AI61" i="2"/>
  <c r="J61" i="1"/>
  <c r="K61" i="1" s="1"/>
  <c r="O61" i="1" s="1"/>
  <c r="P61" i="1" s="1"/>
  <c r="Q61" i="1" s="1"/>
  <c r="R60" i="1"/>
  <c r="S60" i="1"/>
  <c r="G62" i="1"/>
  <c r="I62" i="1" s="1"/>
  <c r="Y63" i="1"/>
  <c r="H63" i="1"/>
  <c r="AP83" i="1"/>
  <c r="AO83" i="1"/>
  <c r="AT83" i="1"/>
  <c r="AM83" i="1"/>
  <c r="AK84" i="1"/>
  <c r="AS83" i="1"/>
  <c r="AR83" i="1"/>
  <c r="AQ83" i="1"/>
  <c r="AN83" i="1"/>
  <c r="AL83" i="1"/>
  <c r="AU83" i="1"/>
  <c r="AV83" i="1"/>
  <c r="AW83" i="1"/>
  <c r="AX83" i="1"/>
  <c r="AY83" i="1"/>
  <c r="AZ83" i="1"/>
  <c r="BA83" i="1"/>
  <c r="BB83" i="1"/>
  <c r="BC83" i="1"/>
  <c r="BD83" i="1"/>
  <c r="BE83" i="1"/>
  <c r="W62" i="1"/>
  <c r="X62" i="1"/>
  <c r="Z62" i="1"/>
  <c r="E63" i="1"/>
  <c r="V63" i="1"/>
  <c r="C62" i="1"/>
  <c r="D62" i="1"/>
  <c r="A64" i="1"/>
  <c r="B63" i="1"/>
  <c r="L63" i="1" s="1"/>
  <c r="AH62" i="2" l="1"/>
  <c r="AP62" i="2"/>
  <c r="AR62" i="2"/>
  <c r="AO62" i="2"/>
  <c r="AS62" i="2"/>
  <c r="AN62" i="2"/>
  <c r="AK62" i="2"/>
  <c r="AI62" i="2"/>
  <c r="H63" i="2"/>
  <c r="D63" i="2"/>
  <c r="M63" i="2"/>
  <c r="I63" i="2"/>
  <c r="C64" i="2"/>
  <c r="K63" i="2"/>
  <c r="J63" i="2"/>
  <c r="G63" i="2"/>
  <c r="F63" i="2"/>
  <c r="E63" i="2"/>
  <c r="O63" i="2"/>
  <c r="N63" i="2"/>
  <c r="L63" i="2"/>
  <c r="U63" i="2"/>
  <c r="X63" i="2"/>
  <c r="AB63" i="2"/>
  <c r="W63" i="2"/>
  <c r="S63" i="2"/>
  <c r="AE63" i="2"/>
  <c r="V63" i="2"/>
  <c r="Y63" i="2"/>
  <c r="R64" i="2"/>
  <c r="AC63" i="2"/>
  <c r="T63" i="2"/>
  <c r="Z63" i="2"/>
  <c r="AD63" i="2"/>
  <c r="AA63" i="2"/>
  <c r="J62" i="1"/>
  <c r="K62" i="1" s="1"/>
  <c r="O62" i="1" s="1"/>
  <c r="P62" i="1" s="1"/>
  <c r="Q62" i="1" s="1"/>
  <c r="R61" i="1"/>
  <c r="S61" i="1"/>
  <c r="G63" i="1"/>
  <c r="I63" i="1" s="1"/>
  <c r="Y64" i="1"/>
  <c r="H64" i="1"/>
  <c r="AU84" i="1"/>
  <c r="AQ84" i="1"/>
  <c r="AK85" i="1"/>
  <c r="AP84" i="1"/>
  <c r="AM84" i="1"/>
  <c r="AS84" i="1"/>
  <c r="AL84" i="1"/>
  <c r="AT84" i="1"/>
  <c r="AR84" i="1"/>
  <c r="AN84" i="1"/>
  <c r="AO84" i="1"/>
  <c r="AV84" i="1"/>
  <c r="AW84" i="1"/>
  <c r="AX84" i="1"/>
  <c r="AY84" i="1"/>
  <c r="AZ84" i="1"/>
  <c r="BA84" i="1"/>
  <c r="BB84" i="1"/>
  <c r="BC84" i="1"/>
  <c r="BD84" i="1"/>
  <c r="BE84" i="1"/>
  <c r="X63" i="1"/>
  <c r="W63" i="1"/>
  <c r="Z63" i="1"/>
  <c r="E64" i="1"/>
  <c r="V64" i="1"/>
  <c r="C63" i="1"/>
  <c r="D63" i="1"/>
  <c r="B64" i="1"/>
  <c r="L64" i="1" s="1"/>
  <c r="A65" i="1"/>
  <c r="AR63" i="2" l="1"/>
  <c r="AP63" i="2"/>
  <c r="AI63" i="2"/>
  <c r="AO63" i="2"/>
  <c r="AS63" i="2"/>
  <c r="AJ63" i="2"/>
  <c r="AH63" i="2"/>
  <c r="AQ63" i="2"/>
  <c r="R65" i="2"/>
  <c r="R66" i="2" s="1"/>
  <c r="U64" i="2"/>
  <c r="AE64" i="2"/>
  <c r="AB64" i="2"/>
  <c r="Z64" i="2"/>
  <c r="AA64" i="2"/>
  <c r="T64" i="2"/>
  <c r="AI64" i="2" s="1"/>
  <c r="AD64" i="2"/>
  <c r="AC64" i="2"/>
  <c r="V64" i="2"/>
  <c r="X64" i="2"/>
  <c r="Y64" i="2"/>
  <c r="S64" i="2"/>
  <c r="W64" i="2"/>
  <c r="AN63" i="2"/>
  <c r="C65" i="2"/>
  <c r="C66" i="2" s="1"/>
  <c r="I64" i="2"/>
  <c r="E64" i="2"/>
  <c r="K64" i="2"/>
  <c r="M64" i="2"/>
  <c r="J64" i="2"/>
  <c r="G64" i="2"/>
  <c r="F64" i="2"/>
  <c r="D64" i="2"/>
  <c r="N64" i="2"/>
  <c r="AR64" i="2" s="1"/>
  <c r="H64" i="2"/>
  <c r="L64" i="2"/>
  <c r="O64" i="2"/>
  <c r="AK63" i="2"/>
  <c r="AL63" i="2"/>
  <c r="AM63" i="2"/>
  <c r="J63" i="1"/>
  <c r="K63" i="1" s="1"/>
  <c r="O63" i="1" s="1"/>
  <c r="P63" i="1" s="1"/>
  <c r="Q63" i="1" s="1"/>
  <c r="R62" i="1"/>
  <c r="S62" i="1"/>
  <c r="G64" i="1"/>
  <c r="I64" i="1" s="1"/>
  <c r="Y65" i="1"/>
  <c r="H65" i="1"/>
  <c r="AO85" i="1"/>
  <c r="AM85" i="1"/>
  <c r="AV85" i="1"/>
  <c r="AQ85" i="1"/>
  <c r="AR85" i="1"/>
  <c r="AK86" i="1"/>
  <c r="AL85" i="1"/>
  <c r="AU85" i="1"/>
  <c r="AS85" i="1"/>
  <c r="AN85" i="1"/>
  <c r="AP85" i="1"/>
  <c r="AT85" i="1"/>
  <c r="AW85" i="1"/>
  <c r="AX85" i="1"/>
  <c r="AY85" i="1"/>
  <c r="AZ85" i="1"/>
  <c r="BA85" i="1"/>
  <c r="BB85" i="1"/>
  <c r="BC85" i="1"/>
  <c r="BD85" i="1"/>
  <c r="BE85" i="1"/>
  <c r="X64" i="1"/>
  <c r="W64" i="1"/>
  <c r="Z64" i="1"/>
  <c r="E65" i="1"/>
  <c r="V65" i="1"/>
  <c r="C64" i="1"/>
  <c r="D64" i="1"/>
  <c r="B65" i="1"/>
  <c r="L65" i="1" s="1"/>
  <c r="A66" i="1"/>
  <c r="D66" i="2" l="1"/>
  <c r="E66" i="2"/>
  <c r="C67" i="2"/>
  <c r="F66" i="2"/>
  <c r="G66" i="2"/>
  <c r="H66" i="2"/>
  <c r="I66" i="2"/>
  <c r="J66" i="2"/>
  <c r="K66" i="2"/>
  <c r="AO66" i="2" s="1"/>
  <c r="L66" i="2"/>
  <c r="AP66" i="2" s="1"/>
  <c r="M66" i="2"/>
  <c r="AQ66" i="2" s="1"/>
  <c r="N66" i="2"/>
  <c r="AR66" i="2" s="1"/>
  <c r="O66" i="2"/>
  <c r="AN64" i="2"/>
  <c r="AM64" i="2"/>
  <c r="AO64" i="2"/>
  <c r="S66" i="2"/>
  <c r="AE66" i="2"/>
  <c r="AC66" i="2"/>
  <c r="Z66" i="2"/>
  <c r="AA66" i="2"/>
  <c r="W66" i="2"/>
  <c r="Y66" i="2"/>
  <c r="X66" i="2"/>
  <c r="V66" i="2"/>
  <c r="AB66" i="2"/>
  <c r="R67" i="2"/>
  <c r="U66" i="2"/>
  <c r="AJ66" i="2" s="1"/>
  <c r="T66" i="2"/>
  <c r="AI66" i="2" s="1"/>
  <c r="AD66" i="2"/>
  <c r="AK64" i="2"/>
  <c r="AP64" i="2"/>
  <c r="AB65" i="2"/>
  <c r="AE65" i="2"/>
  <c r="AD65" i="2"/>
  <c r="AC65" i="2"/>
  <c r="S65" i="2"/>
  <c r="V65" i="2"/>
  <c r="AA65" i="2"/>
  <c r="T65" i="2"/>
  <c r="Y65" i="2"/>
  <c r="Z65" i="2"/>
  <c r="X65" i="2"/>
  <c r="W65" i="2"/>
  <c r="U65" i="2"/>
  <c r="AQ64" i="2"/>
  <c r="AJ64" i="2"/>
  <c r="K65" i="2"/>
  <c r="D65" i="2"/>
  <c r="E65" i="2"/>
  <c r="F65" i="2"/>
  <c r="G65" i="2"/>
  <c r="H65" i="2"/>
  <c r="I65" i="2"/>
  <c r="J65" i="2"/>
  <c r="L65" i="2"/>
  <c r="AP65" i="2" s="1"/>
  <c r="M65" i="2"/>
  <c r="AQ65" i="2" s="1"/>
  <c r="N65" i="2"/>
  <c r="AR65" i="2" s="1"/>
  <c r="O65" i="2"/>
  <c r="AS65" i="2" s="1"/>
  <c r="AL64" i="2"/>
  <c r="AS64" i="2"/>
  <c r="AH64" i="2"/>
  <c r="J64" i="1"/>
  <c r="K64" i="1" s="1"/>
  <c r="O64" i="1" s="1"/>
  <c r="P64" i="1" s="1"/>
  <c r="Q64" i="1" s="1"/>
  <c r="R63" i="1"/>
  <c r="S63" i="1"/>
  <c r="G65" i="1"/>
  <c r="I65" i="1" s="1"/>
  <c r="Y66" i="1"/>
  <c r="H66" i="1"/>
  <c r="AQ86" i="1"/>
  <c r="AR86" i="1"/>
  <c r="AV86" i="1"/>
  <c r="AK87" i="1"/>
  <c r="AU86" i="1"/>
  <c r="AP86" i="1"/>
  <c r="AL86" i="1"/>
  <c r="AO86" i="1"/>
  <c r="AT86" i="1"/>
  <c r="AS86" i="1"/>
  <c r="AN86" i="1"/>
  <c r="AM86" i="1"/>
  <c r="AW86" i="1"/>
  <c r="AX86" i="1"/>
  <c r="AY86" i="1"/>
  <c r="AZ86" i="1"/>
  <c r="BA86" i="1"/>
  <c r="BB86" i="1"/>
  <c r="BC86" i="1"/>
  <c r="BD86" i="1"/>
  <c r="BE86" i="1"/>
  <c r="X65" i="1"/>
  <c r="W65" i="1"/>
  <c r="Z65" i="1"/>
  <c r="E66" i="1"/>
  <c r="V66" i="1"/>
  <c r="C65" i="1"/>
  <c r="D65" i="1"/>
  <c r="A67" i="1"/>
  <c r="B66" i="1"/>
  <c r="L66" i="1" s="1"/>
  <c r="AL66" i="2" l="1"/>
  <c r="AO65" i="2"/>
  <c r="AS66" i="2"/>
  <c r="AE67" i="2"/>
  <c r="AD67" i="2"/>
  <c r="W67" i="2"/>
  <c r="Y67" i="2"/>
  <c r="AB67" i="2"/>
  <c r="V67" i="2"/>
  <c r="R68" i="2"/>
  <c r="AC67" i="2"/>
  <c r="X67" i="2"/>
  <c r="U67" i="2"/>
  <c r="T67" i="2"/>
  <c r="Z67" i="2"/>
  <c r="S67" i="2"/>
  <c r="AA67" i="2"/>
  <c r="AK65" i="2"/>
  <c r="AM66" i="2"/>
  <c r="E67" i="2"/>
  <c r="C68" i="2"/>
  <c r="F67" i="2"/>
  <c r="D67" i="2"/>
  <c r="G67" i="2"/>
  <c r="AK67" i="2" s="1"/>
  <c r="H67" i="2"/>
  <c r="AL67" i="2" s="1"/>
  <c r="I67" i="2"/>
  <c r="J67" i="2"/>
  <c r="AN67" i="2" s="1"/>
  <c r="K67" i="2"/>
  <c r="L67" i="2"/>
  <c r="M67" i="2"/>
  <c r="AQ67" i="2" s="1"/>
  <c r="N67" i="2"/>
  <c r="AR67" i="2" s="1"/>
  <c r="O67" i="2"/>
  <c r="AS67" i="2" s="1"/>
  <c r="AN66" i="2"/>
  <c r="AK66" i="2"/>
  <c r="AH66" i="2"/>
  <c r="AM65" i="2"/>
  <c r="AH65" i="2"/>
  <c r="AL65" i="2"/>
  <c r="AI65" i="2"/>
  <c r="AN65" i="2"/>
  <c r="AJ65" i="2"/>
  <c r="J65" i="1"/>
  <c r="K65" i="1" s="1"/>
  <c r="O65" i="1" s="1"/>
  <c r="P65" i="1" s="1"/>
  <c r="Q65" i="1" s="1"/>
  <c r="R64" i="1"/>
  <c r="S64" i="1"/>
  <c r="G66" i="1"/>
  <c r="I66" i="1" s="1"/>
  <c r="Y67" i="1"/>
  <c r="H67" i="1"/>
  <c r="AM87" i="1"/>
  <c r="AK88" i="1"/>
  <c r="AP87" i="1"/>
  <c r="AO87" i="1"/>
  <c r="AW87" i="1"/>
  <c r="AR87" i="1"/>
  <c r="AX87" i="1"/>
  <c r="AV87" i="1"/>
  <c r="AU87" i="1"/>
  <c r="AS87" i="1"/>
  <c r="AL87" i="1"/>
  <c r="AN87" i="1"/>
  <c r="AT87" i="1"/>
  <c r="AQ87" i="1"/>
  <c r="AY87" i="1"/>
  <c r="AZ87" i="1"/>
  <c r="BA87" i="1"/>
  <c r="BB87" i="1"/>
  <c r="BC87" i="1"/>
  <c r="BD87" i="1"/>
  <c r="BE87" i="1"/>
  <c r="X66" i="1"/>
  <c r="W66" i="1"/>
  <c r="Z66" i="1"/>
  <c r="E67" i="1"/>
  <c r="V67" i="1"/>
  <c r="C66" i="1"/>
  <c r="D66" i="1"/>
  <c r="A68" i="1"/>
  <c r="B67" i="1"/>
  <c r="L67" i="1" s="1"/>
  <c r="AO67" i="2" l="1"/>
  <c r="AE68" i="2"/>
  <c r="Z68" i="2"/>
  <c r="W68" i="2"/>
  <c r="U68" i="2"/>
  <c r="T68" i="2"/>
  <c r="AD68" i="2"/>
  <c r="AC68" i="2"/>
  <c r="AB68" i="2"/>
  <c r="AA68" i="2"/>
  <c r="X68" i="2"/>
  <c r="V68" i="2"/>
  <c r="Y68" i="2"/>
  <c r="S68" i="2"/>
  <c r="R69" i="2"/>
  <c r="AM67" i="2"/>
  <c r="AH67" i="2"/>
  <c r="AI67" i="2"/>
  <c r="AP67" i="2"/>
  <c r="AJ67" i="2"/>
  <c r="G68" i="2"/>
  <c r="F68" i="2"/>
  <c r="AJ68" i="2" s="1"/>
  <c r="E68" i="2"/>
  <c r="AI68" i="2" s="1"/>
  <c r="D68" i="2"/>
  <c r="C69" i="2"/>
  <c r="H68" i="2"/>
  <c r="AL68" i="2" s="1"/>
  <c r="I68" i="2"/>
  <c r="AM68" i="2" s="1"/>
  <c r="J68" i="2"/>
  <c r="K68" i="2"/>
  <c r="AO68" i="2" s="1"/>
  <c r="L68" i="2"/>
  <c r="AP68" i="2" s="1"/>
  <c r="M68" i="2"/>
  <c r="AQ68" i="2" s="1"/>
  <c r="N68" i="2"/>
  <c r="AR68" i="2" s="1"/>
  <c r="O68" i="2"/>
  <c r="J66" i="1"/>
  <c r="K66" i="1" s="1"/>
  <c r="O66" i="1" s="1"/>
  <c r="P66" i="1" s="1"/>
  <c r="Q66" i="1" s="1"/>
  <c r="R65" i="1"/>
  <c r="S65" i="1"/>
  <c r="G67" i="1"/>
  <c r="I67" i="1" s="1"/>
  <c r="Y68" i="1"/>
  <c r="H68" i="1"/>
  <c r="AM88" i="1"/>
  <c r="AN88" i="1"/>
  <c r="AX88" i="1"/>
  <c r="AW88" i="1"/>
  <c r="AL88" i="1"/>
  <c r="AP88" i="1"/>
  <c r="AO88" i="1"/>
  <c r="AY88" i="1"/>
  <c r="AK89" i="1"/>
  <c r="AT88" i="1"/>
  <c r="AV88" i="1"/>
  <c r="AU88" i="1"/>
  <c r="AS88" i="1"/>
  <c r="AR88" i="1"/>
  <c r="AQ88" i="1"/>
  <c r="AZ88" i="1"/>
  <c r="BA88" i="1"/>
  <c r="BB88" i="1"/>
  <c r="BC88" i="1"/>
  <c r="BD88" i="1"/>
  <c r="BE88" i="1"/>
  <c r="X67" i="1"/>
  <c r="W67" i="1"/>
  <c r="Z67" i="1"/>
  <c r="E68" i="1"/>
  <c r="V68" i="1"/>
  <c r="C67" i="1"/>
  <c r="D67" i="1"/>
  <c r="B68" i="1"/>
  <c r="L68" i="1" s="1"/>
  <c r="A69" i="1"/>
  <c r="AN68" i="2" l="1"/>
  <c r="T69" i="2"/>
  <c r="Z69" i="2"/>
  <c r="U69" i="2"/>
  <c r="W69" i="2"/>
  <c r="AA69" i="2"/>
  <c r="AD69" i="2"/>
  <c r="X69" i="2"/>
  <c r="R70" i="2"/>
  <c r="V69" i="2"/>
  <c r="AE69" i="2"/>
  <c r="AB69" i="2"/>
  <c r="AC69" i="2"/>
  <c r="S69" i="2"/>
  <c r="Y69" i="2"/>
  <c r="AH68" i="2"/>
  <c r="G69" i="2"/>
  <c r="E69" i="2"/>
  <c r="AI69" i="2" s="1"/>
  <c r="H69" i="2"/>
  <c r="F69" i="2"/>
  <c r="AJ69" i="2" s="1"/>
  <c r="D69" i="2"/>
  <c r="C70" i="2"/>
  <c r="I69" i="2"/>
  <c r="AM69" i="2" s="1"/>
  <c r="J69" i="2"/>
  <c r="K69" i="2"/>
  <c r="AO69" i="2" s="1"/>
  <c r="L69" i="2"/>
  <c r="AP69" i="2" s="1"/>
  <c r="M69" i="2"/>
  <c r="AQ69" i="2" s="1"/>
  <c r="N69" i="2"/>
  <c r="AR69" i="2" s="1"/>
  <c r="O69" i="2"/>
  <c r="AS69" i="2" s="1"/>
  <c r="AK68" i="2"/>
  <c r="AS68" i="2"/>
  <c r="J67" i="1"/>
  <c r="K67" i="1" s="1"/>
  <c r="O67" i="1" s="1"/>
  <c r="P67" i="1" s="1"/>
  <c r="Q67" i="1" s="1"/>
  <c r="R66" i="1"/>
  <c r="S66" i="1"/>
  <c r="G68" i="1"/>
  <c r="I68" i="1" s="1"/>
  <c r="Y69" i="1"/>
  <c r="H69" i="1"/>
  <c r="AV89" i="1"/>
  <c r="AS89" i="1"/>
  <c r="AQ89" i="1"/>
  <c r="AR89" i="1"/>
  <c r="AU89" i="1"/>
  <c r="AP89" i="1"/>
  <c r="AK90" i="1"/>
  <c r="AL89" i="1"/>
  <c r="AX89" i="1"/>
  <c r="AZ89" i="1"/>
  <c r="AY89" i="1"/>
  <c r="AO89" i="1"/>
  <c r="AN89" i="1"/>
  <c r="AM89" i="1"/>
  <c r="AW89" i="1"/>
  <c r="AT89" i="1"/>
  <c r="BA89" i="1"/>
  <c r="BB89" i="1"/>
  <c r="BC89" i="1"/>
  <c r="BD89" i="1"/>
  <c r="BE89" i="1"/>
  <c r="X68" i="1"/>
  <c r="W68" i="1"/>
  <c r="Z68" i="1"/>
  <c r="E69" i="1"/>
  <c r="V69" i="1"/>
  <c r="C68" i="1"/>
  <c r="D68" i="1"/>
  <c r="B69" i="1"/>
  <c r="L69" i="1" s="1"/>
  <c r="A70" i="1"/>
  <c r="AK69" i="2" l="1"/>
  <c r="AN69" i="2"/>
  <c r="AH69" i="2"/>
  <c r="Y70" i="2"/>
  <c r="R71" i="2"/>
  <c r="X70" i="2"/>
  <c r="T70" i="2"/>
  <c r="S70" i="2"/>
  <c r="V70" i="2"/>
  <c r="AD70" i="2"/>
  <c r="AB70" i="2"/>
  <c r="AA70" i="2"/>
  <c r="Z70" i="2"/>
  <c r="U70" i="2"/>
  <c r="AE70" i="2"/>
  <c r="W70" i="2"/>
  <c r="AC70" i="2"/>
  <c r="AL69" i="2"/>
  <c r="H70" i="2"/>
  <c r="E70" i="2"/>
  <c r="C71" i="2"/>
  <c r="J70" i="2"/>
  <c r="AN70" i="2" s="1"/>
  <c r="I70" i="2"/>
  <c r="AM70" i="2" s="1"/>
  <c r="G70" i="2"/>
  <c r="F70" i="2"/>
  <c r="D70" i="2"/>
  <c r="AH70" i="2" s="1"/>
  <c r="K70" i="2"/>
  <c r="AO70" i="2" s="1"/>
  <c r="L70" i="2"/>
  <c r="AP70" i="2" s="1"/>
  <c r="M70" i="2"/>
  <c r="AQ70" i="2" s="1"/>
  <c r="N70" i="2"/>
  <c r="O70" i="2"/>
  <c r="AS70" i="2" s="1"/>
  <c r="J68" i="1"/>
  <c r="K68" i="1" s="1"/>
  <c r="O68" i="1" s="1"/>
  <c r="P68" i="1" s="1"/>
  <c r="Q68" i="1" s="1"/>
  <c r="R67" i="1"/>
  <c r="S67" i="1"/>
  <c r="G69" i="1"/>
  <c r="Y70" i="1"/>
  <c r="H70" i="1"/>
  <c r="I69" i="1"/>
  <c r="AV90" i="1"/>
  <c r="AX90" i="1"/>
  <c r="AS90" i="1"/>
  <c r="AK91" i="1"/>
  <c r="AR90" i="1"/>
  <c r="AM90" i="1"/>
  <c r="AW90" i="1"/>
  <c r="AQ90" i="1"/>
  <c r="AP90" i="1"/>
  <c r="AY90" i="1"/>
  <c r="AU90" i="1"/>
  <c r="AT90" i="1"/>
  <c r="BA90" i="1"/>
  <c r="AN90" i="1"/>
  <c r="AO90" i="1"/>
  <c r="AZ90" i="1"/>
  <c r="AL90" i="1"/>
  <c r="BB90" i="1"/>
  <c r="BC90" i="1"/>
  <c r="BD90" i="1"/>
  <c r="BE90" i="1"/>
  <c r="X69" i="1"/>
  <c r="W69" i="1"/>
  <c r="Z69" i="1"/>
  <c r="E70" i="1"/>
  <c r="V70" i="1"/>
  <c r="C69" i="1"/>
  <c r="D69" i="1"/>
  <c r="A71" i="1"/>
  <c r="B70" i="1"/>
  <c r="L70" i="1" s="1"/>
  <c r="AJ70" i="2" l="1"/>
  <c r="R72" i="2"/>
  <c r="Z71" i="2"/>
  <c r="AD71" i="2"/>
  <c r="X71" i="2"/>
  <c r="AB71" i="2"/>
  <c r="S71" i="2"/>
  <c r="AA71" i="2"/>
  <c r="Y71" i="2"/>
  <c r="U71" i="2"/>
  <c r="W71" i="2"/>
  <c r="V71" i="2"/>
  <c r="AE71" i="2"/>
  <c r="AC71" i="2"/>
  <c r="T71" i="2"/>
  <c r="AR70" i="2"/>
  <c r="AK70" i="2"/>
  <c r="AI70" i="2"/>
  <c r="AL70" i="2"/>
  <c r="H71" i="2"/>
  <c r="K71" i="2"/>
  <c r="AO71" i="2" s="1"/>
  <c r="G71" i="2"/>
  <c r="D71" i="2"/>
  <c r="AH71" i="2" s="1"/>
  <c r="F71" i="2"/>
  <c r="AJ71" i="2" s="1"/>
  <c r="E71" i="2"/>
  <c r="J71" i="2"/>
  <c r="AN71" i="2" s="1"/>
  <c r="C72" i="2"/>
  <c r="I71" i="2"/>
  <c r="AM71" i="2" s="1"/>
  <c r="L71" i="2"/>
  <c r="AP71" i="2" s="1"/>
  <c r="M71" i="2"/>
  <c r="AQ71" i="2" s="1"/>
  <c r="N71" i="2"/>
  <c r="AR71" i="2" s="1"/>
  <c r="O71" i="2"/>
  <c r="AS71" i="2" s="1"/>
  <c r="J69" i="1"/>
  <c r="K69" i="1" s="1"/>
  <c r="O69" i="1" s="1"/>
  <c r="P69" i="1" s="1"/>
  <c r="Q69" i="1" s="1"/>
  <c r="R68" i="1"/>
  <c r="S68" i="1"/>
  <c r="G70" i="1"/>
  <c r="Y71" i="1"/>
  <c r="H71" i="1"/>
  <c r="I70" i="1"/>
  <c r="AM91" i="1"/>
  <c r="AV91" i="1"/>
  <c r="AP91" i="1"/>
  <c r="AL91" i="1"/>
  <c r="AN91" i="1"/>
  <c r="AQ91" i="1"/>
  <c r="AK92" i="1"/>
  <c r="AX91" i="1"/>
  <c r="AW91" i="1"/>
  <c r="BA91" i="1"/>
  <c r="AS91" i="1"/>
  <c r="AU91" i="1"/>
  <c r="AY91" i="1"/>
  <c r="BB91" i="1"/>
  <c r="AT91" i="1"/>
  <c r="AR91" i="1"/>
  <c r="AO91" i="1"/>
  <c r="AZ91" i="1"/>
  <c r="BC91" i="1"/>
  <c r="BD91" i="1"/>
  <c r="BE91" i="1"/>
  <c r="W70" i="1"/>
  <c r="X70" i="1"/>
  <c r="Z70" i="1"/>
  <c r="E71" i="1"/>
  <c r="V71" i="1"/>
  <c r="C70" i="1"/>
  <c r="D70" i="1"/>
  <c r="A72" i="1"/>
  <c r="B71" i="1"/>
  <c r="L71" i="1" s="1"/>
  <c r="AK71" i="2" l="1"/>
  <c r="F72" i="2"/>
  <c r="D72" i="2"/>
  <c r="I72" i="2"/>
  <c r="J72" i="2"/>
  <c r="K72" i="2"/>
  <c r="AO72" i="2" s="1"/>
  <c r="C73" i="2"/>
  <c r="G72" i="2"/>
  <c r="E72" i="2"/>
  <c r="AI72" i="2" s="1"/>
  <c r="H72" i="2"/>
  <c r="AL72" i="2" s="1"/>
  <c r="L72" i="2"/>
  <c r="AP72" i="2" s="1"/>
  <c r="M72" i="2"/>
  <c r="AQ72" i="2" s="1"/>
  <c r="N72" i="2"/>
  <c r="AR72" i="2" s="1"/>
  <c r="O72" i="2"/>
  <c r="AS72" i="2" s="1"/>
  <c r="AI71" i="2"/>
  <c r="AL71" i="2"/>
  <c r="AB72" i="2"/>
  <c r="Z72" i="2"/>
  <c r="W72" i="2"/>
  <c r="AD72" i="2"/>
  <c r="U72" i="2"/>
  <c r="AA72" i="2"/>
  <c r="T72" i="2"/>
  <c r="AC72" i="2"/>
  <c r="R73" i="2"/>
  <c r="Y72" i="2"/>
  <c r="X72" i="2"/>
  <c r="AE72" i="2"/>
  <c r="V72" i="2"/>
  <c r="S72" i="2"/>
  <c r="J70" i="1"/>
  <c r="K70" i="1" s="1"/>
  <c r="O70" i="1" s="1"/>
  <c r="P70" i="1" s="1"/>
  <c r="Q70" i="1" s="1"/>
  <c r="R69" i="1"/>
  <c r="S69" i="1"/>
  <c r="G71" i="1"/>
  <c r="I71" i="1" s="1"/>
  <c r="Y72" i="1"/>
  <c r="H72" i="1"/>
  <c r="AQ92" i="1"/>
  <c r="AS92" i="1"/>
  <c r="AO92" i="1"/>
  <c r="BC92" i="1"/>
  <c r="AL92" i="1"/>
  <c r="BA92" i="1"/>
  <c r="AY92" i="1"/>
  <c r="AN92" i="1"/>
  <c r="BB92" i="1"/>
  <c r="AX92" i="1"/>
  <c r="AU92" i="1"/>
  <c r="AW92" i="1"/>
  <c r="AK93" i="1"/>
  <c r="AP92" i="1"/>
  <c r="AT92" i="1"/>
  <c r="AZ92" i="1"/>
  <c r="AV92" i="1"/>
  <c r="AM92" i="1"/>
  <c r="AR92" i="1"/>
  <c r="BD92" i="1"/>
  <c r="BE92" i="1"/>
  <c r="X71" i="1"/>
  <c r="W71" i="1"/>
  <c r="Z71" i="1"/>
  <c r="E72" i="1"/>
  <c r="V72" i="1"/>
  <c r="C71" i="1"/>
  <c r="D71" i="1"/>
  <c r="A73" i="1"/>
  <c r="B72" i="1"/>
  <c r="L72" i="1" s="1"/>
  <c r="AM72" i="2" l="1"/>
  <c r="AH72" i="2"/>
  <c r="AE73" i="2"/>
  <c r="AC73" i="2"/>
  <c r="S73" i="2"/>
  <c r="Z73" i="2"/>
  <c r="AB73" i="2"/>
  <c r="R74" i="2"/>
  <c r="AD73" i="2"/>
  <c r="X73" i="2"/>
  <c r="V73" i="2"/>
  <c r="U73" i="2"/>
  <c r="AA73" i="2"/>
  <c r="W73" i="2"/>
  <c r="T73" i="2"/>
  <c r="Y73" i="2"/>
  <c r="J73" i="2"/>
  <c r="L73" i="2"/>
  <c r="C74" i="2"/>
  <c r="E73" i="2"/>
  <c r="D73" i="2"/>
  <c r="AH73" i="2" s="1"/>
  <c r="I73" i="2"/>
  <c r="H73" i="2"/>
  <c r="K73" i="2"/>
  <c r="AO73" i="2" s="1"/>
  <c r="M73" i="2"/>
  <c r="AQ73" i="2" s="1"/>
  <c r="F73" i="2"/>
  <c r="G73" i="2"/>
  <c r="AK73" i="2" s="1"/>
  <c r="N73" i="2"/>
  <c r="AR73" i="2" s="1"/>
  <c r="O73" i="2"/>
  <c r="AS73" i="2" s="1"/>
  <c r="AN72" i="2"/>
  <c r="AJ72" i="2"/>
  <c r="AK72" i="2"/>
  <c r="J71" i="1"/>
  <c r="K71" i="1" s="1"/>
  <c r="O71" i="1" s="1"/>
  <c r="P71" i="1" s="1"/>
  <c r="Q71" i="1" s="1"/>
  <c r="R70" i="1"/>
  <c r="S70" i="1"/>
  <c r="G72" i="1"/>
  <c r="I72" i="1" s="1"/>
  <c r="Y73" i="1"/>
  <c r="H73" i="1"/>
  <c r="AT93" i="1"/>
  <c r="AL93" i="1"/>
  <c r="AW93" i="1"/>
  <c r="AQ93" i="1"/>
  <c r="AK94" i="1"/>
  <c r="AS93" i="1"/>
  <c r="AP93" i="1"/>
  <c r="AM93" i="1"/>
  <c r="AO93" i="1"/>
  <c r="AY93" i="1"/>
  <c r="AN93" i="1"/>
  <c r="AU93" i="1"/>
  <c r="AR93" i="1"/>
  <c r="AX93" i="1"/>
  <c r="AV93" i="1"/>
  <c r="BB93" i="1"/>
  <c r="BC93" i="1"/>
  <c r="BA93" i="1"/>
  <c r="AZ93" i="1"/>
  <c r="BD93" i="1"/>
  <c r="BE93" i="1"/>
  <c r="X72" i="1"/>
  <c r="W72" i="1"/>
  <c r="Z72" i="1"/>
  <c r="E73" i="1"/>
  <c r="V73" i="1"/>
  <c r="C72" i="1"/>
  <c r="D72" i="1"/>
  <c r="A74" i="1"/>
  <c r="B73" i="1"/>
  <c r="L73" i="1" s="1"/>
  <c r="AM73" i="2" l="1"/>
  <c r="D74" i="2"/>
  <c r="K74" i="2"/>
  <c r="C75" i="2"/>
  <c r="H74" i="2"/>
  <c r="J74" i="2"/>
  <c r="F74" i="2"/>
  <c r="AJ74" i="2" s="1"/>
  <c r="E74" i="2"/>
  <c r="G74" i="2"/>
  <c r="N74" i="2"/>
  <c r="L74" i="2"/>
  <c r="AP74" i="2" s="1"/>
  <c r="M74" i="2"/>
  <c r="I74" i="2"/>
  <c r="AM74" i="2" s="1"/>
  <c r="O74" i="2"/>
  <c r="AS74" i="2" s="1"/>
  <c r="AL73" i="2"/>
  <c r="AI73" i="2"/>
  <c r="AP73" i="2"/>
  <c r="AJ73" i="2"/>
  <c r="AA74" i="2"/>
  <c r="Z74" i="2"/>
  <c r="U74" i="2"/>
  <c r="X74" i="2"/>
  <c r="AE74" i="2"/>
  <c r="S74" i="2"/>
  <c r="W74" i="2"/>
  <c r="Y74" i="2"/>
  <c r="T74" i="2"/>
  <c r="R75" i="2"/>
  <c r="AD74" i="2"/>
  <c r="AC74" i="2"/>
  <c r="AB74" i="2"/>
  <c r="V74" i="2"/>
  <c r="AN73" i="2"/>
  <c r="J72" i="1"/>
  <c r="K72" i="1" s="1"/>
  <c r="O72" i="1" s="1"/>
  <c r="P72" i="1" s="1"/>
  <c r="Q72" i="1" s="1"/>
  <c r="R71" i="1"/>
  <c r="S71" i="1"/>
  <c r="G73" i="1"/>
  <c r="I73" i="1" s="1"/>
  <c r="Y74" i="1"/>
  <c r="H74" i="1"/>
  <c r="BB94" i="1"/>
  <c r="AN94" i="1"/>
  <c r="AM94" i="1"/>
  <c r="AL94" i="1"/>
  <c r="AU94" i="1"/>
  <c r="AX94" i="1"/>
  <c r="AW94" i="1"/>
  <c r="AO94" i="1"/>
  <c r="AV94" i="1"/>
  <c r="BD94" i="1"/>
  <c r="AY94" i="1"/>
  <c r="AT94" i="1"/>
  <c r="AP94" i="1"/>
  <c r="AS94" i="1"/>
  <c r="AR94" i="1"/>
  <c r="AQ94" i="1"/>
  <c r="AK95" i="1"/>
  <c r="BC94" i="1"/>
  <c r="AZ94" i="1"/>
  <c r="BA94" i="1"/>
  <c r="BE94" i="1"/>
  <c r="W73" i="1"/>
  <c r="X73" i="1"/>
  <c r="Z73" i="1"/>
  <c r="E74" i="1"/>
  <c r="V74" i="1"/>
  <c r="C73" i="1"/>
  <c r="D73" i="1"/>
  <c r="A75" i="1"/>
  <c r="B74" i="1"/>
  <c r="L74" i="1" s="1"/>
  <c r="AI74" i="2" l="1"/>
  <c r="AB75" i="2"/>
  <c r="AA75" i="2"/>
  <c r="Y75" i="2"/>
  <c r="Z75" i="2"/>
  <c r="U75" i="2"/>
  <c r="T75" i="2"/>
  <c r="AC75" i="2"/>
  <c r="X75" i="2"/>
  <c r="R76" i="2"/>
  <c r="AE75" i="2"/>
  <c r="S75" i="2"/>
  <c r="AD75" i="2"/>
  <c r="V75" i="2"/>
  <c r="W75" i="2"/>
  <c r="AK74" i="2"/>
  <c r="N75" i="2"/>
  <c r="C76" i="2"/>
  <c r="M75" i="2"/>
  <c r="AQ75" i="2" s="1"/>
  <c r="L75" i="2"/>
  <c r="AP75" i="2" s="1"/>
  <c r="D75" i="2"/>
  <c r="K75" i="2"/>
  <c r="AO75" i="2" s="1"/>
  <c r="J75" i="2"/>
  <c r="AN75" i="2" s="1"/>
  <c r="E75" i="2"/>
  <c r="AI75" i="2" s="1"/>
  <c r="I75" i="2"/>
  <c r="AM75" i="2" s="1"/>
  <c r="F75" i="2"/>
  <c r="AJ75" i="2" s="1"/>
  <c r="H75" i="2"/>
  <c r="G75" i="2"/>
  <c r="O75" i="2"/>
  <c r="AS75" i="2" s="1"/>
  <c r="AL74" i="2"/>
  <c r="AO74" i="2"/>
  <c r="AQ74" i="2"/>
  <c r="AH74" i="2"/>
  <c r="AR74" i="2"/>
  <c r="AN74" i="2"/>
  <c r="J73" i="1"/>
  <c r="K73" i="1" s="1"/>
  <c r="O73" i="1" s="1"/>
  <c r="R72" i="1"/>
  <c r="S72" i="1"/>
  <c r="G74" i="1"/>
  <c r="I74" i="1" s="1"/>
  <c r="Y75" i="1"/>
  <c r="H75" i="1"/>
  <c r="AZ95" i="1"/>
  <c r="AO95" i="1"/>
  <c r="BC95" i="1"/>
  <c r="AK96" i="1"/>
  <c r="BE95" i="1"/>
  <c r="AN95" i="1"/>
  <c r="AR95" i="1"/>
  <c r="AY95" i="1"/>
  <c r="AU95" i="1"/>
  <c r="AV95" i="1"/>
  <c r="AT95" i="1"/>
  <c r="AM95" i="1"/>
  <c r="BA95" i="1"/>
  <c r="AX95" i="1"/>
  <c r="AQ95" i="1"/>
  <c r="AS95" i="1"/>
  <c r="BB95" i="1"/>
  <c r="AW95" i="1"/>
  <c r="AL95" i="1"/>
  <c r="BD95" i="1"/>
  <c r="AP95" i="1"/>
  <c r="W74" i="1"/>
  <c r="X74" i="1"/>
  <c r="Z74" i="1"/>
  <c r="E75" i="1"/>
  <c r="V75" i="1"/>
  <c r="C74" i="1"/>
  <c r="D74" i="1"/>
  <c r="A76" i="1"/>
  <c r="B75" i="1"/>
  <c r="L75" i="1" s="1"/>
  <c r="AR75" i="2" l="1"/>
  <c r="AH75" i="2"/>
  <c r="AL75" i="2"/>
  <c r="X76" i="2"/>
  <c r="W76" i="2"/>
  <c r="V76" i="2"/>
  <c r="AA76" i="2"/>
  <c r="Z76" i="2"/>
  <c r="Y76" i="2"/>
  <c r="R77" i="2"/>
  <c r="AE76" i="2"/>
  <c r="AC76" i="2"/>
  <c r="AD76" i="2"/>
  <c r="T76" i="2"/>
  <c r="S76" i="2"/>
  <c r="U76" i="2"/>
  <c r="AB76" i="2"/>
  <c r="AK75" i="2"/>
  <c r="G76" i="2"/>
  <c r="F76" i="2"/>
  <c r="J76" i="2"/>
  <c r="L76" i="2"/>
  <c r="AP76" i="2" s="1"/>
  <c r="N76" i="2"/>
  <c r="D76" i="2"/>
  <c r="K76" i="2"/>
  <c r="AO76" i="2" s="1"/>
  <c r="O76" i="2"/>
  <c r="M76" i="2"/>
  <c r="C77" i="2"/>
  <c r="E76" i="2"/>
  <c r="AI76" i="2" s="1"/>
  <c r="I76" i="2"/>
  <c r="AM76" i="2" s="1"/>
  <c r="H76" i="2"/>
  <c r="AL76" i="2" s="1"/>
  <c r="J74" i="1"/>
  <c r="K74" i="1" s="1"/>
  <c r="O74" i="1" s="1"/>
  <c r="P74" i="1" s="1"/>
  <c r="Q74" i="1" s="1"/>
  <c r="P73" i="1"/>
  <c r="Q73" i="1" s="1"/>
  <c r="G75" i="1"/>
  <c r="I75" i="1" s="1"/>
  <c r="Y76" i="1"/>
  <c r="H76" i="1"/>
  <c r="AT96" i="1"/>
  <c r="AW96" i="1"/>
  <c r="AS96" i="1"/>
  <c r="BE96" i="1"/>
  <c r="AM96" i="1"/>
  <c r="BD96" i="1"/>
  <c r="BA96" i="1"/>
  <c r="BC96" i="1"/>
  <c r="AN96" i="1"/>
  <c r="AU96" i="1"/>
  <c r="AX96" i="1"/>
  <c r="AQ96" i="1"/>
  <c r="AL96" i="1"/>
  <c r="AV96" i="1"/>
  <c r="AK97" i="1"/>
  <c r="AR96" i="1"/>
  <c r="AZ96" i="1"/>
  <c r="AO96" i="1"/>
  <c r="BB96" i="1"/>
  <c r="AP96" i="1"/>
  <c r="AY96" i="1"/>
  <c r="X75" i="1"/>
  <c r="W75" i="1"/>
  <c r="Z75" i="1"/>
  <c r="E76" i="1"/>
  <c r="V76" i="1"/>
  <c r="C75" i="1"/>
  <c r="D75" i="1"/>
  <c r="A77" i="1"/>
  <c r="B76" i="1"/>
  <c r="L76" i="1" s="1"/>
  <c r="AR76" i="2" l="1"/>
  <c r="Y77" i="2"/>
  <c r="T77" i="2"/>
  <c r="AB77" i="2"/>
  <c r="AD77" i="2"/>
  <c r="X77" i="2"/>
  <c r="U77" i="2"/>
  <c r="R78" i="2"/>
  <c r="AC77" i="2"/>
  <c r="AA77" i="2"/>
  <c r="W77" i="2"/>
  <c r="Z77" i="2"/>
  <c r="V77" i="2"/>
  <c r="S77" i="2"/>
  <c r="AE77" i="2"/>
  <c r="AS76" i="2"/>
  <c r="AJ76" i="2"/>
  <c r="E77" i="2"/>
  <c r="J77" i="2"/>
  <c r="AN77" i="2" s="1"/>
  <c r="O77" i="2"/>
  <c r="M77" i="2"/>
  <c r="AQ77" i="2" s="1"/>
  <c r="L77" i="2"/>
  <c r="K77" i="2"/>
  <c r="G77" i="2"/>
  <c r="I77" i="2"/>
  <c r="AM77" i="2" s="1"/>
  <c r="N77" i="2"/>
  <c r="AR77" i="2" s="1"/>
  <c r="C78" i="2"/>
  <c r="H77" i="2"/>
  <c r="AL77" i="2" s="1"/>
  <c r="F77" i="2"/>
  <c r="AJ77" i="2" s="1"/>
  <c r="D77" i="2"/>
  <c r="AH77" i="2" s="1"/>
  <c r="AH76" i="2"/>
  <c r="AK76" i="2"/>
  <c r="AQ76" i="2"/>
  <c r="AN76" i="2"/>
  <c r="S73" i="1"/>
  <c r="R73" i="1"/>
  <c r="J75" i="1"/>
  <c r="K75" i="1" s="1"/>
  <c r="O75" i="1" s="1"/>
  <c r="P75" i="1" s="1"/>
  <c r="Q75" i="1" s="1"/>
  <c r="R74" i="1"/>
  <c r="S74" i="1"/>
  <c r="G76" i="1"/>
  <c r="I76" i="1" s="1"/>
  <c r="Y77" i="1"/>
  <c r="H77" i="1"/>
  <c r="AU97" i="1"/>
  <c r="AP97" i="1"/>
  <c r="AR97" i="1"/>
  <c r="BE97" i="1"/>
  <c r="AS97" i="1"/>
  <c r="AQ97" i="1"/>
  <c r="AX97" i="1"/>
  <c r="BD97" i="1"/>
  <c r="AO97" i="1"/>
  <c r="AN97" i="1"/>
  <c r="BC97" i="1"/>
  <c r="AZ97" i="1"/>
  <c r="AY97" i="1"/>
  <c r="AL97" i="1"/>
  <c r="AK98" i="1"/>
  <c r="AW97" i="1"/>
  <c r="BB97" i="1"/>
  <c r="AM97" i="1"/>
  <c r="AV97" i="1"/>
  <c r="AT97" i="1"/>
  <c r="BA97" i="1"/>
  <c r="W76" i="1"/>
  <c r="X76" i="1"/>
  <c r="Z76" i="1"/>
  <c r="E77" i="1"/>
  <c r="V77" i="1"/>
  <c r="C76" i="1"/>
  <c r="D76" i="1"/>
  <c r="A78" i="1"/>
  <c r="B77" i="1"/>
  <c r="L77" i="1" s="1"/>
  <c r="AS77" i="2" l="1"/>
  <c r="AI77" i="2"/>
  <c r="AO77" i="2"/>
  <c r="M78" i="2"/>
  <c r="O78" i="2"/>
  <c r="J78" i="2"/>
  <c r="F78" i="2"/>
  <c r="K78" i="2"/>
  <c r="H78" i="2"/>
  <c r="E78" i="2"/>
  <c r="AI78" i="2" s="1"/>
  <c r="G78" i="2"/>
  <c r="AK78" i="2" s="1"/>
  <c r="C79" i="2"/>
  <c r="I78" i="2"/>
  <c r="AM78" i="2" s="1"/>
  <c r="D78" i="2"/>
  <c r="AH78" i="2" s="1"/>
  <c r="N78" i="2"/>
  <c r="AR78" i="2" s="1"/>
  <c r="L78" i="2"/>
  <c r="AP78" i="2" s="1"/>
  <c r="AK77" i="2"/>
  <c r="AP77" i="2"/>
  <c r="R79" i="2"/>
  <c r="AB78" i="2"/>
  <c r="V78" i="2"/>
  <c r="U78" i="2"/>
  <c r="X78" i="2"/>
  <c r="T78" i="2"/>
  <c r="AD78" i="2"/>
  <c r="AC78" i="2"/>
  <c r="S78" i="2"/>
  <c r="AE78" i="2"/>
  <c r="Z78" i="2"/>
  <c r="Y78" i="2"/>
  <c r="AA78" i="2"/>
  <c r="W78" i="2"/>
  <c r="J76" i="1"/>
  <c r="K76" i="1" s="1"/>
  <c r="O76" i="1" s="1"/>
  <c r="P76" i="1" s="1"/>
  <c r="Q76" i="1" s="1"/>
  <c r="R75" i="1"/>
  <c r="S75" i="1"/>
  <c r="G77" i="1"/>
  <c r="I77" i="1" s="1"/>
  <c r="Y78" i="1"/>
  <c r="H78" i="1"/>
  <c r="AZ98" i="1"/>
  <c r="AN98" i="1"/>
  <c r="AQ98" i="1"/>
  <c r="BB98" i="1"/>
  <c r="AV98" i="1"/>
  <c r="AK99" i="1"/>
  <c r="BD98" i="1"/>
  <c r="AT98" i="1"/>
  <c r="BC98" i="1"/>
  <c r="AM98" i="1"/>
  <c r="AU98" i="1"/>
  <c r="AR98" i="1"/>
  <c r="AP98" i="1"/>
  <c r="AO98" i="1"/>
  <c r="AL98" i="1"/>
  <c r="AY98" i="1"/>
  <c r="AX98" i="1"/>
  <c r="AS98" i="1"/>
  <c r="AW98" i="1"/>
  <c r="BA98" i="1"/>
  <c r="BE98" i="1"/>
  <c r="X77" i="1"/>
  <c r="W77" i="1"/>
  <c r="Z77" i="1"/>
  <c r="E78" i="1"/>
  <c r="V78" i="1"/>
  <c r="C77" i="1"/>
  <c r="D77" i="1"/>
  <c r="A79" i="1"/>
  <c r="B78" i="1"/>
  <c r="L78" i="1" s="1"/>
  <c r="N79" i="2" l="1"/>
  <c r="J79" i="2"/>
  <c r="F79" i="2"/>
  <c r="K79" i="2"/>
  <c r="G79" i="2"/>
  <c r="AK79" i="2" s="1"/>
  <c r="D79" i="2"/>
  <c r="AH79" i="2" s="1"/>
  <c r="L79" i="2"/>
  <c r="AP79" i="2" s="1"/>
  <c r="I79" i="2"/>
  <c r="H79" i="2"/>
  <c r="AL79" i="2" s="1"/>
  <c r="O79" i="2"/>
  <c r="AS79" i="2" s="1"/>
  <c r="E79" i="2"/>
  <c r="AI79" i="2" s="1"/>
  <c r="M79" i="2"/>
  <c r="AQ79" i="2" s="1"/>
  <c r="C80" i="2"/>
  <c r="AO78" i="2"/>
  <c r="AJ78" i="2"/>
  <c r="AN78" i="2"/>
  <c r="AS78" i="2"/>
  <c r="AQ78" i="2"/>
  <c r="AL78" i="2"/>
  <c r="S79" i="2"/>
  <c r="W79" i="2"/>
  <c r="V79" i="2"/>
  <c r="AC79" i="2"/>
  <c r="T79" i="2"/>
  <c r="AD79" i="2"/>
  <c r="Z79" i="2"/>
  <c r="Y79" i="2"/>
  <c r="X79" i="2"/>
  <c r="AB79" i="2"/>
  <c r="U79" i="2"/>
  <c r="R80" i="2"/>
  <c r="AE79" i="2"/>
  <c r="AA79" i="2"/>
  <c r="J77" i="1"/>
  <c r="K77" i="1" s="1"/>
  <c r="O77" i="1" s="1"/>
  <c r="P77" i="1" s="1"/>
  <c r="Q77" i="1" s="1"/>
  <c r="R76" i="1"/>
  <c r="S76" i="1"/>
  <c r="G78" i="1"/>
  <c r="I78" i="1" s="1"/>
  <c r="Y79" i="1"/>
  <c r="H79" i="1"/>
  <c r="AK100" i="1"/>
  <c r="AV99" i="1"/>
  <c r="BD99" i="1"/>
  <c r="AQ99" i="1"/>
  <c r="AO99" i="1"/>
  <c r="AW99" i="1"/>
  <c r="AS99" i="1"/>
  <c r="AN99" i="1"/>
  <c r="AM99" i="1"/>
  <c r="BE99" i="1"/>
  <c r="BC99" i="1"/>
  <c r="AP99" i="1"/>
  <c r="AX99" i="1"/>
  <c r="AR99" i="1"/>
  <c r="BB99" i="1"/>
  <c r="AZ99" i="1"/>
  <c r="AY99" i="1"/>
  <c r="AU99" i="1"/>
  <c r="AL99" i="1"/>
  <c r="AT99" i="1"/>
  <c r="BA99" i="1"/>
  <c r="X78" i="1"/>
  <c r="W78" i="1"/>
  <c r="Z78" i="1"/>
  <c r="E79" i="1"/>
  <c r="V79" i="1"/>
  <c r="C78" i="1"/>
  <c r="D78" i="1"/>
  <c r="A80" i="1"/>
  <c r="B79" i="1"/>
  <c r="L79" i="1" s="1"/>
  <c r="AD80" i="2" l="1"/>
  <c r="R81" i="2"/>
  <c r="AB80" i="2"/>
  <c r="S80" i="2"/>
  <c r="Z80" i="2"/>
  <c r="Y80" i="2"/>
  <c r="AE80" i="2"/>
  <c r="AA80" i="2"/>
  <c r="AC80" i="2"/>
  <c r="X80" i="2"/>
  <c r="T80" i="2"/>
  <c r="W80" i="2"/>
  <c r="U80" i="2"/>
  <c r="V80" i="2"/>
  <c r="J80" i="2"/>
  <c r="AN80" i="2" s="1"/>
  <c r="H80" i="2"/>
  <c r="AL80" i="2" s="1"/>
  <c r="I80" i="2"/>
  <c r="L80" i="2"/>
  <c r="K80" i="2"/>
  <c r="C81" i="2"/>
  <c r="F80" i="2"/>
  <c r="G80" i="2"/>
  <c r="M80" i="2"/>
  <c r="O80" i="2"/>
  <c r="AS80" i="2" s="1"/>
  <c r="N80" i="2"/>
  <c r="AR80" i="2" s="1"/>
  <c r="E80" i="2"/>
  <c r="AI80" i="2" s="1"/>
  <c r="D80" i="2"/>
  <c r="AH80" i="2" s="1"/>
  <c r="AO79" i="2"/>
  <c r="AJ79" i="2"/>
  <c r="AM79" i="2"/>
  <c r="AN79" i="2"/>
  <c r="AR79" i="2"/>
  <c r="J78" i="1"/>
  <c r="K78" i="1" s="1"/>
  <c r="O78" i="1" s="1"/>
  <c r="P78" i="1" s="1"/>
  <c r="Q78" i="1" s="1"/>
  <c r="R77" i="1"/>
  <c r="S77" i="1"/>
  <c r="G79" i="1"/>
  <c r="I79" i="1" s="1"/>
  <c r="Y80" i="1"/>
  <c r="H80" i="1"/>
  <c r="AP100" i="1"/>
  <c r="AN100" i="1"/>
  <c r="AY100" i="1"/>
  <c r="BA100" i="1"/>
  <c r="AK101" i="1"/>
  <c r="AU100" i="1"/>
  <c r="BD100" i="1"/>
  <c r="AQ100" i="1"/>
  <c r="AZ100" i="1"/>
  <c r="AX100" i="1"/>
  <c r="BE100" i="1"/>
  <c r="AS100" i="1"/>
  <c r="AM100" i="1"/>
  <c r="AW100" i="1"/>
  <c r="BC100" i="1"/>
  <c r="BB100" i="1"/>
  <c r="AT100" i="1"/>
  <c r="AV100" i="1"/>
  <c r="AO100" i="1"/>
  <c r="AR100" i="1"/>
  <c r="AL100" i="1"/>
  <c r="X79" i="1"/>
  <c r="W79" i="1"/>
  <c r="Z79" i="1"/>
  <c r="E80" i="1"/>
  <c r="V80" i="1"/>
  <c r="C79" i="1"/>
  <c r="D79" i="1"/>
  <c r="A81" i="1"/>
  <c r="B80" i="1"/>
  <c r="L80" i="1" s="1"/>
  <c r="AO80" i="2" l="1"/>
  <c r="AP80" i="2"/>
  <c r="AQ80" i="2"/>
  <c r="AK80" i="2"/>
  <c r="AJ80" i="2"/>
  <c r="M81" i="2"/>
  <c r="L81" i="2"/>
  <c r="J81" i="2"/>
  <c r="K81" i="2"/>
  <c r="N81" i="2"/>
  <c r="AR81" i="2" s="1"/>
  <c r="I81" i="2"/>
  <c r="AM81" i="2" s="1"/>
  <c r="H81" i="2"/>
  <c r="AL81" i="2" s="1"/>
  <c r="D81" i="2"/>
  <c r="O81" i="2"/>
  <c r="AS81" i="2" s="1"/>
  <c r="G81" i="2"/>
  <c r="AK81" i="2" s="1"/>
  <c r="F81" i="2"/>
  <c r="AJ81" i="2" s="1"/>
  <c r="E81" i="2"/>
  <c r="C82" i="2"/>
  <c r="S81" i="2"/>
  <c r="T81" i="2"/>
  <c r="AC81" i="2"/>
  <c r="AE81" i="2"/>
  <c r="AD81" i="2"/>
  <c r="AB81" i="2"/>
  <c r="Z81" i="2"/>
  <c r="X81" i="2"/>
  <c r="W81" i="2"/>
  <c r="V81" i="2"/>
  <c r="R82" i="2"/>
  <c r="AA81" i="2"/>
  <c r="Y81" i="2"/>
  <c r="U81" i="2"/>
  <c r="AM80" i="2"/>
  <c r="J79" i="1"/>
  <c r="K79" i="1" s="1"/>
  <c r="O79" i="1" s="1"/>
  <c r="P79" i="1" s="1"/>
  <c r="Q79" i="1" s="1"/>
  <c r="R78" i="1"/>
  <c r="S78" i="1"/>
  <c r="G80" i="1"/>
  <c r="I80" i="1" s="1"/>
  <c r="Y81" i="1"/>
  <c r="H81" i="1"/>
  <c r="AZ101" i="1"/>
  <c r="AW101" i="1"/>
  <c r="AT101" i="1"/>
  <c r="AQ101" i="1"/>
  <c r="AR101" i="1"/>
  <c r="AM101" i="1"/>
  <c r="AL101" i="1"/>
  <c r="AP101" i="1"/>
  <c r="AY101" i="1"/>
  <c r="AX101" i="1"/>
  <c r="AV101" i="1"/>
  <c r="BE101" i="1"/>
  <c r="AU101" i="1"/>
  <c r="AS101" i="1"/>
  <c r="AO101" i="1"/>
  <c r="BD101" i="1"/>
  <c r="BB101" i="1"/>
  <c r="AN101" i="1"/>
  <c r="AK102" i="1"/>
  <c r="BC101" i="1"/>
  <c r="BA101" i="1"/>
  <c r="X80" i="1"/>
  <c r="W80" i="1"/>
  <c r="Z80" i="1"/>
  <c r="E81" i="1"/>
  <c r="V81" i="1"/>
  <c r="C80" i="1"/>
  <c r="D80" i="1"/>
  <c r="A82" i="1"/>
  <c r="B81" i="1"/>
  <c r="L81" i="1" s="1"/>
  <c r="AI81" i="2" l="1"/>
  <c r="AH81" i="2"/>
  <c r="AO81" i="2"/>
  <c r="AN81" i="2"/>
  <c r="AP81" i="2"/>
  <c r="AQ81" i="2"/>
  <c r="H82" i="2"/>
  <c r="AL82" i="2" s="1"/>
  <c r="G82" i="2"/>
  <c r="M82" i="2"/>
  <c r="AQ82" i="2" s="1"/>
  <c r="C83" i="2"/>
  <c r="I82" i="2"/>
  <c r="F82" i="2"/>
  <c r="D82" i="2"/>
  <c r="AH82" i="2" s="1"/>
  <c r="E82" i="2"/>
  <c r="AI82" i="2" s="1"/>
  <c r="N82" i="2"/>
  <c r="AR82" i="2" s="1"/>
  <c r="J82" i="2"/>
  <c r="AN82" i="2" s="1"/>
  <c r="O82" i="2"/>
  <c r="L82" i="2"/>
  <c r="K82" i="2"/>
  <c r="AB82" i="2"/>
  <c r="AA82" i="2"/>
  <c r="Z82" i="2"/>
  <c r="W82" i="2"/>
  <c r="Y82" i="2"/>
  <c r="T82" i="2"/>
  <c r="AC82" i="2"/>
  <c r="AE82" i="2"/>
  <c r="S82" i="2"/>
  <c r="R83" i="2"/>
  <c r="AD82" i="2"/>
  <c r="V82" i="2"/>
  <c r="U82" i="2"/>
  <c r="X82" i="2"/>
  <c r="J80" i="1"/>
  <c r="K80" i="1" s="1"/>
  <c r="O80" i="1" s="1"/>
  <c r="P80" i="1" s="1"/>
  <c r="Q80" i="1" s="1"/>
  <c r="R79" i="1"/>
  <c r="S79" i="1"/>
  <c r="G81" i="1"/>
  <c r="I81" i="1" s="1"/>
  <c r="Y82" i="1"/>
  <c r="H82" i="1"/>
  <c r="AL102" i="1"/>
  <c r="AP102" i="1"/>
  <c r="BE102" i="1"/>
  <c r="AS102" i="1"/>
  <c r="AU102" i="1"/>
  <c r="AY102" i="1"/>
  <c r="AK103" i="1"/>
  <c r="AW102" i="1"/>
  <c r="AV102" i="1"/>
  <c r="BD102" i="1"/>
  <c r="AN102" i="1"/>
  <c r="BC102" i="1"/>
  <c r="BA102" i="1"/>
  <c r="AO102" i="1"/>
  <c r="AM102" i="1"/>
  <c r="AX102" i="1"/>
  <c r="AZ102" i="1"/>
  <c r="AT102" i="1"/>
  <c r="AR102" i="1"/>
  <c r="BB102" i="1"/>
  <c r="AQ102" i="1"/>
  <c r="W81" i="1"/>
  <c r="X81" i="1"/>
  <c r="Z81" i="1"/>
  <c r="E82" i="1"/>
  <c r="V82" i="1"/>
  <c r="C81" i="1"/>
  <c r="D81" i="1"/>
  <c r="A83" i="1"/>
  <c r="B82" i="1"/>
  <c r="L82" i="1" s="1"/>
  <c r="AS82" i="2" l="1"/>
  <c r="N83" i="2"/>
  <c r="C84" i="2"/>
  <c r="D83" i="2"/>
  <c r="K83" i="2"/>
  <c r="AO83" i="2" s="1"/>
  <c r="M83" i="2"/>
  <c r="G83" i="2"/>
  <c r="AK83" i="2" s="1"/>
  <c r="F83" i="2"/>
  <c r="AJ83" i="2" s="1"/>
  <c r="E83" i="2"/>
  <c r="I83" i="2"/>
  <c r="AM83" i="2" s="1"/>
  <c r="O83" i="2"/>
  <c r="AS83" i="2" s="1"/>
  <c r="L83" i="2"/>
  <c r="AP83" i="2" s="1"/>
  <c r="J83" i="2"/>
  <c r="AN83" i="2" s="1"/>
  <c r="H83" i="2"/>
  <c r="AL83" i="2" s="1"/>
  <c r="AK82" i="2"/>
  <c r="AE83" i="2"/>
  <c r="R84" i="2"/>
  <c r="AC83" i="2"/>
  <c r="AD83" i="2"/>
  <c r="Z83" i="2"/>
  <c r="V83" i="2"/>
  <c r="U83" i="2"/>
  <c r="Y83" i="2"/>
  <c r="X83" i="2"/>
  <c r="AB83" i="2"/>
  <c r="S83" i="2"/>
  <c r="T83" i="2"/>
  <c r="AA83" i="2"/>
  <c r="W83" i="2"/>
  <c r="AM82" i="2"/>
  <c r="AO82" i="2"/>
  <c r="AJ82" i="2"/>
  <c r="AP82" i="2"/>
  <c r="J81" i="1"/>
  <c r="K81" i="1" s="1"/>
  <c r="O81" i="1" s="1"/>
  <c r="P81" i="1" s="1"/>
  <c r="Q81" i="1" s="1"/>
  <c r="R80" i="1"/>
  <c r="S80" i="1"/>
  <c r="G82" i="1"/>
  <c r="I82" i="1" s="1"/>
  <c r="Y83" i="1"/>
  <c r="H83" i="1"/>
  <c r="AU103" i="1"/>
  <c r="AT103" i="1"/>
  <c r="AZ103" i="1"/>
  <c r="AR103" i="1"/>
  <c r="AY103" i="1"/>
  <c r="AQ103" i="1"/>
  <c r="AX103" i="1"/>
  <c r="AV103" i="1"/>
  <c r="AN103" i="1"/>
  <c r="AL103" i="1"/>
  <c r="AS103" i="1"/>
  <c r="BA103" i="1"/>
  <c r="BE103" i="1"/>
  <c r="BC103" i="1"/>
  <c r="AP103" i="1"/>
  <c r="AK104" i="1"/>
  <c r="AM103" i="1"/>
  <c r="BB103" i="1"/>
  <c r="BD103" i="1"/>
  <c r="AW103" i="1"/>
  <c r="AO103" i="1"/>
  <c r="W82" i="1"/>
  <c r="X82" i="1"/>
  <c r="Z82" i="1"/>
  <c r="E83" i="1"/>
  <c r="V83" i="1"/>
  <c r="C82" i="1"/>
  <c r="D82" i="1"/>
  <c r="A84" i="1"/>
  <c r="B83" i="1"/>
  <c r="L83" i="1" s="1"/>
  <c r="AQ83" i="2" l="1"/>
  <c r="AH83" i="2"/>
  <c r="AI83" i="2"/>
  <c r="O84" i="2"/>
  <c r="N84" i="2"/>
  <c r="L84" i="2"/>
  <c r="AP84" i="2" s="1"/>
  <c r="M84" i="2"/>
  <c r="K84" i="2"/>
  <c r="I84" i="2"/>
  <c r="AM84" i="2" s="1"/>
  <c r="G84" i="2"/>
  <c r="AK84" i="2" s="1"/>
  <c r="H84" i="2"/>
  <c r="AL84" i="2" s="1"/>
  <c r="E84" i="2"/>
  <c r="C85" i="2"/>
  <c r="F84" i="2"/>
  <c r="AJ84" i="2" s="1"/>
  <c r="J84" i="2"/>
  <c r="AN84" i="2" s="1"/>
  <c r="D84" i="2"/>
  <c r="AH84" i="2" s="1"/>
  <c r="V84" i="2"/>
  <c r="AE84" i="2"/>
  <c r="S84" i="2"/>
  <c r="AA84" i="2"/>
  <c r="Y84" i="2"/>
  <c r="X84" i="2"/>
  <c r="AD84" i="2"/>
  <c r="AC84" i="2"/>
  <c r="AB84" i="2"/>
  <c r="Z84" i="2"/>
  <c r="W84" i="2"/>
  <c r="R85" i="2"/>
  <c r="U84" i="2"/>
  <c r="T84" i="2"/>
  <c r="AR83" i="2"/>
  <c r="J82" i="1"/>
  <c r="K82" i="1" s="1"/>
  <c r="O82" i="1" s="1"/>
  <c r="P82" i="1" s="1"/>
  <c r="Q82" i="1" s="1"/>
  <c r="R81" i="1"/>
  <c r="S81" i="1"/>
  <c r="G83" i="1"/>
  <c r="I83" i="1" s="1"/>
  <c r="Y84" i="1"/>
  <c r="H84" i="1"/>
  <c r="BB104" i="1"/>
  <c r="AV104" i="1"/>
  <c r="BA104" i="1"/>
  <c r="AU104" i="1"/>
  <c r="AZ104" i="1"/>
  <c r="AW104" i="1"/>
  <c r="AS104" i="1"/>
  <c r="AP104" i="1"/>
  <c r="AO104" i="1"/>
  <c r="AM104" i="1"/>
  <c r="BC104" i="1"/>
  <c r="AT104" i="1"/>
  <c r="AL104" i="1"/>
  <c r="AY104" i="1"/>
  <c r="BE104" i="1"/>
  <c r="AN104" i="1"/>
  <c r="AX104" i="1"/>
  <c r="AQ104" i="1"/>
  <c r="BD104" i="1"/>
  <c r="AR104" i="1"/>
  <c r="AK105" i="1"/>
  <c r="W83" i="1"/>
  <c r="X83" i="1"/>
  <c r="Z83" i="1"/>
  <c r="E84" i="1"/>
  <c r="V84" i="1"/>
  <c r="C83" i="1"/>
  <c r="D83" i="1"/>
  <c r="B84" i="1"/>
  <c r="L84" i="1" s="1"/>
  <c r="A85" i="1"/>
  <c r="AI84" i="2" l="1"/>
  <c r="AQ84" i="2"/>
  <c r="J85" i="2"/>
  <c r="AN85" i="2" s="1"/>
  <c r="I85" i="2"/>
  <c r="K85" i="2"/>
  <c r="H85" i="2"/>
  <c r="C86" i="2"/>
  <c r="F85" i="2"/>
  <c r="AJ85" i="2" s="1"/>
  <c r="E85" i="2"/>
  <c r="D85" i="2"/>
  <c r="M85" i="2"/>
  <c r="AQ85" i="2" s="1"/>
  <c r="O85" i="2"/>
  <c r="AS85" i="2" s="1"/>
  <c r="G85" i="2"/>
  <c r="AK85" i="2" s="1"/>
  <c r="L85" i="2"/>
  <c r="AP85" i="2" s="1"/>
  <c r="N85" i="2"/>
  <c r="AR85" i="2" s="1"/>
  <c r="AS84" i="2"/>
  <c r="Y85" i="2"/>
  <c r="AC85" i="2"/>
  <c r="AB85" i="2"/>
  <c r="AE85" i="2"/>
  <c r="X85" i="2"/>
  <c r="U85" i="2"/>
  <c r="R86" i="2"/>
  <c r="V85" i="2"/>
  <c r="AD85" i="2"/>
  <c r="W85" i="2"/>
  <c r="S85" i="2"/>
  <c r="T85" i="2"/>
  <c r="AA85" i="2"/>
  <c r="Z85" i="2"/>
  <c r="AO84" i="2"/>
  <c r="AR84" i="2"/>
  <c r="J83" i="1"/>
  <c r="K83" i="1" s="1"/>
  <c r="O83" i="1" s="1"/>
  <c r="P83" i="1" s="1"/>
  <c r="Q83" i="1" s="1"/>
  <c r="R82" i="1"/>
  <c r="S82" i="1"/>
  <c r="G84" i="1"/>
  <c r="I84" i="1" s="1"/>
  <c r="Y85" i="1"/>
  <c r="H85" i="1"/>
  <c r="AT105" i="1"/>
  <c r="AP105" i="1"/>
  <c r="BE105" i="1"/>
  <c r="AO105" i="1"/>
  <c r="AM105" i="1"/>
  <c r="AQ105" i="1"/>
  <c r="BA105" i="1"/>
  <c r="AK106" i="1"/>
  <c r="AY105" i="1"/>
  <c r="AZ105" i="1"/>
  <c r="AX105" i="1"/>
  <c r="BD105" i="1"/>
  <c r="AL105" i="1"/>
  <c r="AS105" i="1"/>
  <c r="AU105" i="1"/>
  <c r="BC105" i="1"/>
  <c r="AW105" i="1"/>
  <c r="AN105" i="1"/>
  <c r="AR105" i="1"/>
  <c r="BB105" i="1"/>
  <c r="AV105" i="1"/>
  <c r="X84" i="1"/>
  <c r="W84" i="1"/>
  <c r="Z84" i="1"/>
  <c r="E85" i="1"/>
  <c r="V85" i="1"/>
  <c r="C84" i="1"/>
  <c r="D84" i="1"/>
  <c r="A86" i="1"/>
  <c r="B85" i="1"/>
  <c r="L85" i="1" s="1"/>
  <c r="AH85" i="2" l="1"/>
  <c r="O86" i="2"/>
  <c r="C87" i="2"/>
  <c r="D86" i="2"/>
  <c r="J86" i="2"/>
  <c r="M86" i="2"/>
  <c r="I86" i="2"/>
  <c r="AM86" i="2" s="1"/>
  <c r="G86" i="2"/>
  <c r="AK86" i="2" s="1"/>
  <c r="F86" i="2"/>
  <c r="AJ86" i="2" s="1"/>
  <c r="H86" i="2"/>
  <c r="AL86" i="2" s="1"/>
  <c r="E86" i="2"/>
  <c r="AI86" i="2" s="1"/>
  <c r="L86" i="2"/>
  <c r="AP86" i="2" s="1"/>
  <c r="K86" i="2"/>
  <c r="AO86" i="2" s="1"/>
  <c r="N86" i="2"/>
  <c r="AR86" i="2" s="1"/>
  <c r="AM85" i="2"/>
  <c r="R87" i="2"/>
  <c r="X86" i="2"/>
  <c r="U86" i="2"/>
  <c r="W86" i="2"/>
  <c r="AD86" i="2"/>
  <c r="Z86" i="2"/>
  <c r="AC86" i="2"/>
  <c r="V86" i="2"/>
  <c r="AE86" i="2"/>
  <c r="Y86" i="2"/>
  <c r="T86" i="2"/>
  <c r="S86" i="2"/>
  <c r="AA86" i="2"/>
  <c r="AB86" i="2"/>
  <c r="AO85" i="2"/>
  <c r="AI85" i="2"/>
  <c r="AL85" i="2"/>
  <c r="J84" i="1"/>
  <c r="K84" i="1" s="1"/>
  <c r="O84" i="1" s="1"/>
  <c r="P84" i="1" s="1"/>
  <c r="Q84" i="1" s="1"/>
  <c r="R83" i="1"/>
  <c r="S83" i="1"/>
  <c r="G85" i="1"/>
  <c r="Y86" i="1"/>
  <c r="H86" i="1"/>
  <c r="I85" i="1"/>
  <c r="BC106" i="1"/>
  <c r="AV106" i="1"/>
  <c r="AP106" i="1"/>
  <c r="AO106" i="1"/>
  <c r="AS106" i="1"/>
  <c r="BE106" i="1"/>
  <c r="BB106" i="1"/>
  <c r="AT106" i="1"/>
  <c r="BA106" i="1"/>
  <c r="AU106" i="1"/>
  <c r="AR106" i="1"/>
  <c r="AL106" i="1"/>
  <c r="AZ106" i="1"/>
  <c r="AY106" i="1"/>
  <c r="AW106" i="1"/>
  <c r="AQ106" i="1"/>
  <c r="AK107" i="1"/>
  <c r="AN106" i="1"/>
  <c r="AM106" i="1"/>
  <c r="AX106" i="1"/>
  <c r="BD106" i="1"/>
  <c r="X85" i="1"/>
  <c r="W85" i="1"/>
  <c r="Z85" i="1"/>
  <c r="E86" i="1"/>
  <c r="V86" i="1"/>
  <c r="C85" i="1"/>
  <c r="D85" i="1"/>
  <c r="B86" i="1"/>
  <c r="L86" i="1" s="1"/>
  <c r="A87" i="1"/>
  <c r="AH86" i="2" l="1"/>
  <c r="AQ86" i="2"/>
  <c r="J87" i="2"/>
  <c r="I87" i="2"/>
  <c r="F87" i="2"/>
  <c r="E87" i="2"/>
  <c r="M87" i="2"/>
  <c r="L87" i="2"/>
  <c r="AP87" i="2" s="1"/>
  <c r="H87" i="2"/>
  <c r="AL87" i="2" s="1"/>
  <c r="G87" i="2"/>
  <c r="AK87" i="2" s="1"/>
  <c r="K87" i="2"/>
  <c r="AO87" i="2" s="1"/>
  <c r="N87" i="2"/>
  <c r="AR87" i="2" s="1"/>
  <c r="O87" i="2"/>
  <c r="AS87" i="2" s="1"/>
  <c r="D87" i="2"/>
  <c r="AH87" i="2" s="1"/>
  <c r="C88" i="2"/>
  <c r="AN86" i="2"/>
  <c r="AS86" i="2"/>
  <c r="AA87" i="2"/>
  <c r="Y87" i="2"/>
  <c r="AC87" i="2"/>
  <c r="W87" i="2"/>
  <c r="V87" i="2"/>
  <c r="R88" i="2"/>
  <c r="X87" i="2"/>
  <c r="Z87" i="2"/>
  <c r="U87" i="2"/>
  <c r="S87" i="2"/>
  <c r="AE87" i="2"/>
  <c r="AD87" i="2"/>
  <c r="AB87" i="2"/>
  <c r="T87" i="2"/>
  <c r="J85" i="1"/>
  <c r="K85" i="1" s="1"/>
  <c r="O85" i="1" s="1"/>
  <c r="P85" i="1" s="1"/>
  <c r="Q85" i="1" s="1"/>
  <c r="R84" i="1"/>
  <c r="S84" i="1"/>
  <c r="G86" i="1"/>
  <c r="I86" i="1"/>
  <c r="Y87" i="1"/>
  <c r="H87" i="1"/>
  <c r="AK108" i="1"/>
  <c r="AY107" i="1"/>
  <c r="AO107" i="1"/>
  <c r="AL107" i="1"/>
  <c r="AS107" i="1"/>
  <c r="AQ107" i="1"/>
  <c r="AM107" i="1"/>
  <c r="BA107" i="1"/>
  <c r="AW107" i="1"/>
  <c r="BE107" i="1"/>
  <c r="AU107" i="1"/>
  <c r="AP107" i="1"/>
  <c r="AT107" i="1"/>
  <c r="AX107" i="1"/>
  <c r="BB107" i="1"/>
  <c r="AV107" i="1"/>
  <c r="AR107" i="1"/>
  <c r="AN107" i="1"/>
  <c r="AZ107" i="1"/>
  <c r="BD107" i="1"/>
  <c r="BC107" i="1"/>
  <c r="X86" i="1"/>
  <c r="W86" i="1"/>
  <c r="Z86" i="1"/>
  <c r="E87" i="1"/>
  <c r="V87" i="1"/>
  <c r="C86" i="1"/>
  <c r="D86" i="1"/>
  <c r="A88" i="1"/>
  <c r="B87" i="1"/>
  <c r="L87" i="1" s="1"/>
  <c r="AM87" i="2" l="1"/>
  <c r="AI87" i="2"/>
  <c r="AN87" i="2"/>
  <c r="O88" i="2"/>
  <c r="I88" i="2"/>
  <c r="K88" i="2"/>
  <c r="H88" i="2"/>
  <c r="C89" i="2"/>
  <c r="J88" i="2"/>
  <c r="AN88" i="2" s="1"/>
  <c r="E88" i="2"/>
  <c r="AI88" i="2" s="1"/>
  <c r="L88" i="2"/>
  <c r="AP88" i="2" s="1"/>
  <c r="M88" i="2"/>
  <c r="AQ88" i="2" s="1"/>
  <c r="F88" i="2"/>
  <c r="AJ88" i="2" s="1"/>
  <c r="N88" i="2"/>
  <c r="AR88" i="2" s="1"/>
  <c r="D88" i="2"/>
  <c r="AH88" i="2" s="1"/>
  <c r="G88" i="2"/>
  <c r="AK88" i="2" s="1"/>
  <c r="AQ87" i="2"/>
  <c r="T88" i="2"/>
  <c r="AA88" i="2"/>
  <c r="AE88" i="2"/>
  <c r="AC88" i="2"/>
  <c r="R89" i="2"/>
  <c r="AD88" i="2"/>
  <c r="Y88" i="2"/>
  <c r="S88" i="2"/>
  <c r="W88" i="2"/>
  <c r="AB88" i="2"/>
  <c r="Z88" i="2"/>
  <c r="X88" i="2"/>
  <c r="U88" i="2"/>
  <c r="V88" i="2"/>
  <c r="AJ87" i="2"/>
  <c r="J86" i="1"/>
  <c r="K86" i="1" s="1"/>
  <c r="O86" i="1" s="1"/>
  <c r="P86" i="1" s="1"/>
  <c r="Q86" i="1" s="1"/>
  <c r="R85" i="1"/>
  <c r="S85" i="1"/>
  <c r="G87" i="1"/>
  <c r="Y88" i="1"/>
  <c r="H88" i="1"/>
  <c r="I87" i="1"/>
  <c r="AY108" i="1"/>
  <c r="AT108" i="1"/>
  <c r="AK109" i="1"/>
  <c r="BA108" i="1"/>
  <c r="BE108" i="1"/>
  <c r="AW108" i="1"/>
  <c r="AS108" i="1"/>
  <c r="AZ108" i="1"/>
  <c r="AR108" i="1"/>
  <c r="AU108" i="1"/>
  <c r="BD108" i="1"/>
  <c r="BB108" i="1"/>
  <c r="BC108" i="1"/>
  <c r="AQ108" i="1"/>
  <c r="AP108" i="1"/>
  <c r="AM108" i="1"/>
  <c r="AX108" i="1"/>
  <c r="AV108" i="1"/>
  <c r="AL108" i="1"/>
  <c r="AO108" i="1"/>
  <c r="AN108" i="1"/>
  <c r="W87" i="1"/>
  <c r="X87" i="1"/>
  <c r="Z87" i="1"/>
  <c r="E88" i="1"/>
  <c r="V88" i="1"/>
  <c r="C87" i="1"/>
  <c r="D87" i="1"/>
  <c r="A89" i="1"/>
  <c r="B88" i="1"/>
  <c r="L88" i="1" s="1"/>
  <c r="U89" i="2" l="1"/>
  <c r="Z89" i="2"/>
  <c r="W89" i="2"/>
  <c r="R90" i="2"/>
  <c r="AB89" i="2"/>
  <c r="S89" i="2"/>
  <c r="AD89" i="2"/>
  <c r="Y89" i="2"/>
  <c r="X89" i="2"/>
  <c r="T89" i="2"/>
  <c r="AE89" i="2"/>
  <c r="AC89" i="2"/>
  <c r="AA89" i="2"/>
  <c r="V89" i="2"/>
  <c r="AO88" i="2"/>
  <c r="AS88" i="2"/>
  <c r="AL88" i="2"/>
  <c r="H89" i="2"/>
  <c r="C90" i="2"/>
  <c r="M89" i="2"/>
  <c r="J89" i="2"/>
  <c r="I89" i="2"/>
  <c r="N89" i="2"/>
  <c r="K89" i="2"/>
  <c r="AO89" i="2" s="1"/>
  <c r="G89" i="2"/>
  <c r="F89" i="2"/>
  <c r="AJ89" i="2" s="1"/>
  <c r="E89" i="2"/>
  <c r="AI89" i="2" s="1"/>
  <c r="D89" i="2"/>
  <c r="AH89" i="2" s="1"/>
  <c r="O89" i="2"/>
  <c r="AS89" i="2" s="1"/>
  <c r="L89" i="2"/>
  <c r="AP89" i="2" s="1"/>
  <c r="AM88" i="2"/>
  <c r="J87" i="1"/>
  <c r="K87" i="1" s="1"/>
  <c r="O87" i="1" s="1"/>
  <c r="P87" i="1" s="1"/>
  <c r="Q87" i="1" s="1"/>
  <c r="R86" i="1"/>
  <c r="S86" i="1"/>
  <c r="G88" i="1"/>
  <c r="I88" i="1" s="1"/>
  <c r="Y89" i="1"/>
  <c r="H89" i="1"/>
  <c r="AQ109" i="1"/>
  <c r="AM109" i="1"/>
  <c r="BE109" i="1"/>
  <c r="BB109" i="1"/>
  <c r="AL109" i="1"/>
  <c r="AZ109" i="1"/>
  <c r="BC109" i="1"/>
  <c r="AK110" i="1"/>
  <c r="BD109" i="1"/>
  <c r="AO109" i="1"/>
  <c r="AN109" i="1"/>
  <c r="AY109" i="1"/>
  <c r="AS109" i="1"/>
  <c r="AP109" i="1"/>
  <c r="AT109" i="1"/>
  <c r="BA109" i="1"/>
  <c r="AX109" i="1"/>
  <c r="AW109" i="1"/>
  <c r="AV109" i="1"/>
  <c r="AU109" i="1"/>
  <c r="AR109" i="1"/>
  <c r="W88" i="1"/>
  <c r="X88" i="1"/>
  <c r="Z88" i="1"/>
  <c r="E89" i="1"/>
  <c r="V89" i="1"/>
  <c r="C88" i="1"/>
  <c r="D88" i="1"/>
  <c r="A90" i="1"/>
  <c r="B89" i="1"/>
  <c r="L89" i="1" s="1"/>
  <c r="AM89" i="2" l="1"/>
  <c r="AQ89" i="2"/>
  <c r="AK89" i="2"/>
  <c r="U90" i="2"/>
  <c r="X90" i="2"/>
  <c r="Z90" i="2"/>
  <c r="V90" i="2"/>
  <c r="T90" i="2"/>
  <c r="S90" i="2"/>
  <c r="AE90" i="2"/>
  <c r="AD90" i="2"/>
  <c r="R91" i="2"/>
  <c r="AA90" i="2"/>
  <c r="W90" i="2"/>
  <c r="AB90" i="2"/>
  <c r="Y90" i="2"/>
  <c r="AC90" i="2"/>
  <c r="L90" i="2"/>
  <c r="D90" i="2"/>
  <c r="K90" i="2"/>
  <c r="J90" i="2"/>
  <c r="C91" i="2"/>
  <c r="I90" i="2"/>
  <c r="AM90" i="2" s="1"/>
  <c r="O90" i="2"/>
  <c r="G90" i="2"/>
  <c r="AK90" i="2" s="1"/>
  <c r="F90" i="2"/>
  <c r="AJ90" i="2" s="1"/>
  <c r="M90" i="2"/>
  <c r="E90" i="2"/>
  <c r="AI90" i="2" s="1"/>
  <c r="H90" i="2"/>
  <c r="AL90" i="2" s="1"/>
  <c r="N90" i="2"/>
  <c r="AR89" i="2"/>
  <c r="AN89" i="2"/>
  <c r="AL89" i="2"/>
  <c r="J88" i="1"/>
  <c r="K88" i="1" s="1"/>
  <c r="O88" i="1" s="1"/>
  <c r="P88" i="1" s="1"/>
  <c r="Q88" i="1" s="1"/>
  <c r="R87" i="1"/>
  <c r="S87" i="1"/>
  <c r="G89" i="1"/>
  <c r="I89" i="1" s="1"/>
  <c r="Y90" i="1"/>
  <c r="H90" i="1"/>
  <c r="BD110" i="1"/>
  <c r="AZ110" i="1"/>
  <c r="AV110" i="1"/>
  <c r="AU110" i="1"/>
  <c r="AP110" i="1"/>
  <c r="BB110" i="1"/>
  <c r="AT110" i="1"/>
  <c r="AR110" i="1"/>
  <c r="AX110" i="1"/>
  <c r="AK111" i="1"/>
  <c r="AY110" i="1"/>
  <c r="AS110" i="1"/>
  <c r="BC110" i="1"/>
  <c r="BA110" i="1"/>
  <c r="AN110" i="1"/>
  <c r="BE110" i="1"/>
  <c r="AL110" i="1"/>
  <c r="AW110" i="1"/>
  <c r="AQ110" i="1"/>
  <c r="AO110" i="1"/>
  <c r="AM110" i="1"/>
  <c r="X89" i="1"/>
  <c r="W89" i="1"/>
  <c r="Z89" i="1"/>
  <c r="E90" i="1"/>
  <c r="V90" i="1"/>
  <c r="C89" i="1"/>
  <c r="D89" i="1"/>
  <c r="A91" i="1"/>
  <c r="B90" i="1"/>
  <c r="L90" i="1" s="1"/>
  <c r="AP90" i="2" l="1"/>
  <c r="AD91" i="2"/>
  <c r="R92" i="2"/>
  <c r="X91" i="2"/>
  <c r="U91" i="2"/>
  <c r="Y91" i="2"/>
  <c r="AA91" i="2"/>
  <c r="AE91" i="2"/>
  <c r="T91" i="2"/>
  <c r="AC91" i="2"/>
  <c r="AB91" i="2"/>
  <c r="V91" i="2"/>
  <c r="Z91" i="2"/>
  <c r="W91" i="2"/>
  <c r="S91" i="2"/>
  <c r="AQ90" i="2"/>
  <c r="AR90" i="2"/>
  <c r="I91" i="2"/>
  <c r="G91" i="2"/>
  <c r="N91" i="2"/>
  <c r="O91" i="2"/>
  <c r="AS91" i="2" s="1"/>
  <c r="C92" i="2"/>
  <c r="J91" i="2"/>
  <c r="AN91" i="2" s="1"/>
  <c r="L91" i="2"/>
  <c r="AP91" i="2" s="1"/>
  <c r="K91" i="2"/>
  <c r="F91" i="2"/>
  <c r="AJ91" i="2" s="1"/>
  <c r="E91" i="2"/>
  <c r="AI91" i="2" s="1"/>
  <c r="H91" i="2"/>
  <c r="D91" i="2"/>
  <c r="AH91" i="2" s="1"/>
  <c r="M91" i="2"/>
  <c r="AQ91" i="2" s="1"/>
  <c r="AS90" i="2"/>
  <c r="AN90" i="2"/>
  <c r="AO90" i="2"/>
  <c r="AH90" i="2"/>
  <c r="J89" i="1"/>
  <c r="K89" i="1" s="1"/>
  <c r="O89" i="1" s="1"/>
  <c r="P89" i="1" s="1"/>
  <c r="Q89" i="1" s="1"/>
  <c r="R88" i="1"/>
  <c r="S88" i="1"/>
  <c r="G90" i="1"/>
  <c r="I90" i="1" s="1"/>
  <c r="Y91" i="1"/>
  <c r="H91" i="1"/>
  <c r="AS111" i="1"/>
  <c r="AU111" i="1"/>
  <c r="AQ111" i="1"/>
  <c r="AK112" i="1"/>
  <c r="AO111" i="1"/>
  <c r="AP111" i="1"/>
  <c r="AN111" i="1"/>
  <c r="AR111" i="1"/>
  <c r="AY111" i="1"/>
  <c r="AM111" i="1"/>
  <c r="BA111" i="1"/>
  <c r="AX111" i="1"/>
  <c r="AW111" i="1"/>
  <c r="AT111" i="1"/>
  <c r="BD111" i="1"/>
  <c r="BB111" i="1"/>
  <c r="BE111" i="1"/>
  <c r="AL111" i="1"/>
  <c r="AV111" i="1"/>
  <c r="BC111" i="1"/>
  <c r="AZ111" i="1"/>
  <c r="W90" i="1"/>
  <c r="X90" i="1"/>
  <c r="Z90" i="1"/>
  <c r="E91" i="1"/>
  <c r="V91" i="1"/>
  <c r="C90" i="1"/>
  <c r="D90" i="1"/>
  <c r="A92" i="1"/>
  <c r="B91" i="1"/>
  <c r="L91" i="1" s="1"/>
  <c r="AO91" i="2" l="1"/>
  <c r="O92" i="2"/>
  <c r="G92" i="2"/>
  <c r="C93" i="2"/>
  <c r="D92" i="2"/>
  <c r="AH92" i="2" s="1"/>
  <c r="M92" i="2"/>
  <c r="F92" i="2"/>
  <c r="K92" i="2"/>
  <c r="J92" i="2"/>
  <c r="E92" i="2"/>
  <c r="AI92" i="2" s="1"/>
  <c r="H92" i="2"/>
  <c r="AL92" i="2" s="1"/>
  <c r="L92" i="2"/>
  <c r="AP92" i="2" s="1"/>
  <c r="I92" i="2"/>
  <c r="AM92" i="2" s="1"/>
  <c r="N92" i="2"/>
  <c r="AR92" i="2" s="1"/>
  <c r="AL91" i="2"/>
  <c r="AR91" i="2"/>
  <c r="AK91" i="2"/>
  <c r="S92" i="2"/>
  <c r="AC92" i="2"/>
  <c r="T92" i="2"/>
  <c r="AE92" i="2"/>
  <c r="W92" i="2"/>
  <c r="V92" i="2"/>
  <c r="X92" i="2"/>
  <c r="AD92" i="2"/>
  <c r="U92" i="2"/>
  <c r="AA92" i="2"/>
  <c r="R93" i="2"/>
  <c r="Y92" i="2"/>
  <c r="AB92" i="2"/>
  <c r="Z92" i="2"/>
  <c r="AM91" i="2"/>
  <c r="J90" i="1"/>
  <c r="K90" i="1" s="1"/>
  <c r="O90" i="1" s="1"/>
  <c r="P90" i="1" s="1"/>
  <c r="Q90" i="1" s="1"/>
  <c r="R89" i="1"/>
  <c r="S89" i="1"/>
  <c r="G91" i="1"/>
  <c r="I91" i="1" s="1"/>
  <c r="Y92" i="1"/>
  <c r="H92" i="1"/>
  <c r="AV112" i="1"/>
  <c r="AT112" i="1"/>
  <c r="AN112" i="1"/>
  <c r="AP112" i="1"/>
  <c r="BB112" i="1"/>
  <c r="BA112" i="1"/>
  <c r="AK113" i="1"/>
  <c r="AX112" i="1"/>
  <c r="AZ112" i="1"/>
  <c r="BE112" i="1"/>
  <c r="BD112" i="1"/>
  <c r="BC112" i="1"/>
  <c r="AM112" i="1"/>
  <c r="AQ112" i="1"/>
  <c r="AS112" i="1"/>
  <c r="AR112" i="1"/>
  <c r="AO112" i="1"/>
  <c r="AL112" i="1"/>
  <c r="AU112" i="1"/>
  <c r="AY112" i="1"/>
  <c r="AW112" i="1"/>
  <c r="X91" i="1"/>
  <c r="W91" i="1"/>
  <c r="Z91" i="1"/>
  <c r="E92" i="1"/>
  <c r="V92" i="1"/>
  <c r="C91" i="1"/>
  <c r="D91" i="1"/>
  <c r="B92" i="1"/>
  <c r="L92" i="1" s="1"/>
  <c r="A93" i="1"/>
  <c r="AO92" i="2" l="1"/>
  <c r="AB93" i="2"/>
  <c r="S93" i="2"/>
  <c r="AE93" i="2"/>
  <c r="R94" i="2"/>
  <c r="Z93" i="2"/>
  <c r="Y93" i="2"/>
  <c r="X93" i="2"/>
  <c r="AC93" i="2"/>
  <c r="AD93" i="2"/>
  <c r="W93" i="2"/>
  <c r="V93" i="2"/>
  <c r="T93" i="2"/>
  <c r="U93" i="2"/>
  <c r="AA93" i="2"/>
  <c r="C94" i="2"/>
  <c r="M93" i="2"/>
  <c r="K93" i="2"/>
  <c r="J93" i="2"/>
  <c r="I93" i="2"/>
  <c r="G93" i="2"/>
  <c r="H93" i="2"/>
  <c r="O93" i="2"/>
  <c r="N93" i="2"/>
  <c r="L93" i="2"/>
  <c r="F93" i="2"/>
  <c r="D93" i="2"/>
  <c r="AH93" i="2" s="1"/>
  <c r="E93" i="2"/>
  <c r="AI93" i="2" s="1"/>
  <c r="AJ92" i="2"/>
  <c r="AK92" i="2"/>
  <c r="AN92" i="2"/>
  <c r="AQ92" i="2"/>
  <c r="AS92" i="2"/>
  <c r="J91" i="1"/>
  <c r="K91" i="1" s="1"/>
  <c r="O91" i="1" s="1"/>
  <c r="P91" i="1" s="1"/>
  <c r="Q91" i="1" s="1"/>
  <c r="R90" i="1"/>
  <c r="S90" i="1"/>
  <c r="G92" i="1"/>
  <c r="I92" i="1" s="1"/>
  <c r="Y93" i="1"/>
  <c r="H93" i="1"/>
  <c r="AO113" i="1"/>
  <c r="AT113" i="1"/>
  <c r="AS113" i="1"/>
  <c r="AY113" i="1"/>
  <c r="AN113" i="1"/>
  <c r="BD113" i="1"/>
  <c r="AV113" i="1"/>
  <c r="AU113" i="1"/>
  <c r="AZ113" i="1"/>
  <c r="AL113" i="1"/>
  <c r="BB113" i="1"/>
  <c r="AX113" i="1"/>
  <c r="BA113" i="1"/>
  <c r="BC113" i="1"/>
  <c r="AR113" i="1"/>
  <c r="AQ113" i="1"/>
  <c r="AW113" i="1"/>
  <c r="AM113" i="1"/>
  <c r="AK114" i="1"/>
  <c r="BE113" i="1"/>
  <c r="AP113" i="1"/>
  <c r="W92" i="1"/>
  <c r="X92" i="1"/>
  <c r="Z92" i="1"/>
  <c r="E93" i="1"/>
  <c r="V93" i="1"/>
  <c r="C92" i="1"/>
  <c r="D92" i="1"/>
  <c r="A94" i="1"/>
  <c r="B93" i="1"/>
  <c r="L93" i="1" s="1"/>
  <c r="AR93" i="2" l="1"/>
  <c r="AQ93" i="2"/>
  <c r="AP93" i="2"/>
  <c r="AM93" i="2"/>
  <c r="AK93" i="2"/>
  <c r="AN93" i="2"/>
  <c r="AJ93" i="2"/>
  <c r="AL93" i="2"/>
  <c r="Y94" i="2"/>
  <c r="T94" i="2"/>
  <c r="V94" i="2"/>
  <c r="AE94" i="2"/>
  <c r="S94" i="2"/>
  <c r="X94" i="2"/>
  <c r="W94" i="2"/>
  <c r="AB94" i="2"/>
  <c r="AC94" i="2"/>
  <c r="AA94" i="2"/>
  <c r="U94" i="2"/>
  <c r="R95" i="2"/>
  <c r="AD94" i="2"/>
  <c r="Z94" i="2"/>
  <c r="AO93" i="2"/>
  <c r="G94" i="2"/>
  <c r="M94" i="2"/>
  <c r="I94" i="2"/>
  <c r="J94" i="2"/>
  <c r="AN94" i="2" s="1"/>
  <c r="C95" i="2"/>
  <c r="F94" i="2"/>
  <c r="AJ94" i="2" s="1"/>
  <c r="H94" i="2"/>
  <c r="AL94" i="2" s="1"/>
  <c r="D94" i="2"/>
  <c r="AH94" i="2" s="1"/>
  <c r="O94" i="2"/>
  <c r="AS94" i="2" s="1"/>
  <c r="N94" i="2"/>
  <c r="AR94" i="2" s="1"/>
  <c r="L94" i="2"/>
  <c r="AP94" i="2" s="1"/>
  <c r="K94" i="2"/>
  <c r="E94" i="2"/>
  <c r="AS93" i="2"/>
  <c r="J92" i="1"/>
  <c r="K92" i="1" s="1"/>
  <c r="O92" i="1" s="1"/>
  <c r="P92" i="1" s="1"/>
  <c r="Q92" i="1" s="1"/>
  <c r="R91" i="1"/>
  <c r="S91" i="1"/>
  <c r="G93" i="1"/>
  <c r="I93" i="1" s="1"/>
  <c r="Y94" i="1"/>
  <c r="H94" i="1"/>
  <c r="AT114" i="1"/>
  <c r="BA114" i="1"/>
  <c r="AZ114" i="1"/>
  <c r="AQ114" i="1"/>
  <c r="AW114" i="1"/>
  <c r="AP114" i="1"/>
  <c r="AS114" i="1"/>
  <c r="AV114" i="1"/>
  <c r="AX114" i="1"/>
  <c r="BE114" i="1"/>
  <c r="AO114" i="1"/>
  <c r="AM114" i="1"/>
  <c r="AL114" i="1"/>
  <c r="AY114" i="1"/>
  <c r="AU114" i="1"/>
  <c r="AR114" i="1"/>
  <c r="BC114" i="1"/>
  <c r="BD114" i="1"/>
  <c r="AK115" i="1"/>
  <c r="BB114" i="1"/>
  <c r="AN114" i="1"/>
  <c r="X93" i="1"/>
  <c r="W93" i="1"/>
  <c r="Z93" i="1"/>
  <c r="E94" i="1"/>
  <c r="V94" i="1"/>
  <c r="C93" i="1"/>
  <c r="D93" i="1"/>
  <c r="B94" i="1"/>
  <c r="L94" i="1" s="1"/>
  <c r="A95" i="1"/>
  <c r="N95" i="2" l="1"/>
  <c r="I95" i="2"/>
  <c r="G95" i="2"/>
  <c r="E95" i="2"/>
  <c r="M95" i="2"/>
  <c r="F95" i="2"/>
  <c r="D95" i="2"/>
  <c r="O95" i="2"/>
  <c r="AS95" i="2" s="1"/>
  <c r="C96" i="2"/>
  <c r="J95" i="2"/>
  <c r="AN95" i="2" s="1"/>
  <c r="K95" i="2"/>
  <c r="AO95" i="2" s="1"/>
  <c r="H95" i="2"/>
  <c r="AL95" i="2" s="1"/>
  <c r="L95" i="2"/>
  <c r="AP95" i="2" s="1"/>
  <c r="AK94" i="2"/>
  <c r="AQ94" i="2"/>
  <c r="AI94" i="2"/>
  <c r="AE95" i="2"/>
  <c r="W95" i="2"/>
  <c r="R96" i="2"/>
  <c r="AD95" i="2"/>
  <c r="AA95" i="2"/>
  <c r="V95" i="2"/>
  <c r="Y95" i="2"/>
  <c r="X95" i="2"/>
  <c r="T95" i="2"/>
  <c r="Z95" i="2"/>
  <c r="AB95" i="2"/>
  <c r="U95" i="2"/>
  <c r="AC95" i="2"/>
  <c r="S95" i="2"/>
  <c r="AM94" i="2"/>
  <c r="AO94" i="2"/>
  <c r="J93" i="1"/>
  <c r="K93" i="1" s="1"/>
  <c r="O93" i="1" s="1"/>
  <c r="P93" i="1" s="1"/>
  <c r="Q93" i="1" s="1"/>
  <c r="R92" i="1"/>
  <c r="S92" i="1"/>
  <c r="G94" i="1"/>
  <c r="I94" i="1" s="1"/>
  <c r="Y95" i="1"/>
  <c r="H95" i="1"/>
  <c r="AY115" i="1"/>
  <c r="AO115" i="1"/>
  <c r="BD115" i="1"/>
  <c r="AV115" i="1"/>
  <c r="AL115" i="1"/>
  <c r="AK116" i="1"/>
  <c r="BE115" i="1"/>
  <c r="AX115" i="1"/>
  <c r="AW115" i="1"/>
  <c r="BC115" i="1"/>
  <c r="AZ115" i="1"/>
  <c r="AQ115" i="1"/>
  <c r="AS115" i="1"/>
  <c r="AU115" i="1"/>
  <c r="AN115" i="1"/>
  <c r="AT115" i="1"/>
  <c r="AM115" i="1"/>
  <c r="BB115" i="1"/>
  <c r="AR115" i="1"/>
  <c r="AP115" i="1"/>
  <c r="BA115" i="1"/>
  <c r="X94" i="1"/>
  <c r="W94" i="1"/>
  <c r="Z94" i="1"/>
  <c r="E95" i="1"/>
  <c r="V95" i="1"/>
  <c r="C94" i="1"/>
  <c r="D94" i="1"/>
  <c r="B95" i="1"/>
  <c r="L95" i="1" s="1"/>
  <c r="A96" i="1"/>
  <c r="AK95" i="2" l="1"/>
  <c r="AQ95" i="2"/>
  <c r="AJ95" i="2"/>
  <c r="AI95" i="2"/>
  <c r="X96" i="2"/>
  <c r="AE96" i="2"/>
  <c r="S96" i="2"/>
  <c r="U96" i="2"/>
  <c r="Z96" i="2"/>
  <c r="AA96" i="2"/>
  <c r="T96" i="2"/>
  <c r="AC96" i="2"/>
  <c r="R97" i="2"/>
  <c r="AD96" i="2"/>
  <c r="Y96" i="2"/>
  <c r="AB96" i="2"/>
  <c r="V96" i="2"/>
  <c r="W96" i="2"/>
  <c r="AM95" i="2"/>
  <c r="D96" i="2"/>
  <c r="K96" i="2"/>
  <c r="I96" i="2"/>
  <c r="AM96" i="2" s="1"/>
  <c r="F96" i="2"/>
  <c r="AJ96" i="2" s="1"/>
  <c r="H96" i="2"/>
  <c r="AL96" i="2" s="1"/>
  <c r="L96" i="2"/>
  <c r="AP96" i="2" s="1"/>
  <c r="J96" i="2"/>
  <c r="E96" i="2"/>
  <c r="AI96" i="2" s="1"/>
  <c r="C97" i="2"/>
  <c r="O96" i="2"/>
  <c r="AS96" i="2" s="1"/>
  <c r="N96" i="2"/>
  <c r="AR96" i="2" s="1"/>
  <c r="M96" i="2"/>
  <c r="AQ96" i="2" s="1"/>
  <c r="G96" i="2"/>
  <c r="AK96" i="2" s="1"/>
  <c r="AH95" i="2"/>
  <c r="AR95" i="2"/>
  <c r="J94" i="1"/>
  <c r="K94" i="1" s="1"/>
  <c r="O94" i="1" s="1"/>
  <c r="P94" i="1" s="1"/>
  <c r="Q94" i="1" s="1"/>
  <c r="R93" i="1"/>
  <c r="S93" i="1"/>
  <c r="G95" i="1"/>
  <c r="I95" i="1" s="1"/>
  <c r="Y96" i="1"/>
  <c r="H96" i="1"/>
  <c r="AZ116" i="1"/>
  <c r="AN116" i="1"/>
  <c r="AT116" i="1"/>
  <c r="AX116" i="1"/>
  <c r="AW116" i="1"/>
  <c r="AK117" i="1"/>
  <c r="BE116" i="1"/>
  <c r="AP116" i="1"/>
  <c r="BC116" i="1"/>
  <c r="BA116" i="1"/>
  <c r="AY116" i="1"/>
  <c r="AS116" i="1"/>
  <c r="AU116" i="1"/>
  <c r="AR116" i="1"/>
  <c r="AQ116" i="1"/>
  <c r="AO116" i="1"/>
  <c r="AL116" i="1"/>
  <c r="BD116" i="1"/>
  <c r="BB116" i="1"/>
  <c r="AV116" i="1"/>
  <c r="AM116" i="1"/>
  <c r="W95" i="1"/>
  <c r="X95" i="1"/>
  <c r="Z95" i="1"/>
  <c r="E96" i="1"/>
  <c r="V96" i="1"/>
  <c r="C95" i="1"/>
  <c r="D95" i="1"/>
  <c r="A97" i="1"/>
  <c r="B96" i="1"/>
  <c r="L96" i="1" s="1"/>
  <c r="AN96" i="2" l="1"/>
  <c r="AO96" i="2"/>
  <c r="J97" i="2"/>
  <c r="F97" i="2"/>
  <c r="E97" i="2"/>
  <c r="N97" i="2"/>
  <c r="M97" i="2"/>
  <c r="AQ97" i="2" s="1"/>
  <c r="G97" i="2"/>
  <c r="AK97" i="2" s="1"/>
  <c r="D97" i="2"/>
  <c r="I97" i="2"/>
  <c r="AM97" i="2" s="1"/>
  <c r="C98" i="2"/>
  <c r="L97" i="2"/>
  <c r="AP97" i="2" s="1"/>
  <c r="K97" i="2"/>
  <c r="AO97" i="2" s="1"/>
  <c r="O97" i="2"/>
  <c r="AS97" i="2" s="1"/>
  <c r="H97" i="2"/>
  <c r="AL97" i="2" s="1"/>
  <c r="S97" i="2"/>
  <c r="W97" i="2"/>
  <c r="V97" i="2"/>
  <c r="AA97" i="2"/>
  <c r="Z97" i="2"/>
  <c r="Y97" i="2"/>
  <c r="X97" i="2"/>
  <c r="AB97" i="2"/>
  <c r="R98" i="2"/>
  <c r="T97" i="2"/>
  <c r="AD97" i="2"/>
  <c r="AC97" i="2"/>
  <c r="U97" i="2"/>
  <c r="AE97" i="2"/>
  <c r="AH96" i="2"/>
  <c r="J95" i="1"/>
  <c r="K95" i="1" s="1"/>
  <c r="O95" i="1" s="1"/>
  <c r="P95" i="1" s="1"/>
  <c r="Q95" i="1" s="1"/>
  <c r="R94" i="1"/>
  <c r="S94" i="1"/>
  <c r="G96" i="1"/>
  <c r="I96" i="1" s="1"/>
  <c r="Y97" i="1"/>
  <c r="H97" i="1"/>
  <c r="AY117" i="1"/>
  <c r="BE117" i="1"/>
  <c r="BD117" i="1"/>
  <c r="AS117" i="1"/>
  <c r="AK118" i="1"/>
  <c r="AP117" i="1"/>
  <c r="AO117" i="1"/>
  <c r="AQ117" i="1"/>
  <c r="BB117" i="1"/>
  <c r="AU117" i="1"/>
  <c r="BA117" i="1"/>
  <c r="AR117" i="1"/>
  <c r="AX117" i="1"/>
  <c r="AN117" i="1"/>
  <c r="BC117" i="1"/>
  <c r="AT117" i="1"/>
  <c r="AV117" i="1"/>
  <c r="AZ117" i="1"/>
  <c r="AW117" i="1"/>
  <c r="AL117" i="1"/>
  <c r="AM117" i="1"/>
  <c r="X96" i="1"/>
  <c r="W96" i="1"/>
  <c r="Z96" i="1"/>
  <c r="E97" i="1"/>
  <c r="V97" i="1"/>
  <c r="C96" i="1"/>
  <c r="D96" i="1"/>
  <c r="B97" i="1"/>
  <c r="L97" i="1" s="1"/>
  <c r="A98" i="1"/>
  <c r="L98" i="2" l="1"/>
  <c r="N98" i="2"/>
  <c r="I98" i="2"/>
  <c r="O98" i="2"/>
  <c r="K98" i="2"/>
  <c r="D98" i="2"/>
  <c r="AH98" i="2" s="1"/>
  <c r="C99" i="2"/>
  <c r="H98" i="2"/>
  <c r="E98" i="2"/>
  <c r="M98" i="2"/>
  <c r="AQ98" i="2" s="1"/>
  <c r="J98" i="2"/>
  <c r="AN98" i="2" s="1"/>
  <c r="G98" i="2"/>
  <c r="F98" i="2"/>
  <c r="AJ98" i="2" s="1"/>
  <c r="AR97" i="2"/>
  <c r="AJ97" i="2"/>
  <c r="AH97" i="2"/>
  <c r="AI97" i="2"/>
  <c r="AN97" i="2"/>
  <c r="AB98" i="2"/>
  <c r="Y98" i="2"/>
  <c r="S98" i="2"/>
  <c r="AE98" i="2"/>
  <c r="AC98" i="2"/>
  <c r="AD98" i="2"/>
  <c r="R99" i="2"/>
  <c r="X98" i="2"/>
  <c r="U98" i="2"/>
  <c r="AA98" i="2"/>
  <c r="W98" i="2"/>
  <c r="Z98" i="2"/>
  <c r="T98" i="2"/>
  <c r="V98" i="2"/>
  <c r="J96" i="1"/>
  <c r="K96" i="1" s="1"/>
  <c r="O96" i="1" s="1"/>
  <c r="P96" i="1" s="1"/>
  <c r="Q96" i="1" s="1"/>
  <c r="R95" i="1"/>
  <c r="S95" i="1"/>
  <c r="G97" i="1"/>
  <c r="I97" i="1" s="1"/>
  <c r="Y98" i="1"/>
  <c r="H98" i="1"/>
  <c r="AT118" i="1"/>
  <c r="AQ118" i="1"/>
  <c r="AP118" i="1"/>
  <c r="BB118" i="1"/>
  <c r="AN118" i="1"/>
  <c r="AU118" i="1"/>
  <c r="AR118" i="1"/>
  <c r="AY118" i="1"/>
  <c r="BA118" i="1"/>
  <c r="AZ118" i="1"/>
  <c r="AK119" i="1"/>
  <c r="AL118" i="1"/>
  <c r="BE118" i="1"/>
  <c r="AX118" i="1"/>
  <c r="BD118" i="1"/>
  <c r="AM118" i="1"/>
  <c r="AW118" i="1"/>
  <c r="AO118" i="1"/>
  <c r="BC118" i="1"/>
  <c r="AS118" i="1"/>
  <c r="AV118" i="1"/>
  <c r="X97" i="1"/>
  <c r="W97" i="1"/>
  <c r="Z97" i="1"/>
  <c r="E98" i="1"/>
  <c r="V98" i="1"/>
  <c r="C97" i="1"/>
  <c r="D97" i="1"/>
  <c r="A99" i="1"/>
  <c r="B98" i="1"/>
  <c r="L98" i="1" s="1"/>
  <c r="AK98" i="2" l="1"/>
  <c r="AO98" i="2"/>
  <c r="S99" i="2"/>
  <c r="Z99" i="2"/>
  <c r="Y99" i="2"/>
  <c r="AE99" i="2"/>
  <c r="X99" i="2"/>
  <c r="AD99" i="2"/>
  <c r="U99" i="2"/>
  <c r="W99" i="2"/>
  <c r="V99" i="2"/>
  <c r="AA99" i="2"/>
  <c r="R100" i="2"/>
  <c r="T99" i="2"/>
  <c r="AC99" i="2"/>
  <c r="AB99" i="2"/>
  <c r="AS98" i="2"/>
  <c r="AL98" i="2"/>
  <c r="AM98" i="2"/>
  <c r="AI98" i="2"/>
  <c r="AR98" i="2"/>
  <c r="M99" i="2"/>
  <c r="E99" i="2"/>
  <c r="K99" i="2"/>
  <c r="AO99" i="2" s="1"/>
  <c r="J99" i="2"/>
  <c r="AN99" i="2" s="1"/>
  <c r="G99" i="2"/>
  <c r="F99" i="2"/>
  <c r="AJ99" i="2" s="1"/>
  <c r="C100" i="2"/>
  <c r="L99" i="2"/>
  <c r="AP99" i="2" s="1"/>
  <c r="H99" i="2"/>
  <c r="AL99" i="2" s="1"/>
  <c r="D99" i="2"/>
  <c r="AH99" i="2" s="1"/>
  <c r="I99" i="2"/>
  <c r="AM99" i="2" s="1"/>
  <c r="O99" i="2"/>
  <c r="N99" i="2"/>
  <c r="AP98" i="2"/>
  <c r="J97" i="1"/>
  <c r="K97" i="1" s="1"/>
  <c r="O97" i="1" s="1"/>
  <c r="P97" i="1" s="1"/>
  <c r="Q97" i="1" s="1"/>
  <c r="R96" i="1"/>
  <c r="S96" i="1"/>
  <c r="G98" i="1"/>
  <c r="I98" i="1" s="1"/>
  <c r="Y99" i="1"/>
  <c r="H99" i="1"/>
  <c r="AO119" i="1"/>
  <c r="BA119" i="1"/>
  <c r="AP119" i="1"/>
  <c r="AM119" i="1"/>
  <c r="AL119" i="1"/>
  <c r="AW119" i="1"/>
  <c r="AQ119" i="1"/>
  <c r="AS119" i="1"/>
  <c r="BE119" i="1"/>
  <c r="BD119" i="1"/>
  <c r="BC119" i="1"/>
  <c r="AZ119" i="1"/>
  <c r="AN119" i="1"/>
  <c r="AX119" i="1"/>
  <c r="AV119" i="1"/>
  <c r="AT119" i="1"/>
  <c r="AK120" i="1"/>
  <c r="AY119" i="1"/>
  <c r="BB119" i="1"/>
  <c r="AR119" i="1"/>
  <c r="AU119" i="1"/>
  <c r="X98" i="1"/>
  <c r="W98" i="1"/>
  <c r="Z98" i="1"/>
  <c r="E99" i="1"/>
  <c r="V99" i="1"/>
  <c r="C98" i="1"/>
  <c r="D98" i="1"/>
  <c r="B99" i="1"/>
  <c r="L99" i="1" s="1"/>
  <c r="A100" i="1"/>
  <c r="AQ99" i="2" l="1"/>
  <c r="K100" i="2"/>
  <c r="G100" i="2"/>
  <c r="F100" i="2"/>
  <c r="AJ100" i="2" s="1"/>
  <c r="C101" i="2"/>
  <c r="N100" i="2"/>
  <c r="AR100" i="2" s="1"/>
  <c r="O100" i="2"/>
  <c r="L100" i="2"/>
  <c r="AP100" i="2" s="1"/>
  <c r="H100" i="2"/>
  <c r="D100" i="2"/>
  <c r="I100" i="2"/>
  <c r="AM100" i="2" s="1"/>
  <c r="M100" i="2"/>
  <c r="AQ100" i="2" s="1"/>
  <c r="J100" i="2"/>
  <c r="AN100" i="2" s="1"/>
  <c r="E100" i="2"/>
  <c r="AI100" i="2" s="1"/>
  <c r="AI99" i="2"/>
  <c r="AR99" i="2"/>
  <c r="AC100" i="2"/>
  <c r="Z100" i="2"/>
  <c r="U100" i="2"/>
  <c r="R101" i="2"/>
  <c r="Y100" i="2"/>
  <c r="X100" i="2"/>
  <c r="AA100" i="2"/>
  <c r="AB100" i="2"/>
  <c r="AE100" i="2"/>
  <c r="W100" i="2"/>
  <c r="V100" i="2"/>
  <c r="T100" i="2"/>
  <c r="S100" i="2"/>
  <c r="AD100" i="2"/>
  <c r="AK99" i="2"/>
  <c r="AS99" i="2"/>
  <c r="J98" i="1"/>
  <c r="K98" i="1" s="1"/>
  <c r="O98" i="1" s="1"/>
  <c r="P98" i="1" s="1"/>
  <c r="Q98" i="1" s="1"/>
  <c r="R97" i="1"/>
  <c r="S97" i="1"/>
  <c r="G99" i="1"/>
  <c r="I99" i="1" s="1"/>
  <c r="Y100" i="1"/>
  <c r="H100" i="1"/>
  <c r="AR120" i="1"/>
  <c r="AP120" i="1"/>
  <c r="AK121" i="1"/>
  <c r="AM120" i="1"/>
  <c r="BC120" i="1"/>
  <c r="BD120" i="1"/>
  <c r="BA120" i="1"/>
  <c r="AL120" i="1"/>
  <c r="AO120" i="1"/>
  <c r="AN120" i="1"/>
  <c r="AU120" i="1"/>
  <c r="AX120" i="1"/>
  <c r="BE120" i="1"/>
  <c r="BB120" i="1"/>
  <c r="AZ120" i="1"/>
  <c r="AW120" i="1"/>
  <c r="AV120" i="1"/>
  <c r="AT120" i="1"/>
  <c r="AS120" i="1"/>
  <c r="AQ120" i="1"/>
  <c r="AY120" i="1"/>
  <c r="X99" i="1"/>
  <c r="W99" i="1"/>
  <c r="Z99" i="1"/>
  <c r="E100" i="1"/>
  <c r="V100" i="1"/>
  <c r="C99" i="1"/>
  <c r="D99" i="1"/>
  <c r="A101" i="1"/>
  <c r="B100" i="1"/>
  <c r="L100" i="1" s="1"/>
  <c r="AL100" i="2" l="1"/>
  <c r="AS100" i="2"/>
  <c r="AE101" i="2"/>
  <c r="AA101" i="2"/>
  <c r="AB101" i="2"/>
  <c r="AC101" i="2"/>
  <c r="U101" i="2"/>
  <c r="X101" i="2"/>
  <c r="AD101" i="2"/>
  <c r="R102" i="2"/>
  <c r="S101" i="2"/>
  <c r="Z101" i="2"/>
  <c r="T101" i="2"/>
  <c r="W101" i="2"/>
  <c r="Y101" i="2"/>
  <c r="V101" i="2"/>
  <c r="AK100" i="2"/>
  <c r="AH100" i="2"/>
  <c r="AO100" i="2"/>
  <c r="F101" i="2"/>
  <c r="N101" i="2"/>
  <c r="E101" i="2"/>
  <c r="L101" i="2"/>
  <c r="AP101" i="2" s="1"/>
  <c r="D101" i="2"/>
  <c r="H101" i="2"/>
  <c r="O101" i="2"/>
  <c r="AS101" i="2" s="1"/>
  <c r="C102" i="2"/>
  <c r="J101" i="2"/>
  <c r="I101" i="2"/>
  <c r="AM101" i="2" s="1"/>
  <c r="M101" i="2"/>
  <c r="AQ101" i="2" s="1"/>
  <c r="G101" i="2"/>
  <c r="AK101" i="2" s="1"/>
  <c r="K101" i="2"/>
  <c r="AO101" i="2" s="1"/>
  <c r="J99" i="1"/>
  <c r="K99" i="1" s="1"/>
  <c r="O99" i="1" s="1"/>
  <c r="P99" i="1" s="1"/>
  <c r="Q99" i="1" s="1"/>
  <c r="R98" i="1"/>
  <c r="S98" i="1"/>
  <c r="G100" i="1"/>
  <c r="I100" i="1" s="1"/>
  <c r="Y101" i="1"/>
  <c r="H101" i="1"/>
  <c r="AY121" i="1"/>
  <c r="AZ121" i="1"/>
  <c r="AW121" i="1"/>
  <c r="AV121" i="1"/>
  <c r="AR121" i="1"/>
  <c r="AQ121" i="1"/>
  <c r="AS121" i="1"/>
  <c r="AM121" i="1"/>
  <c r="AX121" i="1"/>
  <c r="AO121" i="1"/>
  <c r="AU121" i="1"/>
  <c r="BD121" i="1"/>
  <c r="BB121" i="1"/>
  <c r="AT121" i="1"/>
  <c r="BE121" i="1"/>
  <c r="BC121" i="1"/>
  <c r="BA121" i="1"/>
  <c r="AK122" i="1"/>
  <c r="AL121" i="1"/>
  <c r="AP121" i="1"/>
  <c r="AN121" i="1"/>
  <c r="X100" i="1"/>
  <c r="W100" i="1"/>
  <c r="Z100" i="1"/>
  <c r="E101" i="1"/>
  <c r="V101" i="1"/>
  <c r="C100" i="1"/>
  <c r="D100" i="1"/>
  <c r="B101" i="1"/>
  <c r="L101" i="1" s="1"/>
  <c r="A102" i="1"/>
  <c r="AJ101" i="2" l="1"/>
  <c r="AN101" i="2"/>
  <c r="M102" i="2"/>
  <c r="C103" i="2"/>
  <c r="I102" i="2"/>
  <c r="H102" i="2"/>
  <c r="E102" i="2"/>
  <c r="AI102" i="2" s="1"/>
  <c r="D102" i="2"/>
  <c r="O102" i="2"/>
  <c r="AS102" i="2" s="1"/>
  <c r="N102" i="2"/>
  <c r="K102" i="2"/>
  <c r="AO102" i="2" s="1"/>
  <c r="J102" i="2"/>
  <c r="AN102" i="2" s="1"/>
  <c r="G102" i="2"/>
  <c r="AK102" i="2" s="1"/>
  <c r="F102" i="2"/>
  <c r="AJ102" i="2" s="1"/>
  <c r="L102" i="2"/>
  <c r="AP102" i="2" s="1"/>
  <c r="AL101" i="2"/>
  <c r="AA102" i="2"/>
  <c r="T102" i="2"/>
  <c r="AB102" i="2"/>
  <c r="V102" i="2"/>
  <c r="Z102" i="2"/>
  <c r="U102" i="2"/>
  <c r="AD102" i="2"/>
  <c r="Y102" i="2"/>
  <c r="X102" i="2"/>
  <c r="AC102" i="2"/>
  <c r="S102" i="2"/>
  <c r="W102" i="2"/>
  <c r="R103" i="2"/>
  <c r="AE102" i="2"/>
  <c r="AH101" i="2"/>
  <c r="AI101" i="2"/>
  <c r="AR101" i="2"/>
  <c r="J100" i="1"/>
  <c r="K100" i="1" s="1"/>
  <c r="O100" i="1" s="1"/>
  <c r="P100" i="1" s="1"/>
  <c r="Q100" i="1" s="1"/>
  <c r="R99" i="1"/>
  <c r="S99" i="1"/>
  <c r="G101" i="1"/>
  <c r="Y102" i="1"/>
  <c r="H102" i="1"/>
  <c r="I101" i="1"/>
  <c r="AV122" i="1"/>
  <c r="AQ122" i="1"/>
  <c r="BC122" i="1"/>
  <c r="BB122" i="1"/>
  <c r="BA122" i="1"/>
  <c r="AK123" i="1"/>
  <c r="BE122" i="1"/>
  <c r="AO122" i="1"/>
  <c r="AL122" i="1"/>
  <c r="AT122" i="1"/>
  <c r="AS122" i="1"/>
  <c r="AW122" i="1"/>
  <c r="AP122" i="1"/>
  <c r="AM122" i="1"/>
  <c r="AN122" i="1"/>
  <c r="AR122" i="1"/>
  <c r="AU122" i="1"/>
  <c r="AZ122" i="1"/>
  <c r="AY122" i="1"/>
  <c r="BD122" i="1"/>
  <c r="AX122" i="1"/>
  <c r="X101" i="1"/>
  <c r="W101" i="1"/>
  <c r="Z101" i="1"/>
  <c r="E102" i="1"/>
  <c r="V102" i="1"/>
  <c r="C101" i="1"/>
  <c r="D101" i="1"/>
  <c r="B102" i="1"/>
  <c r="L102" i="1" s="1"/>
  <c r="A103" i="1"/>
  <c r="AM102" i="2" l="1"/>
  <c r="T103" i="2"/>
  <c r="Z103" i="2"/>
  <c r="AB103" i="2"/>
  <c r="U103" i="2"/>
  <c r="AD103" i="2"/>
  <c r="R104" i="2"/>
  <c r="V103" i="2"/>
  <c r="S103" i="2"/>
  <c r="AC103" i="2"/>
  <c r="AE103" i="2"/>
  <c r="AA103" i="2"/>
  <c r="Y103" i="2"/>
  <c r="X103" i="2"/>
  <c r="W103" i="2"/>
  <c r="AH102" i="2"/>
  <c r="M103" i="2"/>
  <c r="I103" i="2"/>
  <c r="E103" i="2"/>
  <c r="AI103" i="2" s="1"/>
  <c r="H103" i="2"/>
  <c r="O103" i="2"/>
  <c r="AS103" i="2" s="1"/>
  <c r="N103" i="2"/>
  <c r="C104" i="2"/>
  <c r="D103" i="2"/>
  <c r="J103" i="2"/>
  <c r="G103" i="2"/>
  <c r="AK103" i="2" s="1"/>
  <c r="K103" i="2"/>
  <c r="AO103" i="2" s="1"/>
  <c r="F103" i="2"/>
  <c r="AJ103" i="2" s="1"/>
  <c r="L103" i="2"/>
  <c r="AP103" i="2" s="1"/>
  <c r="AR102" i="2"/>
  <c r="AQ102" i="2"/>
  <c r="AL102" i="2"/>
  <c r="J101" i="1"/>
  <c r="K101" i="1" s="1"/>
  <c r="O101" i="1" s="1"/>
  <c r="P101" i="1" s="1"/>
  <c r="Q101" i="1" s="1"/>
  <c r="R100" i="1"/>
  <c r="S100" i="1"/>
  <c r="G102" i="1"/>
  <c r="I102" i="1" s="1"/>
  <c r="Y103" i="1"/>
  <c r="H103" i="1"/>
  <c r="AO123" i="1"/>
  <c r="BC123" i="1"/>
  <c r="AN123" i="1"/>
  <c r="AW123" i="1"/>
  <c r="AP123" i="1"/>
  <c r="AU123" i="1"/>
  <c r="AQ123" i="1"/>
  <c r="BE123" i="1"/>
  <c r="AT123" i="1"/>
  <c r="AX123" i="1"/>
  <c r="AZ123" i="1"/>
  <c r="AY123" i="1"/>
  <c r="AV123" i="1"/>
  <c r="AM123" i="1"/>
  <c r="AS123" i="1"/>
  <c r="AR123" i="1"/>
  <c r="AL123" i="1"/>
  <c r="BD123" i="1"/>
  <c r="AK124" i="1"/>
  <c r="BA123" i="1"/>
  <c r="BB123" i="1"/>
  <c r="W102" i="1"/>
  <c r="X102" i="1"/>
  <c r="Z102" i="1"/>
  <c r="E103" i="1"/>
  <c r="V103" i="1"/>
  <c r="C102" i="1"/>
  <c r="D102" i="1"/>
  <c r="A104" i="1"/>
  <c r="B103" i="1"/>
  <c r="L103" i="1" s="1"/>
  <c r="AQ103" i="2" l="1"/>
  <c r="AN103" i="2"/>
  <c r="AH103" i="2"/>
  <c r="E104" i="2"/>
  <c r="D104" i="2"/>
  <c r="AH104" i="2" s="1"/>
  <c r="H104" i="2"/>
  <c r="K104" i="2"/>
  <c r="C105" i="2"/>
  <c r="M104" i="2"/>
  <c r="AQ104" i="2" s="1"/>
  <c r="J104" i="2"/>
  <c r="F104" i="2"/>
  <c r="AJ104" i="2" s="1"/>
  <c r="O104" i="2"/>
  <c r="AS104" i="2" s="1"/>
  <c r="G104" i="2"/>
  <c r="AK104" i="2" s="1"/>
  <c r="N104" i="2"/>
  <c r="AR104" i="2" s="1"/>
  <c r="I104" i="2"/>
  <c r="AM104" i="2" s="1"/>
  <c r="L104" i="2"/>
  <c r="AP104" i="2" s="1"/>
  <c r="AE104" i="2"/>
  <c r="R105" i="2"/>
  <c r="AA104" i="2"/>
  <c r="S104" i="2"/>
  <c r="AB104" i="2"/>
  <c r="U104" i="2"/>
  <c r="AC104" i="2"/>
  <c r="AD104" i="2"/>
  <c r="X104" i="2"/>
  <c r="T104" i="2"/>
  <c r="Z104" i="2"/>
  <c r="Y104" i="2"/>
  <c r="W104" i="2"/>
  <c r="V104" i="2"/>
  <c r="AL103" i="2"/>
  <c r="AR103" i="2"/>
  <c r="AM103" i="2"/>
  <c r="J102" i="1"/>
  <c r="K102" i="1" s="1"/>
  <c r="O102" i="1" s="1"/>
  <c r="P102" i="1" s="1"/>
  <c r="Q102" i="1" s="1"/>
  <c r="R101" i="1"/>
  <c r="S101" i="1"/>
  <c r="G103" i="1"/>
  <c r="Y104" i="1"/>
  <c r="H104" i="1"/>
  <c r="I103" i="1"/>
  <c r="BA124" i="1"/>
  <c r="AY124" i="1"/>
  <c r="AW124" i="1"/>
  <c r="AV124" i="1"/>
  <c r="AK125" i="1"/>
  <c r="AP124" i="1"/>
  <c r="BE124" i="1"/>
  <c r="BC124" i="1"/>
  <c r="AN124" i="1"/>
  <c r="BD124" i="1"/>
  <c r="AX124" i="1"/>
  <c r="AZ124" i="1"/>
  <c r="AR124" i="1"/>
  <c r="AQ124" i="1"/>
  <c r="AU124" i="1"/>
  <c r="AT124" i="1"/>
  <c r="AM124" i="1"/>
  <c r="AO124" i="1"/>
  <c r="AS124" i="1"/>
  <c r="AL124" i="1"/>
  <c r="BB124" i="1"/>
  <c r="X103" i="1"/>
  <c r="W103" i="1"/>
  <c r="Z103" i="1"/>
  <c r="E104" i="1"/>
  <c r="V104" i="1"/>
  <c r="C103" i="1"/>
  <c r="D103" i="1"/>
  <c r="A105" i="1"/>
  <c r="B104" i="1"/>
  <c r="L104" i="1" s="1"/>
  <c r="AN104" i="2" l="1"/>
  <c r="AI104" i="2"/>
  <c r="K105" i="2"/>
  <c r="AO105" i="2" s="1"/>
  <c r="I105" i="2"/>
  <c r="F105" i="2"/>
  <c r="E105" i="2"/>
  <c r="G105" i="2"/>
  <c r="AK105" i="2" s="1"/>
  <c r="L105" i="2"/>
  <c r="J105" i="2"/>
  <c r="O105" i="2"/>
  <c r="AS105" i="2" s="1"/>
  <c r="M105" i="2"/>
  <c r="H105" i="2"/>
  <c r="AL105" i="2" s="1"/>
  <c r="C106" i="2"/>
  <c r="D105" i="2"/>
  <c r="AH105" i="2" s="1"/>
  <c r="N105" i="2"/>
  <c r="AR105" i="2" s="1"/>
  <c r="AO104" i="2"/>
  <c r="AL104" i="2"/>
  <c r="Z105" i="2"/>
  <c r="V105" i="2"/>
  <c r="AE105" i="2"/>
  <c r="S105" i="2"/>
  <c r="X105" i="2"/>
  <c r="U105" i="2"/>
  <c r="AD105" i="2"/>
  <c r="R106" i="2"/>
  <c r="AC105" i="2"/>
  <c r="AA105" i="2"/>
  <c r="W105" i="2"/>
  <c r="AB105" i="2"/>
  <c r="Y105" i="2"/>
  <c r="T105" i="2"/>
  <c r="J103" i="1"/>
  <c r="K103" i="1" s="1"/>
  <c r="O103" i="1" s="1"/>
  <c r="P103" i="1" s="1"/>
  <c r="Q103" i="1" s="1"/>
  <c r="R102" i="1"/>
  <c r="S102" i="1"/>
  <c r="G104" i="1"/>
  <c r="Y105" i="1"/>
  <c r="H105" i="1"/>
  <c r="I104" i="1"/>
  <c r="AO125" i="1"/>
  <c r="AK126" i="1"/>
  <c r="AY125" i="1"/>
  <c r="AV125" i="1"/>
  <c r="BC125" i="1"/>
  <c r="AL125" i="1"/>
  <c r="AZ125" i="1"/>
  <c r="AX125" i="1"/>
  <c r="AT125" i="1"/>
  <c r="AW125" i="1"/>
  <c r="AU125" i="1"/>
  <c r="AS125" i="1"/>
  <c r="BB125" i="1"/>
  <c r="AR125" i="1"/>
  <c r="BE125" i="1"/>
  <c r="BD125" i="1"/>
  <c r="AM125" i="1"/>
  <c r="BA125" i="1"/>
  <c r="AQ125" i="1"/>
  <c r="AP125" i="1"/>
  <c r="AN125" i="1"/>
  <c r="X104" i="1"/>
  <c r="W104" i="1"/>
  <c r="Z104" i="1"/>
  <c r="E105" i="1"/>
  <c r="V105" i="1"/>
  <c r="C104" i="1"/>
  <c r="D104" i="1"/>
  <c r="A106" i="1"/>
  <c r="B105" i="1"/>
  <c r="L105" i="1" s="1"/>
  <c r="M106" i="2" l="1"/>
  <c r="O106" i="2"/>
  <c r="G106" i="2"/>
  <c r="J106" i="2"/>
  <c r="AN106" i="2" s="1"/>
  <c r="I106" i="2"/>
  <c r="D106" i="2"/>
  <c r="L106" i="2"/>
  <c r="AP106" i="2" s="1"/>
  <c r="K106" i="2"/>
  <c r="C107" i="2"/>
  <c r="E106" i="2"/>
  <c r="N106" i="2"/>
  <c r="AR106" i="2" s="1"/>
  <c r="H106" i="2"/>
  <c r="AL106" i="2" s="1"/>
  <c r="F106" i="2"/>
  <c r="AJ106" i="2" s="1"/>
  <c r="AN105" i="2"/>
  <c r="AI105" i="2"/>
  <c r="AQ105" i="2"/>
  <c r="AB106" i="2"/>
  <c r="AE106" i="2"/>
  <c r="AA106" i="2"/>
  <c r="Y106" i="2"/>
  <c r="U106" i="2"/>
  <c r="S106" i="2"/>
  <c r="AC106" i="2"/>
  <c r="W106" i="2"/>
  <c r="R107" i="2"/>
  <c r="AD106" i="2"/>
  <c r="Z106" i="2"/>
  <c r="T106" i="2"/>
  <c r="X106" i="2"/>
  <c r="V106" i="2"/>
  <c r="AJ105" i="2"/>
  <c r="AM105" i="2"/>
  <c r="AP105" i="2"/>
  <c r="J104" i="1"/>
  <c r="K104" i="1" s="1"/>
  <c r="O104" i="1" s="1"/>
  <c r="P104" i="1" s="1"/>
  <c r="Q104" i="1" s="1"/>
  <c r="R103" i="1"/>
  <c r="S103" i="1"/>
  <c r="G105" i="1"/>
  <c r="I105" i="1" s="1"/>
  <c r="Y106" i="1"/>
  <c r="H106" i="1"/>
  <c r="AK127" i="1"/>
  <c r="BB126" i="1"/>
  <c r="BD126" i="1"/>
  <c r="BC126" i="1"/>
  <c r="AV126" i="1"/>
  <c r="AU126" i="1"/>
  <c r="AM126" i="1"/>
  <c r="BE126" i="1"/>
  <c r="AY126" i="1"/>
  <c r="AZ126" i="1"/>
  <c r="AT126" i="1"/>
  <c r="AX126" i="1"/>
  <c r="AW126" i="1"/>
  <c r="BA126" i="1"/>
  <c r="AR126" i="1"/>
  <c r="AQ126" i="1"/>
  <c r="AN126" i="1"/>
  <c r="AP126" i="1"/>
  <c r="AL126" i="1"/>
  <c r="AS126" i="1"/>
  <c r="AO126" i="1"/>
  <c r="X105" i="1"/>
  <c r="W105" i="1"/>
  <c r="Z105" i="1"/>
  <c r="E106" i="1"/>
  <c r="V106" i="1"/>
  <c r="C105" i="1"/>
  <c r="D105" i="1"/>
  <c r="A107" i="1"/>
  <c r="B106" i="1"/>
  <c r="L106" i="1" s="1"/>
  <c r="Y107" i="2" l="1"/>
  <c r="S107" i="2"/>
  <c r="AE107" i="2"/>
  <c r="AC107" i="2"/>
  <c r="T107" i="2"/>
  <c r="AB107" i="2"/>
  <c r="R108" i="2"/>
  <c r="AA107" i="2"/>
  <c r="W107" i="2"/>
  <c r="V107" i="2"/>
  <c r="X107" i="2"/>
  <c r="AD107" i="2"/>
  <c r="U107" i="2"/>
  <c r="Z107" i="2"/>
  <c r="AH106" i="2"/>
  <c r="C108" i="2"/>
  <c r="H107" i="2"/>
  <c r="F107" i="2"/>
  <c r="E107" i="2"/>
  <c r="J107" i="2"/>
  <c r="AN107" i="2" s="1"/>
  <c r="I107" i="2"/>
  <c r="N107" i="2"/>
  <c r="M107" i="2"/>
  <c r="AQ107" i="2" s="1"/>
  <c r="O107" i="2"/>
  <c r="D107" i="2"/>
  <c r="AH107" i="2" s="1"/>
  <c r="K107" i="2"/>
  <c r="L107" i="2"/>
  <c r="AP107" i="2" s="1"/>
  <c r="G107" i="2"/>
  <c r="AK107" i="2" s="1"/>
  <c r="AK106" i="2"/>
  <c r="AS106" i="2"/>
  <c r="AI106" i="2"/>
  <c r="AO106" i="2"/>
  <c r="AM106" i="2"/>
  <c r="AQ106" i="2"/>
  <c r="J105" i="1"/>
  <c r="K105" i="1" s="1"/>
  <c r="O105" i="1" s="1"/>
  <c r="P105" i="1" s="1"/>
  <c r="Q105" i="1" s="1"/>
  <c r="R104" i="1"/>
  <c r="S104" i="1"/>
  <c r="G106" i="1"/>
  <c r="I106" i="1" s="1"/>
  <c r="Y107" i="1"/>
  <c r="H107" i="1"/>
  <c r="AL127" i="1"/>
  <c r="AS127" i="1"/>
  <c r="BC127" i="1"/>
  <c r="BB127" i="1"/>
  <c r="AP127" i="1"/>
  <c r="AY127" i="1"/>
  <c r="AW127" i="1"/>
  <c r="AM127" i="1"/>
  <c r="AR127" i="1"/>
  <c r="AQ127" i="1"/>
  <c r="AK128" i="1"/>
  <c r="AZ127" i="1"/>
  <c r="BD127" i="1"/>
  <c r="AU127" i="1"/>
  <c r="BE127" i="1"/>
  <c r="AX127" i="1"/>
  <c r="AN127" i="1"/>
  <c r="AV127" i="1"/>
  <c r="AT127" i="1"/>
  <c r="BA127" i="1"/>
  <c r="AO127" i="1"/>
  <c r="X106" i="1"/>
  <c r="W106" i="1"/>
  <c r="Z106" i="1"/>
  <c r="E107" i="1"/>
  <c r="V107" i="1"/>
  <c r="C106" i="1"/>
  <c r="D106" i="1"/>
  <c r="A108" i="1"/>
  <c r="B107" i="1"/>
  <c r="L107" i="1" s="1"/>
  <c r="AO107" i="2" l="1"/>
  <c r="K108" i="2"/>
  <c r="F108" i="2"/>
  <c r="L108" i="2"/>
  <c r="H108" i="2"/>
  <c r="AL108" i="2" s="1"/>
  <c r="D108" i="2"/>
  <c r="AH108" i="2" s="1"/>
  <c r="G108" i="2"/>
  <c r="I108" i="2"/>
  <c r="AM108" i="2" s="1"/>
  <c r="N108" i="2"/>
  <c r="C109" i="2"/>
  <c r="E108" i="2"/>
  <c r="AI108" i="2" s="1"/>
  <c r="M108" i="2"/>
  <c r="AQ108" i="2" s="1"/>
  <c r="O108" i="2"/>
  <c r="AS108" i="2" s="1"/>
  <c r="J108" i="2"/>
  <c r="AS107" i="2"/>
  <c r="AC108" i="2"/>
  <c r="Y108" i="2"/>
  <c r="X108" i="2"/>
  <c r="AD108" i="2"/>
  <c r="W108" i="2"/>
  <c r="T108" i="2"/>
  <c r="S108" i="2"/>
  <c r="R109" i="2"/>
  <c r="AE108" i="2"/>
  <c r="V108" i="2"/>
  <c r="U108" i="2"/>
  <c r="AB108" i="2"/>
  <c r="AA108" i="2"/>
  <c r="Z108" i="2"/>
  <c r="AR107" i="2"/>
  <c r="AM107" i="2"/>
  <c r="AI107" i="2"/>
  <c r="AJ107" i="2"/>
  <c r="AL107" i="2"/>
  <c r="J106" i="1"/>
  <c r="K106" i="1" s="1"/>
  <c r="O106" i="1" s="1"/>
  <c r="P106" i="1" s="1"/>
  <c r="Q106" i="1" s="1"/>
  <c r="R105" i="1"/>
  <c r="S105" i="1"/>
  <c r="G107" i="1"/>
  <c r="I107" i="1" s="1"/>
  <c r="Y108" i="1"/>
  <c r="H108" i="1"/>
  <c r="AT128" i="1"/>
  <c r="AQ128" i="1"/>
  <c r="AW128" i="1"/>
  <c r="BD128" i="1"/>
  <c r="AK129" i="1"/>
  <c r="AM128" i="1"/>
  <c r="AO128" i="1"/>
  <c r="AL128" i="1"/>
  <c r="AU128" i="1"/>
  <c r="AP128" i="1"/>
  <c r="AR128" i="1"/>
  <c r="AN128" i="1"/>
  <c r="AZ128" i="1"/>
  <c r="AX128" i="1"/>
  <c r="BB128" i="1"/>
  <c r="AY128" i="1"/>
  <c r="BC128" i="1"/>
  <c r="BE128" i="1"/>
  <c r="AV128" i="1"/>
  <c r="AS128" i="1"/>
  <c r="BA128" i="1"/>
  <c r="X107" i="1"/>
  <c r="W107" i="1"/>
  <c r="Z107" i="1"/>
  <c r="E108" i="1"/>
  <c r="V108" i="1"/>
  <c r="C107" i="1"/>
  <c r="D107" i="1"/>
  <c r="A109" i="1"/>
  <c r="B108" i="1"/>
  <c r="L108" i="1" s="1"/>
  <c r="AK108" i="2" l="1"/>
  <c r="AN108" i="2"/>
  <c r="AR108" i="2"/>
  <c r="AP108" i="2"/>
  <c r="AJ108" i="2"/>
  <c r="H109" i="2"/>
  <c r="N109" i="2"/>
  <c r="O109" i="2"/>
  <c r="AS109" i="2" s="1"/>
  <c r="C110" i="2"/>
  <c r="M109" i="2"/>
  <c r="AQ109" i="2" s="1"/>
  <c r="L109" i="2"/>
  <c r="AP109" i="2" s="1"/>
  <c r="D109" i="2"/>
  <c r="AH109" i="2" s="1"/>
  <c r="J109" i="2"/>
  <c r="AN109" i="2" s="1"/>
  <c r="I109" i="2"/>
  <c r="AM109" i="2" s="1"/>
  <c r="F109" i="2"/>
  <c r="AJ109" i="2" s="1"/>
  <c r="G109" i="2"/>
  <c r="AK109" i="2" s="1"/>
  <c r="E109" i="2"/>
  <c r="K109" i="2"/>
  <c r="Z109" i="2"/>
  <c r="AD109" i="2"/>
  <c r="U109" i="2"/>
  <c r="AA109" i="2"/>
  <c r="X109" i="2"/>
  <c r="S109" i="2"/>
  <c r="AE109" i="2"/>
  <c r="AB109" i="2"/>
  <c r="Y109" i="2"/>
  <c r="V109" i="2"/>
  <c r="T109" i="2"/>
  <c r="R110" i="2"/>
  <c r="W109" i="2"/>
  <c r="AC109" i="2"/>
  <c r="AO108" i="2"/>
  <c r="J107" i="1"/>
  <c r="K107" i="1" s="1"/>
  <c r="O107" i="1" s="1"/>
  <c r="P107" i="1" s="1"/>
  <c r="Q107" i="1" s="1"/>
  <c r="R106" i="1"/>
  <c r="S106" i="1"/>
  <c r="G108" i="1"/>
  <c r="I108" i="1" s="1"/>
  <c r="Y109" i="1"/>
  <c r="H109" i="1"/>
  <c r="AP129" i="1"/>
  <c r="AN129" i="1"/>
  <c r="BE129" i="1"/>
  <c r="AX129" i="1"/>
  <c r="AR129" i="1"/>
  <c r="BD129" i="1"/>
  <c r="AO129" i="1"/>
  <c r="AK130" i="1"/>
  <c r="AM129" i="1"/>
  <c r="AL129" i="1"/>
  <c r="AW129" i="1"/>
  <c r="BC129" i="1"/>
  <c r="AZ129" i="1"/>
  <c r="AY129" i="1"/>
  <c r="BB129" i="1"/>
  <c r="AV129" i="1"/>
  <c r="AT129" i="1"/>
  <c r="BA129" i="1"/>
  <c r="AU129" i="1"/>
  <c r="AS129" i="1"/>
  <c r="AQ129" i="1"/>
  <c r="X108" i="1"/>
  <c r="W108" i="1"/>
  <c r="Z108" i="1"/>
  <c r="E109" i="1"/>
  <c r="V109" i="1"/>
  <c r="C108" i="1"/>
  <c r="D108" i="1"/>
  <c r="A110" i="1"/>
  <c r="B109" i="1"/>
  <c r="L109" i="1" s="1"/>
  <c r="AO109" i="2" l="1"/>
  <c r="J110" i="2"/>
  <c r="G110" i="2"/>
  <c r="L110" i="2"/>
  <c r="K110" i="2"/>
  <c r="F110" i="2"/>
  <c r="N110" i="2"/>
  <c r="AR110" i="2" s="1"/>
  <c r="H110" i="2"/>
  <c r="AL110" i="2" s="1"/>
  <c r="C111" i="2"/>
  <c r="O110" i="2"/>
  <c r="AS110" i="2" s="1"/>
  <c r="E110" i="2"/>
  <c r="AI110" i="2" s="1"/>
  <c r="I110" i="2"/>
  <c r="AM110" i="2" s="1"/>
  <c r="D110" i="2"/>
  <c r="M110" i="2"/>
  <c r="AQ110" i="2" s="1"/>
  <c r="AL109" i="2"/>
  <c r="AR109" i="2"/>
  <c r="U110" i="2"/>
  <c r="AC110" i="2"/>
  <c r="W110" i="2"/>
  <c r="T110" i="2"/>
  <c r="AA110" i="2"/>
  <c r="Z110" i="2"/>
  <c r="Y110" i="2"/>
  <c r="AB110" i="2"/>
  <c r="AD110" i="2"/>
  <c r="AE110" i="2"/>
  <c r="V110" i="2"/>
  <c r="X110" i="2"/>
  <c r="R111" i="2"/>
  <c r="S110" i="2"/>
  <c r="AI109" i="2"/>
  <c r="J108" i="1"/>
  <c r="K108" i="1" s="1"/>
  <c r="O108" i="1" s="1"/>
  <c r="P108" i="1" s="1"/>
  <c r="Q108" i="1" s="1"/>
  <c r="R107" i="1"/>
  <c r="S107" i="1"/>
  <c r="G109" i="1"/>
  <c r="I109" i="1" s="1"/>
  <c r="Y110" i="1"/>
  <c r="H110" i="1"/>
  <c r="AU130" i="1"/>
  <c r="BB130" i="1"/>
  <c r="AM130" i="1"/>
  <c r="AK131" i="1"/>
  <c r="AT130" i="1"/>
  <c r="BC130" i="1"/>
  <c r="AQ130" i="1"/>
  <c r="AP130" i="1"/>
  <c r="BA130" i="1"/>
  <c r="AX130" i="1"/>
  <c r="AL130" i="1"/>
  <c r="AR130" i="1"/>
  <c r="AW130" i="1"/>
  <c r="AO130" i="1"/>
  <c r="BD130" i="1"/>
  <c r="AZ130" i="1"/>
  <c r="AN130" i="1"/>
  <c r="BE130" i="1"/>
  <c r="AY130" i="1"/>
  <c r="AS130" i="1"/>
  <c r="AV130" i="1"/>
  <c r="X109" i="1"/>
  <c r="W109" i="1"/>
  <c r="Z109" i="1"/>
  <c r="E110" i="1"/>
  <c r="V110" i="1"/>
  <c r="C109" i="1"/>
  <c r="D109" i="1"/>
  <c r="A111" i="1"/>
  <c r="B110" i="1"/>
  <c r="L110" i="1" s="1"/>
  <c r="AH110" i="2" l="1"/>
  <c r="Z111" i="2"/>
  <c r="S111" i="2"/>
  <c r="AE111" i="2"/>
  <c r="R112" i="2"/>
  <c r="V111" i="2"/>
  <c r="T111" i="2"/>
  <c r="AD111" i="2"/>
  <c r="AA111" i="2"/>
  <c r="AC111" i="2"/>
  <c r="U111" i="2"/>
  <c r="X111" i="2"/>
  <c r="W111" i="2"/>
  <c r="AB111" i="2"/>
  <c r="Y111" i="2"/>
  <c r="AJ110" i="2"/>
  <c r="AO110" i="2"/>
  <c r="AP110" i="2"/>
  <c r="H111" i="2"/>
  <c r="M111" i="2"/>
  <c r="I111" i="2"/>
  <c r="L111" i="2"/>
  <c r="F111" i="2"/>
  <c r="O111" i="2"/>
  <c r="AS111" i="2" s="1"/>
  <c r="C112" i="2"/>
  <c r="J111" i="2"/>
  <c r="G111" i="2"/>
  <c r="AK111" i="2" s="1"/>
  <c r="D111" i="2"/>
  <c r="AH111" i="2" s="1"/>
  <c r="N111" i="2"/>
  <c r="AR111" i="2" s="1"/>
  <c r="K111" i="2"/>
  <c r="AO111" i="2" s="1"/>
  <c r="E111" i="2"/>
  <c r="AI111" i="2" s="1"/>
  <c r="AK110" i="2"/>
  <c r="AN110" i="2"/>
  <c r="J109" i="1"/>
  <c r="K109" i="1" s="1"/>
  <c r="O109" i="1" s="1"/>
  <c r="P109" i="1" s="1"/>
  <c r="Q109" i="1" s="1"/>
  <c r="R108" i="1"/>
  <c r="S108" i="1"/>
  <c r="G110" i="1"/>
  <c r="I110" i="1" s="1"/>
  <c r="Y111" i="1"/>
  <c r="H111" i="1"/>
  <c r="BA131" i="1"/>
  <c r="AX131" i="1"/>
  <c r="AY131" i="1"/>
  <c r="BE131" i="1"/>
  <c r="AO131" i="1"/>
  <c r="BD131" i="1"/>
  <c r="AN131" i="1"/>
  <c r="AL131" i="1"/>
  <c r="AV131" i="1"/>
  <c r="AW131" i="1"/>
  <c r="AT131" i="1"/>
  <c r="AS131" i="1"/>
  <c r="AR131" i="1"/>
  <c r="AQ131" i="1"/>
  <c r="AM131" i="1"/>
  <c r="AU131" i="1"/>
  <c r="AP131" i="1"/>
  <c r="BC131" i="1"/>
  <c r="BB131" i="1"/>
  <c r="AZ131" i="1"/>
  <c r="AK132" i="1"/>
  <c r="X110" i="1"/>
  <c r="W110" i="1"/>
  <c r="Z110" i="1"/>
  <c r="E111" i="1"/>
  <c r="V111" i="1"/>
  <c r="C110" i="1"/>
  <c r="D110" i="1"/>
  <c r="A112" i="1"/>
  <c r="B111" i="1"/>
  <c r="L111" i="1" s="1"/>
  <c r="G112" i="2" l="1"/>
  <c r="L112" i="2"/>
  <c r="O112" i="2"/>
  <c r="K112" i="2"/>
  <c r="AO112" i="2" s="1"/>
  <c r="E112" i="2"/>
  <c r="N112" i="2"/>
  <c r="H112" i="2"/>
  <c r="C113" i="2"/>
  <c r="D112" i="2"/>
  <c r="AH112" i="2" s="1"/>
  <c r="M112" i="2"/>
  <c r="AQ112" i="2" s="1"/>
  <c r="J112" i="2"/>
  <c r="AN112" i="2" s="1"/>
  <c r="I112" i="2"/>
  <c r="AM112" i="2" s="1"/>
  <c r="F112" i="2"/>
  <c r="AJ112" i="2" s="1"/>
  <c r="AM111" i="2"/>
  <c r="AA112" i="2"/>
  <c r="T112" i="2"/>
  <c r="Z112" i="2"/>
  <c r="Y112" i="2"/>
  <c r="AB112" i="2"/>
  <c r="V112" i="2"/>
  <c r="U112" i="2"/>
  <c r="S112" i="2"/>
  <c r="AD112" i="2"/>
  <c r="X112" i="2"/>
  <c r="AE112" i="2"/>
  <c r="R113" i="2"/>
  <c r="AC112" i="2"/>
  <c r="W112" i="2"/>
  <c r="AP111" i="2"/>
  <c r="AQ111" i="2"/>
  <c r="AL111" i="2"/>
  <c r="AN111" i="2"/>
  <c r="AJ111" i="2"/>
  <c r="J110" i="1"/>
  <c r="K110" i="1" s="1"/>
  <c r="O110" i="1" s="1"/>
  <c r="P110" i="1" s="1"/>
  <c r="Q110" i="1" s="1"/>
  <c r="R109" i="1"/>
  <c r="S109" i="1"/>
  <c r="G111" i="1"/>
  <c r="I111" i="1" s="1"/>
  <c r="Y112" i="1"/>
  <c r="H112" i="1"/>
  <c r="AV132" i="1"/>
  <c r="AS132" i="1"/>
  <c r="AQ132" i="1"/>
  <c r="AK133" i="1"/>
  <c r="BE132" i="1"/>
  <c r="BB132" i="1"/>
  <c r="AR132" i="1"/>
  <c r="AT132" i="1"/>
  <c r="AO132" i="1"/>
  <c r="AN132" i="1"/>
  <c r="AL132" i="1"/>
  <c r="AX132" i="1"/>
  <c r="AW132" i="1"/>
  <c r="AM132" i="1"/>
  <c r="AZ132" i="1"/>
  <c r="AY132" i="1"/>
  <c r="AU132" i="1"/>
  <c r="BD132" i="1"/>
  <c r="BC132" i="1"/>
  <c r="BA132" i="1"/>
  <c r="AP132" i="1"/>
  <c r="X111" i="1"/>
  <c r="W111" i="1"/>
  <c r="Z111" i="1"/>
  <c r="E112" i="1"/>
  <c r="V112" i="1"/>
  <c r="C111" i="1"/>
  <c r="D111" i="1"/>
  <c r="B112" i="1"/>
  <c r="L112" i="1" s="1"/>
  <c r="A113" i="1"/>
  <c r="AR112" i="2" l="1"/>
  <c r="AC113" i="2"/>
  <c r="W113" i="2"/>
  <c r="T113" i="2"/>
  <c r="X113" i="2"/>
  <c r="AB113" i="2"/>
  <c r="Y113" i="2"/>
  <c r="AA113" i="2"/>
  <c r="U113" i="2"/>
  <c r="S113" i="2"/>
  <c r="R114" i="2"/>
  <c r="AE113" i="2"/>
  <c r="Z113" i="2"/>
  <c r="V113" i="2"/>
  <c r="AD113" i="2"/>
  <c r="E113" i="2"/>
  <c r="AI113" i="2" s="1"/>
  <c r="M113" i="2"/>
  <c r="D113" i="2"/>
  <c r="N113" i="2"/>
  <c r="L113" i="2"/>
  <c r="G113" i="2"/>
  <c r="H113" i="2"/>
  <c r="AL113" i="2" s="1"/>
  <c r="O113" i="2"/>
  <c r="J113" i="2"/>
  <c r="AN113" i="2" s="1"/>
  <c r="C114" i="2"/>
  <c r="I113" i="2"/>
  <c r="AM113" i="2" s="1"/>
  <c r="F113" i="2"/>
  <c r="AJ113" i="2" s="1"/>
  <c r="K113" i="2"/>
  <c r="AS112" i="2"/>
  <c r="AP112" i="2"/>
  <c r="AL112" i="2"/>
  <c r="AI112" i="2"/>
  <c r="AK112" i="2"/>
  <c r="J111" i="1"/>
  <c r="K111" i="1" s="1"/>
  <c r="O111" i="1" s="1"/>
  <c r="P111" i="1" s="1"/>
  <c r="Q111" i="1" s="1"/>
  <c r="R110" i="1"/>
  <c r="S110" i="1"/>
  <c r="G112" i="1"/>
  <c r="I112" i="1" s="1"/>
  <c r="Y113" i="1"/>
  <c r="H113" i="1"/>
  <c r="AZ133" i="1"/>
  <c r="AL133" i="1"/>
  <c r="AV133" i="1"/>
  <c r="AY133" i="1"/>
  <c r="AQ133" i="1"/>
  <c r="AO133" i="1"/>
  <c r="AR133" i="1"/>
  <c r="AK134" i="1"/>
  <c r="AX133" i="1"/>
  <c r="AW133" i="1"/>
  <c r="AU133" i="1"/>
  <c r="AS133" i="1"/>
  <c r="AN133" i="1"/>
  <c r="AM133" i="1"/>
  <c r="AP133" i="1"/>
  <c r="BB133" i="1"/>
  <c r="AT133" i="1"/>
  <c r="BE133" i="1"/>
  <c r="BD133" i="1"/>
  <c r="BA133" i="1"/>
  <c r="BC133" i="1"/>
  <c r="X112" i="1"/>
  <c r="W112" i="1"/>
  <c r="Z112" i="1"/>
  <c r="E113" i="1"/>
  <c r="V113" i="1"/>
  <c r="C112" i="1"/>
  <c r="D112" i="1"/>
  <c r="B113" i="1"/>
  <c r="L113" i="1" s="1"/>
  <c r="A114" i="1"/>
  <c r="AP113" i="2" l="1"/>
  <c r="O114" i="2"/>
  <c r="H114" i="2"/>
  <c r="G114" i="2"/>
  <c r="L114" i="2"/>
  <c r="K114" i="2"/>
  <c r="J114" i="2"/>
  <c r="AN114" i="2" s="1"/>
  <c r="I114" i="2"/>
  <c r="AM114" i="2" s="1"/>
  <c r="D114" i="2"/>
  <c r="AH114" i="2" s="1"/>
  <c r="N114" i="2"/>
  <c r="AR114" i="2" s="1"/>
  <c r="M114" i="2"/>
  <c r="AQ114" i="2" s="1"/>
  <c r="E114" i="2"/>
  <c r="AI114" i="2" s="1"/>
  <c r="C115" i="2"/>
  <c r="F114" i="2"/>
  <c r="AK113" i="2"/>
  <c r="AR113" i="2"/>
  <c r="AH113" i="2"/>
  <c r="AO113" i="2"/>
  <c r="AC114" i="2"/>
  <c r="R115" i="2"/>
  <c r="AB114" i="2"/>
  <c r="Y114" i="2"/>
  <c r="S114" i="2"/>
  <c r="T114" i="2"/>
  <c r="X114" i="2"/>
  <c r="V114" i="2"/>
  <c r="AD114" i="2"/>
  <c r="AA114" i="2"/>
  <c r="Z114" i="2"/>
  <c r="AE114" i="2"/>
  <c r="U114" i="2"/>
  <c r="W114" i="2"/>
  <c r="AS113" i="2"/>
  <c r="AQ113" i="2"/>
  <c r="J112" i="1"/>
  <c r="K112" i="1" s="1"/>
  <c r="O112" i="1" s="1"/>
  <c r="P112" i="1" s="1"/>
  <c r="Q112" i="1" s="1"/>
  <c r="R111" i="1"/>
  <c r="S111" i="1"/>
  <c r="G113" i="1"/>
  <c r="I113" i="1" s="1"/>
  <c r="Y114" i="1"/>
  <c r="H114" i="1"/>
  <c r="BB134" i="1"/>
  <c r="AZ134" i="1"/>
  <c r="AS134" i="1"/>
  <c r="AU134" i="1"/>
  <c r="AT134" i="1"/>
  <c r="AR134" i="1"/>
  <c r="BE134" i="1"/>
  <c r="AO134" i="1"/>
  <c r="BD134" i="1"/>
  <c r="AM134" i="1"/>
  <c r="AW134" i="1"/>
  <c r="AV134" i="1"/>
  <c r="AK135" i="1"/>
  <c r="AQ134" i="1"/>
  <c r="AP134" i="1"/>
  <c r="AY134" i="1"/>
  <c r="AX134" i="1"/>
  <c r="AN134" i="1"/>
  <c r="BC134" i="1"/>
  <c r="BA134" i="1"/>
  <c r="AL134" i="1"/>
  <c r="X113" i="1"/>
  <c r="W113" i="1"/>
  <c r="Z113" i="1"/>
  <c r="A115" i="1"/>
  <c r="H115" i="1" s="1"/>
  <c r="V114" i="1"/>
  <c r="E115" i="1"/>
  <c r="A116" i="1"/>
  <c r="H116" i="1" s="1"/>
  <c r="B114" i="1"/>
  <c r="L114" i="1" s="1"/>
  <c r="E114" i="1"/>
  <c r="C113" i="1"/>
  <c r="D113" i="1"/>
  <c r="AO114" i="2" l="1"/>
  <c r="AP114" i="2"/>
  <c r="AJ114" i="2"/>
  <c r="AK114" i="2"/>
  <c r="AL114" i="2"/>
  <c r="G115" i="2"/>
  <c r="AK115" i="2" s="1"/>
  <c r="E115" i="2"/>
  <c r="M115" i="2"/>
  <c r="AQ115" i="2" s="1"/>
  <c r="K115" i="2"/>
  <c r="AO115" i="2" s="1"/>
  <c r="J115" i="2"/>
  <c r="I115" i="2"/>
  <c r="AM115" i="2" s="1"/>
  <c r="L115" i="2"/>
  <c r="AP115" i="2" s="1"/>
  <c r="D115" i="2"/>
  <c r="AH115" i="2" s="1"/>
  <c r="F115" i="2"/>
  <c r="AJ115" i="2" s="1"/>
  <c r="N115" i="2"/>
  <c r="AR115" i="2" s="1"/>
  <c r="C116" i="2"/>
  <c r="H115" i="2"/>
  <c r="O115" i="2"/>
  <c r="X115" i="2"/>
  <c r="V115" i="2"/>
  <c r="AB115" i="2"/>
  <c r="W115" i="2"/>
  <c r="S115" i="2"/>
  <c r="R116" i="2"/>
  <c r="AA115" i="2"/>
  <c r="U115" i="2"/>
  <c r="AE115" i="2"/>
  <c r="Z115" i="2"/>
  <c r="T115" i="2"/>
  <c r="AD115" i="2"/>
  <c r="AC115" i="2"/>
  <c r="Y115" i="2"/>
  <c r="AS114" i="2"/>
  <c r="J113" i="1"/>
  <c r="K113" i="1" s="1"/>
  <c r="O113" i="1" s="1"/>
  <c r="P113" i="1" s="1"/>
  <c r="Q113" i="1" s="1"/>
  <c r="R112" i="1"/>
  <c r="S112" i="1"/>
  <c r="G114" i="1"/>
  <c r="I114" i="1" s="1"/>
  <c r="B115" i="1"/>
  <c r="L115" i="1" s="1"/>
  <c r="BE135" i="1"/>
  <c r="AR135" i="1"/>
  <c r="AU135" i="1"/>
  <c r="AW135" i="1"/>
  <c r="AS135" i="1"/>
  <c r="AQ135" i="1"/>
  <c r="AK136" i="1"/>
  <c r="AT135" i="1"/>
  <c r="BC135" i="1"/>
  <c r="AV135" i="1"/>
  <c r="AP135" i="1"/>
  <c r="BD135" i="1"/>
  <c r="BA135" i="1"/>
  <c r="AZ135" i="1"/>
  <c r="AY135" i="1"/>
  <c r="BB135" i="1"/>
  <c r="AX135" i="1"/>
  <c r="AL135" i="1"/>
  <c r="AO135" i="1"/>
  <c r="AM135" i="1"/>
  <c r="AN135" i="1"/>
  <c r="V116" i="1"/>
  <c r="X116" i="1" s="1"/>
  <c r="Y116" i="1"/>
  <c r="V115" i="1"/>
  <c r="X115" i="1" s="1"/>
  <c r="Y115" i="1"/>
  <c r="W114" i="1"/>
  <c r="X114" i="1"/>
  <c r="Z114" i="1"/>
  <c r="E116" i="1"/>
  <c r="A117" i="1"/>
  <c r="H117" i="1" s="1"/>
  <c r="B116" i="1"/>
  <c r="L116" i="1" s="1"/>
  <c r="C114" i="1"/>
  <c r="D114" i="1"/>
  <c r="AN115" i="2" l="1"/>
  <c r="AS115" i="2"/>
  <c r="L116" i="2"/>
  <c r="G116" i="2"/>
  <c r="C117" i="2"/>
  <c r="K116" i="2"/>
  <c r="O116" i="2"/>
  <c r="AS116" i="2" s="1"/>
  <c r="J116" i="2"/>
  <c r="AN116" i="2" s="1"/>
  <c r="E116" i="2"/>
  <c r="N116" i="2"/>
  <c r="AR116" i="2" s="1"/>
  <c r="H116" i="2"/>
  <c r="AL116" i="2" s="1"/>
  <c r="D116" i="2"/>
  <c r="AH116" i="2" s="1"/>
  <c r="M116" i="2"/>
  <c r="AQ116" i="2" s="1"/>
  <c r="I116" i="2"/>
  <c r="AM116" i="2" s="1"/>
  <c r="F116" i="2"/>
  <c r="AJ116" i="2" s="1"/>
  <c r="AA116" i="2"/>
  <c r="R117" i="2"/>
  <c r="W116" i="2"/>
  <c r="AD116" i="2"/>
  <c r="U116" i="2"/>
  <c r="AC116" i="2"/>
  <c r="AB116" i="2"/>
  <c r="Y116" i="2"/>
  <c r="S116" i="2"/>
  <c r="AE116" i="2"/>
  <c r="Z116" i="2"/>
  <c r="V116" i="2"/>
  <c r="X116" i="2"/>
  <c r="T116" i="2"/>
  <c r="AI115" i="2"/>
  <c r="AL115" i="2"/>
  <c r="C115" i="1"/>
  <c r="J114" i="1"/>
  <c r="K114" i="1" s="1"/>
  <c r="O114" i="1" s="1"/>
  <c r="P114" i="1" s="1"/>
  <c r="Q114" i="1" s="1"/>
  <c r="W116" i="1"/>
  <c r="R113" i="1"/>
  <c r="S113" i="1"/>
  <c r="Z116" i="1"/>
  <c r="D115" i="1"/>
  <c r="W115" i="1"/>
  <c r="G115" i="1"/>
  <c r="I115" i="1" s="1"/>
  <c r="G116" i="1"/>
  <c r="I116" i="1" s="1"/>
  <c r="Z115" i="1"/>
  <c r="V117" i="1"/>
  <c r="W117" i="1" s="1"/>
  <c r="Y117" i="1"/>
  <c r="Z117" i="1" s="1"/>
  <c r="AX136" i="1"/>
  <c r="AW136" i="1"/>
  <c r="BD136" i="1"/>
  <c r="AR136" i="1"/>
  <c r="AL136" i="1"/>
  <c r="AU136" i="1"/>
  <c r="AZ136" i="1"/>
  <c r="AS136" i="1"/>
  <c r="AO136" i="1"/>
  <c r="AK137" i="1"/>
  <c r="BE136" i="1"/>
  <c r="AY136" i="1"/>
  <c r="BA136" i="1"/>
  <c r="AP136" i="1"/>
  <c r="BC136" i="1"/>
  <c r="AV136" i="1"/>
  <c r="BB136" i="1"/>
  <c r="AT136" i="1"/>
  <c r="AQ136" i="1"/>
  <c r="AM136" i="1"/>
  <c r="AN136" i="1"/>
  <c r="D116" i="1"/>
  <c r="C116" i="1"/>
  <c r="E117" i="1"/>
  <c r="B117" i="1"/>
  <c r="L117" i="1" s="1"/>
  <c r="A118" i="1"/>
  <c r="H118" i="1" s="1"/>
  <c r="AO116" i="2" l="1"/>
  <c r="N117" i="2"/>
  <c r="O117" i="2"/>
  <c r="J117" i="2"/>
  <c r="M117" i="2"/>
  <c r="G117" i="2"/>
  <c r="L117" i="2"/>
  <c r="AP117" i="2" s="1"/>
  <c r="K117" i="2"/>
  <c r="C118" i="2"/>
  <c r="E117" i="2"/>
  <c r="AI117" i="2" s="1"/>
  <c r="F117" i="2"/>
  <c r="AJ117" i="2" s="1"/>
  <c r="D117" i="2"/>
  <c r="AH117" i="2" s="1"/>
  <c r="I117" i="2"/>
  <c r="H117" i="2"/>
  <c r="AL117" i="2" s="1"/>
  <c r="AI116" i="2"/>
  <c r="AK116" i="2"/>
  <c r="AP116" i="2"/>
  <c r="S117" i="2"/>
  <c r="AE117" i="2"/>
  <c r="W117" i="2"/>
  <c r="AB117" i="2"/>
  <c r="AA117" i="2"/>
  <c r="U117" i="2"/>
  <c r="V117" i="2"/>
  <c r="T117" i="2"/>
  <c r="AD117" i="2"/>
  <c r="Z117" i="2"/>
  <c r="R118" i="2"/>
  <c r="Y117" i="2"/>
  <c r="X117" i="2"/>
  <c r="AC117" i="2"/>
  <c r="J115" i="1"/>
  <c r="K115" i="1" s="1"/>
  <c r="O115" i="1" s="1"/>
  <c r="P115" i="1" s="1"/>
  <c r="Q115" i="1" s="1"/>
  <c r="X117" i="1"/>
  <c r="J116" i="1"/>
  <c r="K116" i="1" s="1"/>
  <c r="O116" i="1" s="1"/>
  <c r="P116" i="1" s="1"/>
  <c r="Q116" i="1" s="1"/>
  <c r="R114" i="1"/>
  <c r="S114" i="1"/>
  <c r="G117" i="1"/>
  <c r="I117" i="1" s="1"/>
  <c r="AR137" i="1"/>
  <c r="AV137" i="1"/>
  <c r="AZ137" i="1"/>
  <c r="BD137" i="1"/>
  <c r="AL137" i="1"/>
  <c r="AU137" i="1"/>
  <c r="AT137" i="1"/>
  <c r="AM137" i="1"/>
  <c r="AO137" i="1"/>
  <c r="AS137" i="1"/>
  <c r="BC137" i="1"/>
  <c r="AQ137" i="1"/>
  <c r="AW137" i="1"/>
  <c r="AP137" i="1"/>
  <c r="BE137" i="1"/>
  <c r="AX137" i="1"/>
  <c r="BB137" i="1"/>
  <c r="AK138" i="1"/>
  <c r="AY137" i="1"/>
  <c r="AN137" i="1"/>
  <c r="BA137" i="1"/>
  <c r="V118" i="1"/>
  <c r="W118" i="1" s="1"/>
  <c r="Y118" i="1"/>
  <c r="A119" i="1"/>
  <c r="H119" i="1" s="1"/>
  <c r="B118" i="1"/>
  <c r="L118" i="1" s="1"/>
  <c r="E118" i="1"/>
  <c r="D117" i="1"/>
  <c r="C117" i="1"/>
  <c r="AM117" i="2" l="1"/>
  <c r="AQ117" i="2"/>
  <c r="G118" i="2"/>
  <c r="O118" i="2"/>
  <c r="AS118" i="2" s="1"/>
  <c r="L118" i="2"/>
  <c r="H118" i="2"/>
  <c r="D118" i="2"/>
  <c r="AH118" i="2" s="1"/>
  <c r="F118" i="2"/>
  <c r="AJ118" i="2" s="1"/>
  <c r="M118" i="2"/>
  <c r="J118" i="2"/>
  <c r="K118" i="2"/>
  <c r="E118" i="2"/>
  <c r="AI118" i="2" s="1"/>
  <c r="C119" i="2"/>
  <c r="N118" i="2"/>
  <c r="AR118" i="2" s="1"/>
  <c r="I118" i="2"/>
  <c r="AM118" i="2" s="1"/>
  <c r="AN117" i="2"/>
  <c r="Y118" i="2"/>
  <c r="R119" i="2"/>
  <c r="AD118" i="2"/>
  <c r="S118" i="2"/>
  <c r="AA118" i="2"/>
  <c r="AC118" i="2"/>
  <c r="X118" i="2"/>
  <c r="U118" i="2"/>
  <c r="T118" i="2"/>
  <c r="V118" i="2"/>
  <c r="AB118" i="2"/>
  <c r="W118" i="2"/>
  <c r="AE118" i="2"/>
  <c r="Z118" i="2"/>
  <c r="AK117" i="2"/>
  <c r="AS117" i="2"/>
  <c r="AO117" i="2"/>
  <c r="AR117" i="2"/>
  <c r="J117" i="1"/>
  <c r="K117" i="1" s="1"/>
  <c r="O117" i="1" s="1"/>
  <c r="P117" i="1" s="1"/>
  <c r="Q117" i="1" s="1"/>
  <c r="Z118" i="1"/>
  <c r="X118" i="1"/>
  <c r="R115" i="1"/>
  <c r="S115" i="1"/>
  <c r="R116" i="1"/>
  <c r="S116" i="1"/>
  <c r="G118" i="1"/>
  <c r="I118" i="1" s="1"/>
  <c r="V119" i="1"/>
  <c r="X119" i="1" s="1"/>
  <c r="Y119" i="1"/>
  <c r="Z119" i="1" s="1"/>
  <c r="AP138" i="1"/>
  <c r="BE138" i="1"/>
  <c r="AX138" i="1"/>
  <c r="AZ138" i="1"/>
  <c r="AU138" i="1"/>
  <c r="AO138" i="1"/>
  <c r="AN138" i="1"/>
  <c r="AK139" i="1"/>
  <c r="AL138" i="1"/>
  <c r="AT138" i="1"/>
  <c r="AM138" i="1"/>
  <c r="BB138" i="1"/>
  <c r="BC138" i="1"/>
  <c r="AQ138" i="1"/>
  <c r="BA138" i="1"/>
  <c r="BD138" i="1"/>
  <c r="AV138" i="1"/>
  <c r="AY138" i="1"/>
  <c r="AW138" i="1"/>
  <c r="AS138" i="1"/>
  <c r="AR138" i="1"/>
  <c r="C118" i="1"/>
  <c r="D118" i="1"/>
  <c r="A120" i="1"/>
  <c r="H120" i="1" s="1"/>
  <c r="E119" i="1"/>
  <c r="B119" i="1"/>
  <c r="L119" i="1" s="1"/>
  <c r="AD119" i="2" l="1"/>
  <c r="Z119" i="2"/>
  <c r="S119" i="2"/>
  <c r="Y119" i="2"/>
  <c r="AB119" i="2"/>
  <c r="V119" i="2"/>
  <c r="AA119" i="2"/>
  <c r="U119" i="2"/>
  <c r="X119" i="2"/>
  <c r="AE119" i="2"/>
  <c r="R120" i="2"/>
  <c r="AC119" i="2"/>
  <c r="T119" i="2"/>
  <c r="W119" i="2"/>
  <c r="AL118" i="2"/>
  <c r="N119" i="2"/>
  <c r="AR119" i="2" s="1"/>
  <c r="I119" i="2"/>
  <c r="L119" i="2"/>
  <c r="G119" i="2"/>
  <c r="C120" i="2"/>
  <c r="J119" i="2"/>
  <c r="AN119" i="2" s="1"/>
  <c r="M119" i="2"/>
  <c r="AQ119" i="2" s="1"/>
  <c r="O119" i="2"/>
  <c r="AS119" i="2" s="1"/>
  <c r="K119" i="2"/>
  <c r="AO119" i="2" s="1"/>
  <c r="E119" i="2"/>
  <c r="F119" i="2"/>
  <c r="AJ119" i="2" s="1"/>
  <c r="H119" i="2"/>
  <c r="D119" i="2"/>
  <c r="AH119" i="2" s="1"/>
  <c r="AO118" i="2"/>
  <c r="AP118" i="2"/>
  <c r="AN118" i="2"/>
  <c r="AQ118" i="2"/>
  <c r="AK118" i="2"/>
  <c r="J118" i="1"/>
  <c r="K118" i="1" s="1"/>
  <c r="O118" i="1" s="1"/>
  <c r="P118" i="1" s="1"/>
  <c r="Q118" i="1" s="1"/>
  <c r="W119" i="1"/>
  <c r="R117" i="1"/>
  <c r="S117" i="1"/>
  <c r="G119" i="1"/>
  <c r="I119" i="1" s="1"/>
  <c r="BE139" i="1"/>
  <c r="AN139" i="1"/>
  <c r="BA139" i="1"/>
  <c r="AW139" i="1"/>
  <c r="AQ139" i="1"/>
  <c r="AT139" i="1"/>
  <c r="AK140" i="1"/>
  <c r="AZ139" i="1"/>
  <c r="BD139" i="1"/>
  <c r="BB139" i="1"/>
  <c r="AL139" i="1"/>
  <c r="AV139" i="1"/>
  <c r="AU139" i="1"/>
  <c r="AM139" i="1"/>
  <c r="AY139" i="1"/>
  <c r="AP139" i="1"/>
  <c r="BC139" i="1"/>
  <c r="AS139" i="1"/>
  <c r="AO139" i="1"/>
  <c r="AR139" i="1"/>
  <c r="AX139" i="1"/>
  <c r="V120" i="1"/>
  <c r="Y120" i="1"/>
  <c r="Z120" i="1" s="1"/>
  <c r="W120" i="1"/>
  <c r="X120" i="1"/>
  <c r="D119" i="1"/>
  <c r="C119" i="1"/>
  <c r="B120" i="1"/>
  <c r="L120" i="1" s="1"/>
  <c r="A121" i="1"/>
  <c r="H121" i="1" s="1"/>
  <c r="E120" i="1"/>
  <c r="S120" i="2" l="1"/>
  <c r="X120" i="2"/>
  <c r="AB120" i="2"/>
  <c r="Z120" i="2"/>
  <c r="Y120" i="2"/>
  <c r="R121" i="2"/>
  <c r="W120" i="2"/>
  <c r="AD120" i="2"/>
  <c r="AC120" i="2"/>
  <c r="AE120" i="2"/>
  <c r="U120" i="2"/>
  <c r="T120" i="2"/>
  <c r="AA120" i="2"/>
  <c r="V120" i="2"/>
  <c r="O120" i="2"/>
  <c r="AS120" i="2" s="1"/>
  <c r="C121" i="2"/>
  <c r="K120" i="2"/>
  <c r="J120" i="2"/>
  <c r="I120" i="2"/>
  <c r="AM120" i="2" s="1"/>
  <c r="M120" i="2"/>
  <c r="AQ120" i="2" s="1"/>
  <c r="D120" i="2"/>
  <c r="AH120" i="2" s="1"/>
  <c r="N120" i="2"/>
  <c r="H120" i="2"/>
  <c r="AL120" i="2" s="1"/>
  <c r="F120" i="2"/>
  <c r="L120" i="2"/>
  <c r="E120" i="2"/>
  <c r="G120" i="2"/>
  <c r="AL119" i="2"/>
  <c r="AK119" i="2"/>
  <c r="AI119" i="2"/>
  <c r="AP119" i="2"/>
  <c r="AM119" i="2"/>
  <c r="J119" i="1"/>
  <c r="K119" i="1" s="1"/>
  <c r="O119" i="1" s="1"/>
  <c r="P119" i="1" s="1"/>
  <c r="Q119" i="1" s="1"/>
  <c r="R118" i="1"/>
  <c r="S118" i="1"/>
  <c r="G120" i="1"/>
  <c r="I120" i="1" s="1"/>
  <c r="V121" i="1"/>
  <c r="Y121" i="1"/>
  <c r="AY140" i="1"/>
  <c r="AU140" i="1"/>
  <c r="BA140" i="1"/>
  <c r="AM140" i="1"/>
  <c r="AX140" i="1"/>
  <c r="BD140" i="1"/>
  <c r="AK141" i="1"/>
  <c r="AP140" i="1"/>
  <c r="AS140" i="1"/>
  <c r="AW140" i="1"/>
  <c r="AQ140" i="1"/>
  <c r="BC140" i="1"/>
  <c r="AT140" i="1"/>
  <c r="AV140" i="1"/>
  <c r="BB140" i="1"/>
  <c r="AL140" i="1"/>
  <c r="AN140" i="1"/>
  <c r="BE140" i="1"/>
  <c r="AR140" i="1"/>
  <c r="AO140" i="1"/>
  <c r="AZ140" i="1"/>
  <c r="X121" i="1"/>
  <c r="W121" i="1"/>
  <c r="Z121" i="1"/>
  <c r="A122" i="1"/>
  <c r="H122" i="1" s="1"/>
  <c r="B121" i="1"/>
  <c r="L121" i="1" s="1"/>
  <c r="E121" i="1"/>
  <c r="D120" i="1"/>
  <c r="C120" i="1"/>
  <c r="J121" i="2" l="1"/>
  <c r="F121" i="2"/>
  <c r="E121" i="2"/>
  <c r="M121" i="2"/>
  <c r="H121" i="2"/>
  <c r="D121" i="2"/>
  <c r="AH121" i="2" s="1"/>
  <c r="K121" i="2"/>
  <c r="I121" i="2"/>
  <c r="N121" i="2"/>
  <c r="AR121" i="2" s="1"/>
  <c r="C122" i="2"/>
  <c r="L121" i="2"/>
  <c r="AP121" i="2" s="1"/>
  <c r="O121" i="2"/>
  <c r="AS121" i="2" s="1"/>
  <c r="G121" i="2"/>
  <c r="AP120" i="2"/>
  <c r="AR120" i="2"/>
  <c r="W121" i="2"/>
  <c r="V121" i="2"/>
  <c r="AA121" i="2"/>
  <c r="S121" i="2"/>
  <c r="AD121" i="2"/>
  <c r="AC121" i="2"/>
  <c r="AB121" i="2"/>
  <c r="R122" i="2"/>
  <c r="Y121" i="2"/>
  <c r="U121" i="2"/>
  <c r="T121" i="2"/>
  <c r="AE121" i="2"/>
  <c r="X121" i="2"/>
  <c r="Z121" i="2"/>
  <c r="AI120" i="2"/>
  <c r="AN120" i="2"/>
  <c r="AK120" i="2"/>
  <c r="AJ120" i="2"/>
  <c r="AO120" i="2"/>
  <c r="J120" i="1"/>
  <c r="K120" i="1" s="1"/>
  <c r="O120" i="1" s="1"/>
  <c r="P120" i="1" s="1"/>
  <c r="Q120" i="1" s="1"/>
  <c r="R119" i="1"/>
  <c r="S119" i="1"/>
  <c r="G121" i="1"/>
  <c r="I121" i="1" s="1"/>
  <c r="V122" i="1"/>
  <c r="Y122" i="1"/>
  <c r="AY141" i="1"/>
  <c r="AU141" i="1"/>
  <c r="AT141" i="1"/>
  <c r="AS141" i="1"/>
  <c r="BB141" i="1"/>
  <c r="AO141" i="1"/>
  <c r="AK142" i="1"/>
  <c r="AN141" i="1"/>
  <c r="AV141" i="1"/>
  <c r="BC141" i="1"/>
  <c r="AQ141" i="1"/>
  <c r="AR141" i="1"/>
  <c r="AL141" i="1"/>
  <c r="BA141" i="1"/>
  <c r="BE141" i="1"/>
  <c r="AP141" i="1"/>
  <c r="AZ141" i="1"/>
  <c r="AX141" i="1"/>
  <c r="AW141" i="1"/>
  <c r="AM141" i="1"/>
  <c r="BD141" i="1"/>
  <c r="X122" i="1"/>
  <c r="W122" i="1"/>
  <c r="Z122" i="1"/>
  <c r="D121" i="1"/>
  <c r="C121" i="1"/>
  <c r="A123" i="1"/>
  <c r="H123" i="1" s="1"/>
  <c r="E122" i="1"/>
  <c r="B122" i="1"/>
  <c r="L122" i="1" s="1"/>
  <c r="AK121" i="2" l="1"/>
  <c r="AL121" i="2"/>
  <c r="K122" i="2"/>
  <c r="G122" i="2"/>
  <c r="N122" i="2"/>
  <c r="I122" i="2"/>
  <c r="H122" i="2"/>
  <c r="D122" i="2"/>
  <c r="C123" i="2"/>
  <c r="O122" i="2"/>
  <c r="M122" i="2"/>
  <c r="AQ122" i="2" s="1"/>
  <c r="F122" i="2"/>
  <c r="AJ122" i="2" s="1"/>
  <c r="J122" i="2"/>
  <c r="AN122" i="2" s="1"/>
  <c r="E122" i="2"/>
  <c r="AI122" i="2" s="1"/>
  <c r="L122" i="2"/>
  <c r="AP122" i="2" s="1"/>
  <c r="AQ121" i="2"/>
  <c r="R123" i="2"/>
  <c r="U122" i="2"/>
  <c r="T122" i="2"/>
  <c r="AA122" i="2"/>
  <c r="AC122" i="2"/>
  <c r="AB122" i="2"/>
  <c r="X122" i="2"/>
  <c r="V122" i="2"/>
  <c r="Z122" i="2"/>
  <c r="AD122" i="2"/>
  <c r="Y122" i="2"/>
  <c r="S122" i="2"/>
  <c r="AE122" i="2"/>
  <c r="W122" i="2"/>
  <c r="AI121" i="2"/>
  <c r="AO121" i="2"/>
  <c r="AJ121" i="2"/>
  <c r="AM121" i="2"/>
  <c r="AN121" i="2"/>
  <c r="J121" i="1"/>
  <c r="K121" i="1" s="1"/>
  <c r="O121" i="1" s="1"/>
  <c r="P121" i="1" s="1"/>
  <c r="Q121" i="1" s="1"/>
  <c r="R120" i="1"/>
  <c r="S120" i="1"/>
  <c r="G122" i="1"/>
  <c r="I122" i="1" s="1"/>
  <c r="BA142" i="1"/>
  <c r="AP142" i="1"/>
  <c r="AT142" i="1"/>
  <c r="AX142" i="1"/>
  <c r="AW142" i="1"/>
  <c r="AR142" i="1"/>
  <c r="AZ142" i="1"/>
  <c r="AY142" i="1"/>
  <c r="AQ142" i="1"/>
  <c r="AO142" i="1"/>
  <c r="AM142" i="1"/>
  <c r="AU142" i="1"/>
  <c r="AL142" i="1"/>
  <c r="BC142" i="1"/>
  <c r="BB142" i="1"/>
  <c r="AN142" i="1"/>
  <c r="AK143" i="1"/>
  <c r="BE142" i="1"/>
  <c r="AV142" i="1"/>
  <c r="AS142" i="1"/>
  <c r="BD142" i="1"/>
  <c r="V123" i="1"/>
  <c r="Y123" i="1"/>
  <c r="Z123" i="1" s="1"/>
  <c r="X123" i="1"/>
  <c r="W123" i="1"/>
  <c r="D122" i="1"/>
  <c r="C122" i="1"/>
  <c r="E123" i="1"/>
  <c r="B123" i="1"/>
  <c r="L123" i="1" s="1"/>
  <c r="A124" i="1"/>
  <c r="H124" i="1" s="1"/>
  <c r="AS122" i="2" l="1"/>
  <c r="E123" i="2"/>
  <c r="M123" i="2"/>
  <c r="O123" i="2"/>
  <c r="K123" i="2"/>
  <c r="C124" i="2"/>
  <c r="I123" i="2"/>
  <c r="D123" i="2"/>
  <c r="AH123" i="2" s="1"/>
  <c r="L123" i="2"/>
  <c r="AP123" i="2" s="1"/>
  <c r="N123" i="2"/>
  <c r="J123" i="2"/>
  <c r="H123" i="2"/>
  <c r="AL123" i="2" s="1"/>
  <c r="G123" i="2"/>
  <c r="AK123" i="2" s="1"/>
  <c r="F123" i="2"/>
  <c r="AJ123" i="2" s="1"/>
  <c r="AM122" i="2"/>
  <c r="AR122" i="2"/>
  <c r="AL122" i="2"/>
  <c r="AK122" i="2"/>
  <c r="V123" i="2"/>
  <c r="S123" i="2"/>
  <c r="T123" i="2"/>
  <c r="Z123" i="2"/>
  <c r="AB123" i="2"/>
  <c r="W123" i="2"/>
  <c r="AD123" i="2"/>
  <c r="AA123" i="2"/>
  <c r="R124" i="2"/>
  <c r="AC123" i="2"/>
  <c r="U123" i="2"/>
  <c r="Y123" i="2"/>
  <c r="AE123" i="2"/>
  <c r="X123" i="2"/>
  <c r="AO122" i="2"/>
  <c r="AH122" i="2"/>
  <c r="J122" i="1"/>
  <c r="K122" i="1" s="1"/>
  <c r="O122" i="1" s="1"/>
  <c r="R121" i="1"/>
  <c r="S121" i="1"/>
  <c r="G123" i="1"/>
  <c r="I123" i="1" s="1"/>
  <c r="V124" i="1"/>
  <c r="Y124" i="1"/>
  <c r="AX143" i="1"/>
  <c r="AY143" i="1"/>
  <c r="AW143" i="1"/>
  <c r="AT143" i="1"/>
  <c r="AV143" i="1"/>
  <c r="AS143" i="1"/>
  <c r="AO143" i="1"/>
  <c r="AR143" i="1"/>
  <c r="AQ143" i="1"/>
  <c r="AK144" i="1"/>
  <c r="AP143" i="1"/>
  <c r="BD143" i="1"/>
  <c r="AN143" i="1"/>
  <c r="AM143" i="1"/>
  <c r="BB143" i="1"/>
  <c r="AU143" i="1"/>
  <c r="AL143" i="1"/>
  <c r="BE143" i="1"/>
  <c r="AZ143" i="1"/>
  <c r="BC143" i="1"/>
  <c r="BA143" i="1"/>
  <c r="X124" i="1"/>
  <c r="W124" i="1"/>
  <c r="D123" i="1"/>
  <c r="C123" i="1"/>
  <c r="E124" i="1"/>
  <c r="B124" i="1"/>
  <c r="L124" i="1" s="1"/>
  <c r="A125" i="1"/>
  <c r="H125" i="1" s="1"/>
  <c r="AR123" i="2" l="1"/>
  <c r="AO123" i="2"/>
  <c r="AN123" i="2"/>
  <c r="AM123" i="2"/>
  <c r="K124" i="2"/>
  <c r="C125" i="2"/>
  <c r="J124" i="2"/>
  <c r="AN124" i="2" s="1"/>
  <c r="I124" i="2"/>
  <c r="F124" i="2"/>
  <c r="AJ124" i="2" s="1"/>
  <c r="H124" i="2"/>
  <c r="AL124" i="2" s="1"/>
  <c r="D124" i="2"/>
  <c r="AH124" i="2" s="1"/>
  <c r="N124" i="2"/>
  <c r="G124" i="2"/>
  <c r="AK124" i="2" s="1"/>
  <c r="O124" i="2"/>
  <c r="AS124" i="2" s="1"/>
  <c r="E124" i="2"/>
  <c r="AI124" i="2" s="1"/>
  <c r="M124" i="2"/>
  <c r="AQ124" i="2" s="1"/>
  <c r="L124" i="2"/>
  <c r="AP124" i="2" s="1"/>
  <c r="AC124" i="2"/>
  <c r="Y124" i="2"/>
  <c r="U124" i="2"/>
  <c r="Z124" i="2"/>
  <c r="W124" i="2"/>
  <c r="V124" i="2"/>
  <c r="S124" i="2"/>
  <c r="R125" i="2"/>
  <c r="AA124" i="2"/>
  <c r="AD124" i="2"/>
  <c r="AB124" i="2"/>
  <c r="X124" i="2"/>
  <c r="T124" i="2"/>
  <c r="AE124" i="2"/>
  <c r="AS123" i="2"/>
  <c r="AQ123" i="2"/>
  <c r="AI123" i="2"/>
  <c r="Z124" i="1"/>
  <c r="P122" i="1"/>
  <c r="Q122" i="1" s="1"/>
  <c r="J123" i="1"/>
  <c r="K123" i="1" s="1"/>
  <c r="O123" i="1" s="1"/>
  <c r="P123" i="1" s="1"/>
  <c r="Q123" i="1" s="1"/>
  <c r="G124" i="1"/>
  <c r="I124" i="1" s="1"/>
  <c r="V125" i="1"/>
  <c r="Y125" i="1"/>
  <c r="AO144" i="1"/>
  <c r="AW144" i="1"/>
  <c r="AK145" i="1"/>
  <c r="BE144" i="1"/>
  <c r="AS144" i="1"/>
  <c r="AX144" i="1"/>
  <c r="AQ144" i="1"/>
  <c r="AP144" i="1"/>
  <c r="AT144" i="1"/>
  <c r="BD144" i="1"/>
  <c r="AZ144" i="1"/>
  <c r="AN144" i="1"/>
  <c r="AM144" i="1"/>
  <c r="AL144" i="1"/>
  <c r="BC144" i="1"/>
  <c r="AR144" i="1"/>
  <c r="AU144" i="1"/>
  <c r="AV144" i="1"/>
  <c r="BB144" i="1"/>
  <c r="BA144" i="1"/>
  <c r="AY144" i="1"/>
  <c r="X125" i="1"/>
  <c r="W125" i="1"/>
  <c r="Z125" i="1"/>
  <c r="D124" i="1"/>
  <c r="C124" i="1"/>
  <c r="A126" i="1"/>
  <c r="H126" i="1" s="1"/>
  <c r="E125" i="1"/>
  <c r="B125" i="1"/>
  <c r="L125" i="1" s="1"/>
  <c r="T125" i="2" l="1"/>
  <c r="W125" i="2"/>
  <c r="Z125" i="2"/>
  <c r="AA125" i="2"/>
  <c r="AD125" i="2"/>
  <c r="U125" i="2"/>
  <c r="X125" i="2"/>
  <c r="AE125" i="2"/>
  <c r="V125" i="2"/>
  <c r="S125" i="2"/>
  <c r="AC125" i="2"/>
  <c r="R126" i="2"/>
  <c r="AB125" i="2"/>
  <c r="Y125" i="2"/>
  <c r="J125" i="2"/>
  <c r="AN125" i="2" s="1"/>
  <c r="F125" i="2"/>
  <c r="AJ125" i="2" s="1"/>
  <c r="D125" i="2"/>
  <c r="I125" i="2"/>
  <c r="N125" i="2"/>
  <c r="C126" i="2"/>
  <c r="M125" i="2"/>
  <c r="K125" i="2"/>
  <c r="AO125" i="2" s="1"/>
  <c r="H125" i="2"/>
  <c r="AL125" i="2" s="1"/>
  <c r="L125" i="2"/>
  <c r="AP125" i="2" s="1"/>
  <c r="G125" i="2"/>
  <c r="AK125" i="2" s="1"/>
  <c r="E125" i="2"/>
  <c r="AI125" i="2" s="1"/>
  <c r="O125" i="2"/>
  <c r="AS125" i="2" s="1"/>
  <c r="AO124" i="2"/>
  <c r="AM124" i="2"/>
  <c r="AR124" i="2"/>
  <c r="R122" i="1"/>
  <c r="S122" i="1"/>
  <c r="J124" i="1"/>
  <c r="K124" i="1" s="1"/>
  <c r="O124" i="1" s="1"/>
  <c r="P124" i="1" s="1"/>
  <c r="Q124" i="1" s="1"/>
  <c r="R123" i="1"/>
  <c r="S123" i="1"/>
  <c r="G125" i="1"/>
  <c r="I125" i="1" s="1"/>
  <c r="V126" i="1"/>
  <c r="X126" i="1" s="1"/>
  <c r="Y126" i="1"/>
  <c r="Z126" i="1" s="1"/>
  <c r="AN145" i="1"/>
  <c r="AM145" i="1"/>
  <c r="AL145" i="1"/>
  <c r="AZ145" i="1"/>
  <c r="AY145" i="1"/>
  <c r="AO145" i="1"/>
  <c r="AX145" i="1"/>
  <c r="BE145" i="1"/>
  <c r="BD145" i="1"/>
  <c r="AU145" i="1"/>
  <c r="AQ145" i="1"/>
  <c r="BB145" i="1"/>
  <c r="BA145" i="1"/>
  <c r="AK146" i="1"/>
  <c r="AW145" i="1"/>
  <c r="AV145" i="1"/>
  <c r="AT145" i="1"/>
  <c r="AS145" i="1"/>
  <c r="BC145" i="1"/>
  <c r="AR145" i="1"/>
  <c r="AP145" i="1"/>
  <c r="W126" i="1"/>
  <c r="D125" i="1"/>
  <c r="C125" i="1"/>
  <c r="A127" i="1"/>
  <c r="H127" i="1" s="1"/>
  <c r="B126" i="1"/>
  <c r="L126" i="1" s="1"/>
  <c r="E126" i="1"/>
  <c r="AQ125" i="2" l="1"/>
  <c r="G126" i="2"/>
  <c r="E126" i="2"/>
  <c r="D126" i="2"/>
  <c r="J126" i="2"/>
  <c r="F126" i="2"/>
  <c r="AJ126" i="2" s="1"/>
  <c r="C127" i="2"/>
  <c r="M126" i="2"/>
  <c r="L126" i="2"/>
  <c r="K126" i="2"/>
  <c r="AO126" i="2" s="1"/>
  <c r="O126" i="2"/>
  <c r="AS126" i="2" s="1"/>
  <c r="I126" i="2"/>
  <c r="N126" i="2"/>
  <c r="AR126" i="2" s="1"/>
  <c r="H126" i="2"/>
  <c r="AL126" i="2" s="1"/>
  <c r="X126" i="2"/>
  <c r="AB126" i="2"/>
  <c r="AE126" i="2"/>
  <c r="AD126" i="2"/>
  <c r="U126" i="2"/>
  <c r="W126" i="2"/>
  <c r="Z126" i="2"/>
  <c r="S126" i="2"/>
  <c r="AC126" i="2"/>
  <c r="T126" i="2"/>
  <c r="V126" i="2"/>
  <c r="R127" i="2"/>
  <c r="AA126" i="2"/>
  <c r="Y126" i="2"/>
  <c r="AR125" i="2"/>
  <c r="AM125" i="2"/>
  <c r="AH125" i="2"/>
  <c r="J125" i="1"/>
  <c r="K125" i="1" s="1"/>
  <c r="O125" i="1" s="1"/>
  <c r="P125" i="1" s="1"/>
  <c r="Q125" i="1" s="1"/>
  <c r="R124" i="1"/>
  <c r="S124" i="1"/>
  <c r="G126" i="1"/>
  <c r="I126" i="1" s="1"/>
  <c r="V127" i="1"/>
  <c r="Y127" i="1"/>
  <c r="AX146" i="1"/>
  <c r="BA146" i="1"/>
  <c r="AT146" i="1"/>
  <c r="AK147" i="1"/>
  <c r="AR146" i="1"/>
  <c r="AZ146" i="1"/>
  <c r="AW146" i="1"/>
  <c r="AU146" i="1"/>
  <c r="AP146" i="1"/>
  <c r="AM146" i="1"/>
  <c r="AN146" i="1"/>
  <c r="AV146" i="1"/>
  <c r="AS146" i="1"/>
  <c r="BC146" i="1"/>
  <c r="AQ146" i="1"/>
  <c r="AL146" i="1"/>
  <c r="BB146" i="1"/>
  <c r="BE146" i="1"/>
  <c r="AO146" i="1"/>
  <c r="BD146" i="1"/>
  <c r="AY146" i="1"/>
  <c r="W127" i="1"/>
  <c r="X127" i="1"/>
  <c r="Z127" i="1"/>
  <c r="C126" i="1"/>
  <c r="D126" i="1"/>
  <c r="B127" i="1"/>
  <c r="L127" i="1" s="1"/>
  <c r="A128" i="1"/>
  <c r="H128" i="1" s="1"/>
  <c r="E127" i="1"/>
  <c r="AM126" i="2" l="1"/>
  <c r="AQ126" i="2"/>
  <c r="AN126" i="2"/>
  <c r="AH126" i="2"/>
  <c r="AP126" i="2"/>
  <c r="AI126" i="2"/>
  <c r="AC127" i="2"/>
  <c r="AE127" i="2"/>
  <c r="AD127" i="2"/>
  <c r="Y127" i="2"/>
  <c r="R128" i="2"/>
  <c r="W127" i="2"/>
  <c r="S127" i="2"/>
  <c r="AA127" i="2"/>
  <c r="AB127" i="2"/>
  <c r="T127" i="2"/>
  <c r="Z127" i="2"/>
  <c r="U127" i="2"/>
  <c r="V127" i="2"/>
  <c r="X127" i="2"/>
  <c r="AK126" i="2"/>
  <c r="C128" i="2"/>
  <c r="M127" i="2"/>
  <c r="I127" i="2"/>
  <c r="AM127" i="2" s="1"/>
  <c r="N127" i="2"/>
  <c r="AR127" i="2" s="1"/>
  <c r="J127" i="2"/>
  <c r="AN127" i="2" s="1"/>
  <c r="H127" i="2"/>
  <c r="D127" i="2"/>
  <c r="AH127" i="2" s="1"/>
  <c r="O127" i="2"/>
  <c r="AS127" i="2" s="1"/>
  <c r="G127" i="2"/>
  <c r="AK127" i="2" s="1"/>
  <c r="F127" i="2"/>
  <c r="AJ127" i="2" s="1"/>
  <c r="L127" i="2"/>
  <c r="AP127" i="2" s="1"/>
  <c r="K127" i="2"/>
  <c r="AO127" i="2" s="1"/>
  <c r="E127" i="2"/>
  <c r="J126" i="1"/>
  <c r="K126" i="1" s="1"/>
  <c r="O126" i="1" s="1"/>
  <c r="P126" i="1" s="1"/>
  <c r="Q126" i="1" s="1"/>
  <c r="R125" i="1"/>
  <c r="S125" i="1"/>
  <c r="G127" i="1"/>
  <c r="I127" i="1" s="1"/>
  <c r="V128" i="1"/>
  <c r="Y128" i="1"/>
  <c r="AX147" i="1"/>
  <c r="BA147" i="1"/>
  <c r="BE147" i="1"/>
  <c r="AP147" i="1"/>
  <c r="AQ147" i="1"/>
  <c r="BC147" i="1"/>
  <c r="AL147" i="1"/>
  <c r="AY147" i="1"/>
  <c r="AK148" i="1"/>
  <c r="AR147" i="1"/>
  <c r="AW147" i="1"/>
  <c r="BB147" i="1"/>
  <c r="AZ147" i="1"/>
  <c r="AV147" i="1"/>
  <c r="AU147" i="1"/>
  <c r="AT147" i="1"/>
  <c r="AS147" i="1"/>
  <c r="AO147" i="1"/>
  <c r="BD147" i="1"/>
  <c r="AM147" i="1"/>
  <c r="AN147" i="1"/>
  <c r="W128" i="1"/>
  <c r="X128" i="1"/>
  <c r="Z128" i="1"/>
  <c r="E128" i="1"/>
  <c r="B128" i="1"/>
  <c r="L128" i="1" s="1"/>
  <c r="A129" i="1"/>
  <c r="H129" i="1" s="1"/>
  <c r="D127" i="1"/>
  <c r="C127" i="1"/>
  <c r="AL127" i="2" l="1"/>
  <c r="Y128" i="2"/>
  <c r="AB128" i="2"/>
  <c r="U128" i="2"/>
  <c r="T128" i="2"/>
  <c r="X128" i="2"/>
  <c r="AD128" i="2"/>
  <c r="W128" i="2"/>
  <c r="AA128" i="2"/>
  <c r="AC128" i="2"/>
  <c r="V128" i="2"/>
  <c r="S128" i="2"/>
  <c r="Z128" i="2"/>
  <c r="AE128" i="2"/>
  <c r="R129" i="2"/>
  <c r="O128" i="2"/>
  <c r="AS128" i="2" s="1"/>
  <c r="E128" i="2"/>
  <c r="K128" i="2"/>
  <c r="J128" i="2"/>
  <c r="AN128" i="2" s="1"/>
  <c r="I128" i="2"/>
  <c r="N128" i="2"/>
  <c r="M128" i="2"/>
  <c r="AQ128" i="2" s="1"/>
  <c r="F128" i="2"/>
  <c r="AJ128" i="2" s="1"/>
  <c r="C129" i="2"/>
  <c r="H128" i="2"/>
  <c r="AL128" i="2" s="1"/>
  <c r="G128" i="2"/>
  <c r="AK128" i="2" s="1"/>
  <c r="D128" i="2"/>
  <c r="AH128" i="2" s="1"/>
  <c r="L128" i="2"/>
  <c r="AP128" i="2" s="1"/>
  <c r="AQ127" i="2"/>
  <c r="AI127" i="2"/>
  <c r="J127" i="1"/>
  <c r="K127" i="1" s="1"/>
  <c r="O127" i="1" s="1"/>
  <c r="P127" i="1" s="1"/>
  <c r="Q127" i="1" s="1"/>
  <c r="R126" i="1"/>
  <c r="S126" i="1"/>
  <c r="G128" i="1"/>
  <c r="I128" i="1" s="1"/>
  <c r="V129" i="1"/>
  <c r="Y129" i="1"/>
  <c r="BB148" i="1"/>
  <c r="AZ148" i="1"/>
  <c r="AR148" i="1"/>
  <c r="AN148" i="1"/>
  <c r="AV148" i="1"/>
  <c r="AS148" i="1"/>
  <c r="AY148" i="1"/>
  <c r="AW148" i="1"/>
  <c r="AU148" i="1"/>
  <c r="AK149" i="1"/>
  <c r="AQ148" i="1"/>
  <c r="AP148" i="1"/>
  <c r="BD148" i="1"/>
  <c r="BA148" i="1"/>
  <c r="AO148" i="1"/>
  <c r="AM148" i="1"/>
  <c r="AT148" i="1"/>
  <c r="AL148" i="1"/>
  <c r="AX148" i="1"/>
  <c r="BE148" i="1"/>
  <c r="BC148" i="1"/>
  <c r="X129" i="1"/>
  <c r="W129" i="1"/>
  <c r="Z129" i="1"/>
  <c r="E129" i="1"/>
  <c r="A130" i="1"/>
  <c r="H130" i="1" s="1"/>
  <c r="B129" i="1"/>
  <c r="L129" i="1" s="1"/>
  <c r="D128" i="1"/>
  <c r="C128" i="1"/>
  <c r="AR128" i="2" l="1"/>
  <c r="Z129" i="2"/>
  <c r="S129" i="2"/>
  <c r="W129" i="2"/>
  <c r="AD129" i="2"/>
  <c r="AB129" i="2"/>
  <c r="U129" i="2"/>
  <c r="AA129" i="2"/>
  <c r="V129" i="2"/>
  <c r="X129" i="2"/>
  <c r="R130" i="2"/>
  <c r="AE129" i="2"/>
  <c r="Y129" i="2"/>
  <c r="AC129" i="2"/>
  <c r="T129" i="2"/>
  <c r="K129" i="2"/>
  <c r="AO129" i="2" s="1"/>
  <c r="M129" i="2"/>
  <c r="L129" i="2"/>
  <c r="J129" i="2"/>
  <c r="E129" i="2"/>
  <c r="I129" i="2"/>
  <c r="C130" i="2"/>
  <c r="H129" i="2"/>
  <c r="AL129" i="2" s="1"/>
  <c r="D129" i="2"/>
  <c r="AH129" i="2" s="1"/>
  <c r="F129" i="2"/>
  <c r="AJ129" i="2" s="1"/>
  <c r="O129" i="2"/>
  <c r="AS129" i="2" s="1"/>
  <c r="N129" i="2"/>
  <c r="G129" i="2"/>
  <c r="AK129" i="2" s="1"/>
  <c r="AM128" i="2"/>
  <c r="AO128" i="2"/>
  <c r="AI128" i="2"/>
  <c r="J128" i="1"/>
  <c r="K128" i="1" s="1"/>
  <c r="O128" i="1" s="1"/>
  <c r="P128" i="1" s="1"/>
  <c r="Q128" i="1" s="1"/>
  <c r="R127" i="1"/>
  <c r="S127" i="1"/>
  <c r="G129" i="1"/>
  <c r="I129" i="1" s="1"/>
  <c r="V130" i="1"/>
  <c r="Y130" i="1"/>
  <c r="BC149" i="1"/>
  <c r="AX149" i="1"/>
  <c r="AT149" i="1"/>
  <c r="AR149" i="1"/>
  <c r="AK150" i="1"/>
  <c r="AL149" i="1"/>
  <c r="BD149" i="1"/>
  <c r="AN149" i="1"/>
  <c r="AU149" i="1"/>
  <c r="BA149" i="1"/>
  <c r="BB149" i="1"/>
  <c r="AY149" i="1"/>
  <c r="AZ149" i="1"/>
  <c r="AP149" i="1"/>
  <c r="BE149" i="1"/>
  <c r="AW149" i="1"/>
  <c r="AV149" i="1"/>
  <c r="AQ149" i="1"/>
  <c r="AS149" i="1"/>
  <c r="AO149" i="1"/>
  <c r="AM149" i="1"/>
  <c r="W130" i="1"/>
  <c r="X130" i="1"/>
  <c r="Z130" i="1"/>
  <c r="C129" i="1"/>
  <c r="D129" i="1"/>
  <c r="A131" i="1"/>
  <c r="H131" i="1" s="1"/>
  <c r="E130" i="1"/>
  <c r="B130" i="1"/>
  <c r="L130" i="1" s="1"/>
  <c r="AC130" i="2" l="1"/>
  <c r="R131" i="2"/>
  <c r="V130" i="2"/>
  <c r="U130" i="2"/>
  <c r="T130" i="2"/>
  <c r="AD130" i="2"/>
  <c r="AB130" i="2"/>
  <c r="Y130" i="2"/>
  <c r="S130" i="2"/>
  <c r="AE130" i="2"/>
  <c r="AA130" i="2"/>
  <c r="Z130" i="2"/>
  <c r="W130" i="2"/>
  <c r="X130" i="2"/>
  <c r="J130" i="2"/>
  <c r="AN130" i="2" s="1"/>
  <c r="O130" i="2"/>
  <c r="AS130" i="2" s="1"/>
  <c r="H130" i="2"/>
  <c r="E130" i="2"/>
  <c r="L130" i="2"/>
  <c r="I130" i="2"/>
  <c r="G130" i="2"/>
  <c r="AK130" i="2" s="1"/>
  <c r="K130" i="2"/>
  <c r="N130" i="2"/>
  <c r="AR130" i="2" s="1"/>
  <c r="M130" i="2"/>
  <c r="AQ130" i="2" s="1"/>
  <c r="D130" i="2"/>
  <c r="AH130" i="2" s="1"/>
  <c r="C131" i="2"/>
  <c r="F130" i="2"/>
  <c r="AJ130" i="2" s="1"/>
  <c r="AM129" i="2"/>
  <c r="AI129" i="2"/>
  <c r="AN129" i="2"/>
  <c r="AP129" i="2"/>
  <c r="AR129" i="2"/>
  <c r="AQ129" i="2"/>
  <c r="J129" i="1"/>
  <c r="K129" i="1" s="1"/>
  <c r="O129" i="1" s="1"/>
  <c r="P129" i="1" s="1"/>
  <c r="Q129" i="1" s="1"/>
  <c r="R128" i="1"/>
  <c r="S128" i="1"/>
  <c r="G130" i="1"/>
  <c r="I130" i="1" s="1"/>
  <c r="V131" i="1"/>
  <c r="Y131" i="1"/>
  <c r="AT150" i="1"/>
  <c r="AQ150" i="1"/>
  <c r="BA150" i="1"/>
  <c r="AS150" i="1"/>
  <c r="AW150" i="1"/>
  <c r="AL150" i="1"/>
  <c r="AP150" i="1"/>
  <c r="AX150" i="1"/>
  <c r="BC150" i="1"/>
  <c r="AM150" i="1"/>
  <c r="AR150" i="1"/>
  <c r="AK151" i="1"/>
  <c r="AV150" i="1"/>
  <c r="AU150" i="1"/>
  <c r="BE150" i="1"/>
  <c r="AO150" i="1"/>
  <c r="AY150" i="1"/>
  <c r="BD150" i="1"/>
  <c r="AN150" i="1"/>
  <c r="AZ150" i="1"/>
  <c r="BB150" i="1"/>
  <c r="X131" i="1"/>
  <c r="W131" i="1"/>
  <c r="Z131" i="1"/>
  <c r="D130" i="1"/>
  <c r="C130" i="1"/>
  <c r="A132" i="1"/>
  <c r="H132" i="1" s="1"/>
  <c r="E131" i="1"/>
  <c r="B131" i="1"/>
  <c r="L131" i="1" s="1"/>
  <c r="AO130" i="2" l="1"/>
  <c r="AM130" i="2"/>
  <c r="AP130" i="2"/>
  <c r="D131" i="2"/>
  <c r="AH131" i="2" s="1"/>
  <c r="C132" i="2"/>
  <c r="F131" i="2"/>
  <c r="AJ131" i="2" s="1"/>
  <c r="E131" i="2"/>
  <c r="H131" i="2"/>
  <c r="G131" i="2"/>
  <c r="AK131" i="2" s="1"/>
  <c r="K131" i="2"/>
  <c r="AO131" i="2" s="1"/>
  <c r="L131" i="2"/>
  <c r="AP131" i="2" s="1"/>
  <c r="I131" i="2"/>
  <c r="AM131" i="2" s="1"/>
  <c r="O131" i="2"/>
  <c r="AS131" i="2" s="1"/>
  <c r="N131" i="2"/>
  <c r="AR131" i="2" s="1"/>
  <c r="J131" i="2"/>
  <c r="AN131" i="2" s="1"/>
  <c r="M131" i="2"/>
  <c r="AQ131" i="2" s="1"/>
  <c r="AI130" i="2"/>
  <c r="V131" i="2"/>
  <c r="S131" i="2"/>
  <c r="U131" i="2"/>
  <c r="Y131" i="2"/>
  <c r="AA131" i="2"/>
  <c r="Z131" i="2"/>
  <c r="R132" i="2"/>
  <c r="AC131" i="2"/>
  <c r="AD131" i="2"/>
  <c r="X131" i="2"/>
  <c r="T131" i="2"/>
  <c r="AE131" i="2"/>
  <c r="AB131" i="2"/>
  <c r="W131" i="2"/>
  <c r="AL130" i="2"/>
  <c r="J130" i="1"/>
  <c r="K130" i="1" s="1"/>
  <c r="O130" i="1" s="1"/>
  <c r="P130" i="1" s="1"/>
  <c r="Q130" i="1" s="1"/>
  <c r="R129" i="1"/>
  <c r="S129" i="1"/>
  <c r="G131" i="1"/>
  <c r="I131" i="1" s="1"/>
  <c r="V132" i="1"/>
  <c r="Y132" i="1"/>
  <c r="AP151" i="1"/>
  <c r="AO151" i="1"/>
  <c r="BA151" i="1"/>
  <c r="AZ151" i="1"/>
  <c r="AY151" i="1"/>
  <c r="AX151" i="1"/>
  <c r="BD151" i="1"/>
  <c r="BB151" i="1"/>
  <c r="AQ151" i="1"/>
  <c r="AK152" i="1"/>
  <c r="AV151" i="1"/>
  <c r="AU151" i="1"/>
  <c r="AW151" i="1"/>
  <c r="AR151" i="1"/>
  <c r="AL151" i="1"/>
  <c r="AN151" i="1"/>
  <c r="AM151" i="1"/>
  <c r="BC151" i="1"/>
  <c r="AT151" i="1"/>
  <c r="BE151" i="1"/>
  <c r="AS151" i="1"/>
  <c r="X132" i="1"/>
  <c r="W132" i="1"/>
  <c r="Z132" i="1"/>
  <c r="D131" i="1"/>
  <c r="C131" i="1"/>
  <c r="A133" i="1"/>
  <c r="H133" i="1" s="1"/>
  <c r="E132" i="1"/>
  <c r="B132" i="1"/>
  <c r="L132" i="1" s="1"/>
  <c r="L132" i="2" l="1"/>
  <c r="H132" i="2"/>
  <c r="J132" i="2"/>
  <c r="N132" i="2"/>
  <c r="K132" i="2"/>
  <c r="D132" i="2"/>
  <c r="E132" i="2"/>
  <c r="AI132" i="2" s="1"/>
  <c r="G132" i="2"/>
  <c r="AK132" i="2" s="1"/>
  <c r="M132" i="2"/>
  <c r="AQ132" i="2" s="1"/>
  <c r="O132" i="2"/>
  <c r="AS132" i="2" s="1"/>
  <c r="I132" i="2"/>
  <c r="AM132" i="2" s="1"/>
  <c r="F132" i="2"/>
  <c r="AJ132" i="2" s="1"/>
  <c r="C133" i="2"/>
  <c r="AL131" i="2"/>
  <c r="AI131" i="2"/>
  <c r="AC132" i="2"/>
  <c r="AE132" i="2"/>
  <c r="V132" i="2"/>
  <c r="R133" i="2"/>
  <c r="AB132" i="2"/>
  <c r="X132" i="2"/>
  <c r="Z132" i="2"/>
  <c r="AD132" i="2"/>
  <c r="T132" i="2"/>
  <c r="S132" i="2"/>
  <c r="Y132" i="2"/>
  <c r="AA132" i="2"/>
  <c r="U132" i="2"/>
  <c r="W132" i="2"/>
  <c r="J131" i="1"/>
  <c r="K131" i="1" s="1"/>
  <c r="O131" i="1" s="1"/>
  <c r="P131" i="1" s="1"/>
  <c r="Q131" i="1" s="1"/>
  <c r="R130" i="1"/>
  <c r="S130" i="1"/>
  <c r="G132" i="1"/>
  <c r="I132" i="1" s="1"/>
  <c r="V133" i="1"/>
  <c r="Y133" i="1"/>
  <c r="AY152" i="1"/>
  <c r="AM152" i="1"/>
  <c r="AL152" i="1"/>
  <c r="AV152" i="1"/>
  <c r="AK153" i="1"/>
  <c r="BA152" i="1"/>
  <c r="AZ152" i="1"/>
  <c r="AW152" i="1"/>
  <c r="BE152" i="1"/>
  <c r="AO152" i="1"/>
  <c r="AU152" i="1"/>
  <c r="AT152" i="1"/>
  <c r="AS152" i="1"/>
  <c r="AR152" i="1"/>
  <c r="AN152" i="1"/>
  <c r="BD152" i="1"/>
  <c r="BC152" i="1"/>
  <c r="AQ152" i="1"/>
  <c r="AX152" i="1"/>
  <c r="AP152" i="1"/>
  <c r="BB152" i="1"/>
  <c r="W133" i="1"/>
  <c r="X133" i="1"/>
  <c r="Z133" i="1"/>
  <c r="D132" i="1"/>
  <c r="C132" i="1"/>
  <c r="A134" i="1"/>
  <c r="H134" i="1" s="1"/>
  <c r="E133" i="1"/>
  <c r="B133" i="1"/>
  <c r="L133" i="1" s="1"/>
  <c r="AH132" i="2" l="1"/>
  <c r="AO132" i="2"/>
  <c r="N133" i="2"/>
  <c r="G133" i="2"/>
  <c r="C134" i="2"/>
  <c r="F133" i="2"/>
  <c r="E133" i="2"/>
  <c r="AI133" i="2" s="1"/>
  <c r="K133" i="2"/>
  <c r="AO133" i="2" s="1"/>
  <c r="O133" i="2"/>
  <c r="AS133" i="2" s="1"/>
  <c r="M133" i="2"/>
  <c r="AQ133" i="2" s="1"/>
  <c r="I133" i="2"/>
  <c r="AM133" i="2" s="1"/>
  <c r="L133" i="2"/>
  <c r="AP133" i="2" s="1"/>
  <c r="D133" i="2"/>
  <c r="AH133" i="2" s="1"/>
  <c r="J133" i="2"/>
  <c r="AN133" i="2" s="1"/>
  <c r="H133" i="2"/>
  <c r="AL133" i="2" s="1"/>
  <c r="AR132" i="2"/>
  <c r="R134" i="2"/>
  <c r="AB133" i="2"/>
  <c r="S133" i="2"/>
  <c r="T133" i="2"/>
  <c r="Y133" i="2"/>
  <c r="AE133" i="2"/>
  <c r="AD133" i="2"/>
  <c r="AA133" i="2"/>
  <c r="Z133" i="2"/>
  <c r="AC133" i="2"/>
  <c r="V133" i="2"/>
  <c r="X133" i="2"/>
  <c r="W133" i="2"/>
  <c r="U133" i="2"/>
  <c r="AN132" i="2"/>
  <c r="AL132" i="2"/>
  <c r="AP132" i="2"/>
  <c r="J132" i="1"/>
  <c r="K132" i="1" s="1"/>
  <c r="O132" i="1" s="1"/>
  <c r="P132" i="1" s="1"/>
  <c r="Q132" i="1" s="1"/>
  <c r="R131" i="1"/>
  <c r="S131" i="1"/>
  <c r="G133" i="1"/>
  <c r="I133" i="1" s="1"/>
  <c r="V134" i="1"/>
  <c r="Y134" i="1"/>
  <c r="AZ153" i="1"/>
  <c r="BC153" i="1"/>
  <c r="AX153" i="1"/>
  <c r="AV153" i="1"/>
  <c r="BA153" i="1"/>
  <c r="AK154" i="1"/>
  <c r="AO153" i="1"/>
  <c r="AN153" i="1"/>
  <c r="AT153" i="1"/>
  <c r="AS153" i="1"/>
  <c r="AQ153" i="1"/>
  <c r="AP153" i="1"/>
  <c r="AU153" i="1"/>
  <c r="AW153" i="1"/>
  <c r="AR153" i="1"/>
  <c r="AM153" i="1"/>
  <c r="AY153" i="1"/>
  <c r="BE153" i="1"/>
  <c r="BB153" i="1"/>
  <c r="AL153" i="1"/>
  <c r="BD153" i="1"/>
  <c r="X134" i="1"/>
  <c r="W134" i="1"/>
  <c r="Z134" i="1"/>
  <c r="D133" i="1"/>
  <c r="C133" i="1"/>
  <c r="A135" i="1"/>
  <c r="H135" i="1" s="1"/>
  <c r="B134" i="1"/>
  <c r="L134" i="1" s="1"/>
  <c r="E134" i="1"/>
  <c r="N134" i="2" l="1"/>
  <c r="H134" i="2"/>
  <c r="G134" i="2"/>
  <c r="D134" i="2"/>
  <c r="M134" i="2"/>
  <c r="F134" i="2"/>
  <c r="E134" i="2"/>
  <c r="AI134" i="2" s="1"/>
  <c r="C135" i="2"/>
  <c r="L134" i="2"/>
  <c r="AP134" i="2" s="1"/>
  <c r="I134" i="2"/>
  <c r="J134" i="2"/>
  <c r="AN134" i="2" s="1"/>
  <c r="O134" i="2"/>
  <c r="K134" i="2"/>
  <c r="AO134" i="2" s="1"/>
  <c r="AK133" i="2"/>
  <c r="AR133" i="2"/>
  <c r="AJ133" i="2"/>
  <c r="T134" i="2"/>
  <c r="Z134" i="2"/>
  <c r="R135" i="2"/>
  <c r="AE134" i="2"/>
  <c r="Y134" i="2"/>
  <c r="U134" i="2"/>
  <c r="AA134" i="2"/>
  <c r="W134" i="2"/>
  <c r="V134" i="2"/>
  <c r="S134" i="2"/>
  <c r="X134" i="2"/>
  <c r="AC134" i="2"/>
  <c r="AB134" i="2"/>
  <c r="AD134" i="2"/>
  <c r="J133" i="1"/>
  <c r="K133" i="1" s="1"/>
  <c r="O133" i="1" s="1"/>
  <c r="P133" i="1" s="1"/>
  <c r="Q133" i="1" s="1"/>
  <c r="R132" i="1"/>
  <c r="S132" i="1"/>
  <c r="G134" i="1"/>
  <c r="I134" i="1" s="1"/>
  <c r="V135" i="1"/>
  <c r="Y135" i="1"/>
  <c r="BD154" i="1"/>
  <c r="AT154" i="1"/>
  <c r="AQ154" i="1"/>
  <c r="AP154" i="1"/>
  <c r="BB154" i="1"/>
  <c r="AL154" i="1"/>
  <c r="AU154" i="1"/>
  <c r="AZ154" i="1"/>
  <c r="AY154" i="1"/>
  <c r="BC154" i="1"/>
  <c r="AK155" i="1"/>
  <c r="AR154" i="1"/>
  <c r="AO154" i="1"/>
  <c r="AS154" i="1"/>
  <c r="AX154" i="1"/>
  <c r="BA154" i="1"/>
  <c r="AV154" i="1"/>
  <c r="AN154" i="1"/>
  <c r="AM154" i="1"/>
  <c r="AW154" i="1"/>
  <c r="BE154" i="1"/>
  <c r="X135" i="1"/>
  <c r="W135" i="1"/>
  <c r="Z135" i="1"/>
  <c r="C134" i="1"/>
  <c r="D134" i="1"/>
  <c r="A136" i="1"/>
  <c r="H136" i="1" s="1"/>
  <c r="E135" i="1"/>
  <c r="B135" i="1"/>
  <c r="L135" i="1" s="1"/>
  <c r="AM134" i="2" l="1"/>
  <c r="AJ134" i="2"/>
  <c r="AQ134" i="2"/>
  <c r="N135" i="2"/>
  <c r="J135" i="2"/>
  <c r="E135" i="2"/>
  <c r="AI135" i="2" s="1"/>
  <c r="O135" i="2"/>
  <c r="H135" i="2"/>
  <c r="C136" i="2"/>
  <c r="G135" i="2"/>
  <c r="AK135" i="2" s="1"/>
  <c r="D135" i="2"/>
  <c r="M135" i="2"/>
  <c r="AQ135" i="2" s="1"/>
  <c r="I135" i="2"/>
  <c r="AM135" i="2" s="1"/>
  <c r="F135" i="2"/>
  <c r="AJ135" i="2" s="1"/>
  <c r="L135" i="2"/>
  <c r="AP135" i="2" s="1"/>
  <c r="K135" i="2"/>
  <c r="AO135" i="2" s="1"/>
  <c r="AD135" i="2"/>
  <c r="AA135" i="2"/>
  <c r="V135" i="2"/>
  <c r="U135" i="2"/>
  <c r="T135" i="2"/>
  <c r="AC135" i="2"/>
  <c r="AB135" i="2"/>
  <c r="X135" i="2"/>
  <c r="W135" i="2"/>
  <c r="AE135" i="2"/>
  <c r="Z135" i="2"/>
  <c r="Y135" i="2"/>
  <c r="R136" i="2"/>
  <c r="S135" i="2"/>
  <c r="AK134" i="2"/>
  <c r="AL134" i="2"/>
  <c r="AS134" i="2"/>
  <c r="AH134" i="2"/>
  <c r="AR134" i="2"/>
  <c r="J134" i="1"/>
  <c r="K134" i="1" s="1"/>
  <c r="O134" i="1" s="1"/>
  <c r="P134" i="1" s="1"/>
  <c r="Q134" i="1" s="1"/>
  <c r="R133" i="1"/>
  <c r="S133" i="1"/>
  <c r="G135" i="1"/>
  <c r="I135" i="1" s="1"/>
  <c r="V136" i="1"/>
  <c r="Y136" i="1"/>
  <c r="BE155" i="1"/>
  <c r="AX155" i="1"/>
  <c r="BD155" i="1"/>
  <c r="BC155" i="1"/>
  <c r="BA155" i="1"/>
  <c r="AT155" i="1"/>
  <c r="AR155" i="1"/>
  <c r="AN155" i="1"/>
  <c r="AM155" i="1"/>
  <c r="AP155" i="1"/>
  <c r="AW155" i="1"/>
  <c r="BB155" i="1"/>
  <c r="AU155" i="1"/>
  <c r="AZ155" i="1"/>
  <c r="AY155" i="1"/>
  <c r="AL155" i="1"/>
  <c r="AS155" i="1"/>
  <c r="AV155" i="1"/>
  <c r="AQ155" i="1"/>
  <c r="AO155" i="1"/>
  <c r="AK156" i="1"/>
  <c r="X136" i="1"/>
  <c r="W136" i="1"/>
  <c r="Z136" i="1"/>
  <c r="D135" i="1"/>
  <c r="C135" i="1"/>
  <c r="A137" i="1"/>
  <c r="H137" i="1" s="1"/>
  <c r="E136" i="1"/>
  <c r="B136" i="1"/>
  <c r="L136" i="1" s="1"/>
  <c r="AL135" i="2" l="1"/>
  <c r="AN135" i="2"/>
  <c r="AS135" i="2"/>
  <c r="AR135" i="2"/>
  <c r="AA136" i="2"/>
  <c r="T136" i="2"/>
  <c r="U136" i="2"/>
  <c r="Z136" i="2"/>
  <c r="AE136" i="2"/>
  <c r="AC136" i="2"/>
  <c r="AB136" i="2"/>
  <c r="AD136" i="2"/>
  <c r="R137" i="2"/>
  <c r="Y136" i="2"/>
  <c r="V136" i="2"/>
  <c r="S136" i="2"/>
  <c r="X136" i="2"/>
  <c r="W136" i="2"/>
  <c r="AH135" i="2"/>
  <c r="L136" i="2"/>
  <c r="AP136" i="2" s="1"/>
  <c r="D136" i="2"/>
  <c r="G136" i="2"/>
  <c r="J136" i="2"/>
  <c r="K136" i="2"/>
  <c r="AO136" i="2" s="1"/>
  <c r="O136" i="2"/>
  <c r="H136" i="2"/>
  <c r="AL136" i="2" s="1"/>
  <c r="M136" i="2"/>
  <c r="AQ136" i="2" s="1"/>
  <c r="I136" i="2"/>
  <c r="E136" i="2"/>
  <c r="AI136" i="2" s="1"/>
  <c r="C137" i="2"/>
  <c r="F136" i="2"/>
  <c r="AJ136" i="2" s="1"/>
  <c r="N136" i="2"/>
  <c r="AR136" i="2" s="1"/>
  <c r="J135" i="1"/>
  <c r="K135" i="1" s="1"/>
  <c r="O135" i="1" s="1"/>
  <c r="P135" i="1" s="1"/>
  <c r="Q135" i="1" s="1"/>
  <c r="R134" i="1"/>
  <c r="S134" i="1"/>
  <c r="G136" i="1"/>
  <c r="I136" i="1" s="1"/>
  <c r="V137" i="1"/>
  <c r="Y137" i="1"/>
  <c r="AV156" i="1"/>
  <c r="AU156" i="1"/>
  <c r="AT156" i="1"/>
  <c r="AS156" i="1"/>
  <c r="BA156" i="1"/>
  <c r="AX156" i="1"/>
  <c r="AZ156" i="1"/>
  <c r="BE156" i="1"/>
  <c r="AO156" i="1"/>
  <c r="BC156" i="1"/>
  <c r="AW156" i="1"/>
  <c r="AN156" i="1"/>
  <c r="BD156" i="1"/>
  <c r="AK157" i="1"/>
  <c r="AY156" i="1"/>
  <c r="AR156" i="1"/>
  <c r="AQ156" i="1"/>
  <c r="AP156" i="1"/>
  <c r="AM156" i="1"/>
  <c r="BB156" i="1"/>
  <c r="AL156" i="1"/>
  <c r="X137" i="1"/>
  <c r="Z137" i="1"/>
  <c r="W137" i="1"/>
  <c r="E137" i="1"/>
  <c r="A138" i="1"/>
  <c r="H138" i="1" s="1"/>
  <c r="B137" i="1"/>
  <c r="L137" i="1" s="1"/>
  <c r="D136" i="1"/>
  <c r="C136" i="1"/>
  <c r="AK136" i="2" l="1"/>
  <c r="F137" i="2"/>
  <c r="L137" i="2"/>
  <c r="E137" i="2"/>
  <c r="H137" i="2"/>
  <c r="AL137" i="2" s="1"/>
  <c r="G137" i="2"/>
  <c r="AK137" i="2" s="1"/>
  <c r="C138" i="2"/>
  <c r="I137" i="2"/>
  <c r="M137" i="2"/>
  <c r="AQ137" i="2" s="1"/>
  <c r="D137" i="2"/>
  <c r="AH137" i="2" s="1"/>
  <c r="O137" i="2"/>
  <c r="AS137" i="2" s="1"/>
  <c r="N137" i="2"/>
  <c r="AR137" i="2" s="1"/>
  <c r="K137" i="2"/>
  <c r="J137" i="2"/>
  <c r="AN137" i="2" s="1"/>
  <c r="AH136" i="2"/>
  <c r="Z137" i="2"/>
  <c r="V137" i="2"/>
  <c r="AE137" i="2"/>
  <c r="W137" i="2"/>
  <c r="U137" i="2"/>
  <c r="R138" i="2"/>
  <c r="AB137" i="2"/>
  <c r="AD137" i="2"/>
  <c r="T137" i="2"/>
  <c r="S137" i="2"/>
  <c r="X137" i="2"/>
  <c r="Y137" i="2"/>
  <c r="AC137" i="2"/>
  <c r="AA137" i="2"/>
  <c r="AS136" i="2"/>
  <c r="AN136" i="2"/>
  <c r="AM136" i="2"/>
  <c r="J136" i="1"/>
  <c r="K136" i="1" s="1"/>
  <c r="O136" i="1" s="1"/>
  <c r="P136" i="1" s="1"/>
  <c r="Q136" i="1" s="1"/>
  <c r="R135" i="1"/>
  <c r="S135" i="1"/>
  <c r="G137" i="1"/>
  <c r="I137" i="1" s="1"/>
  <c r="AT157" i="1"/>
  <c r="AQ157" i="1"/>
  <c r="AP157" i="1"/>
  <c r="AN157" i="1"/>
  <c r="AM157" i="1"/>
  <c r="AS157" i="1"/>
  <c r="AY157" i="1"/>
  <c r="AU157" i="1"/>
  <c r="AR157" i="1"/>
  <c r="AO157" i="1"/>
  <c r="BD157" i="1"/>
  <c r="BB157" i="1"/>
  <c r="AL157" i="1"/>
  <c r="AK158" i="1"/>
  <c r="AX157" i="1"/>
  <c r="AW157" i="1"/>
  <c r="AV157" i="1"/>
  <c r="BC157" i="1"/>
  <c r="BE157" i="1"/>
  <c r="BA157" i="1"/>
  <c r="AZ157" i="1"/>
  <c r="V138" i="1"/>
  <c r="W138" i="1" s="1"/>
  <c r="Y138" i="1"/>
  <c r="Z138" i="1" s="1"/>
  <c r="C137" i="1"/>
  <c r="D137" i="1"/>
  <c r="E138" i="1"/>
  <c r="B138" i="1"/>
  <c r="L138" i="1" s="1"/>
  <c r="A139" i="1"/>
  <c r="H139" i="1" s="1"/>
  <c r="AO137" i="2" l="1"/>
  <c r="AI137" i="2"/>
  <c r="AP137" i="2"/>
  <c r="AM137" i="2"/>
  <c r="AJ137" i="2"/>
  <c r="O138" i="2"/>
  <c r="C139" i="2"/>
  <c r="I138" i="2"/>
  <c r="F138" i="2"/>
  <c r="M138" i="2"/>
  <c r="L138" i="2"/>
  <c r="AP138" i="2" s="1"/>
  <c r="H138" i="2"/>
  <c r="G138" i="2"/>
  <c r="AK138" i="2" s="1"/>
  <c r="K138" i="2"/>
  <c r="AO138" i="2" s="1"/>
  <c r="E138" i="2"/>
  <c r="AI138" i="2" s="1"/>
  <c r="J138" i="2"/>
  <c r="AN138" i="2" s="1"/>
  <c r="N138" i="2"/>
  <c r="D138" i="2"/>
  <c r="AC138" i="2"/>
  <c r="V138" i="2"/>
  <c r="AA138" i="2"/>
  <c r="Y138" i="2"/>
  <c r="S138" i="2"/>
  <c r="R139" i="2"/>
  <c r="AE138" i="2"/>
  <c r="AD138" i="2"/>
  <c r="Z138" i="2"/>
  <c r="X138" i="2"/>
  <c r="AB138" i="2"/>
  <c r="T138" i="2"/>
  <c r="U138" i="2"/>
  <c r="W138" i="2"/>
  <c r="J137" i="1"/>
  <c r="K137" i="1" s="1"/>
  <c r="O137" i="1" s="1"/>
  <c r="P137" i="1" s="1"/>
  <c r="Q137" i="1" s="1"/>
  <c r="R136" i="1"/>
  <c r="S136" i="1"/>
  <c r="X138" i="1"/>
  <c r="G138" i="1"/>
  <c r="I138" i="1" s="1"/>
  <c r="V139" i="1"/>
  <c r="Y139" i="1"/>
  <c r="Z139" i="1" s="1"/>
  <c r="AY158" i="1"/>
  <c r="AT158" i="1"/>
  <c r="BE158" i="1"/>
  <c r="AN158" i="1"/>
  <c r="AL158" i="1"/>
  <c r="AV158" i="1"/>
  <c r="AQ158" i="1"/>
  <c r="AO158" i="1"/>
  <c r="BC158" i="1"/>
  <c r="AM158" i="1"/>
  <c r="AZ158" i="1"/>
  <c r="AR158" i="1"/>
  <c r="BD158" i="1"/>
  <c r="BA158" i="1"/>
  <c r="AP158" i="1"/>
  <c r="AX158" i="1"/>
  <c r="BB158" i="1"/>
  <c r="AK159" i="1"/>
  <c r="AW158" i="1"/>
  <c r="AU158" i="1"/>
  <c r="AS158" i="1"/>
  <c r="W139" i="1"/>
  <c r="X139" i="1"/>
  <c r="E139" i="1"/>
  <c r="B139" i="1"/>
  <c r="L139" i="1" s="1"/>
  <c r="A140" i="1"/>
  <c r="H140" i="1" s="1"/>
  <c r="D138" i="1"/>
  <c r="C138" i="1"/>
  <c r="AS138" i="2" l="1"/>
  <c r="W139" i="2"/>
  <c r="R140" i="2"/>
  <c r="AB139" i="2"/>
  <c r="V139" i="2"/>
  <c r="S139" i="2"/>
  <c r="AE139" i="2"/>
  <c r="Z139" i="2"/>
  <c r="U139" i="2"/>
  <c r="Y139" i="2"/>
  <c r="AA139" i="2"/>
  <c r="X139" i="2"/>
  <c r="AD139" i="2"/>
  <c r="T139" i="2"/>
  <c r="AC139" i="2"/>
  <c r="AQ138" i="2"/>
  <c r="AM138" i="2"/>
  <c r="AH138" i="2"/>
  <c r="AL138" i="2"/>
  <c r="AJ138" i="2"/>
  <c r="F139" i="2"/>
  <c r="I139" i="2"/>
  <c r="K139" i="2"/>
  <c r="G139" i="2"/>
  <c r="AK139" i="2" s="1"/>
  <c r="D139" i="2"/>
  <c r="AH139" i="2" s="1"/>
  <c r="N139" i="2"/>
  <c r="E139" i="2"/>
  <c r="J139" i="2"/>
  <c r="AN139" i="2" s="1"/>
  <c r="O139" i="2"/>
  <c r="AS139" i="2" s="1"/>
  <c r="H139" i="2"/>
  <c r="AL139" i="2" s="1"/>
  <c r="C140" i="2"/>
  <c r="M139" i="2"/>
  <c r="AQ139" i="2" s="1"/>
  <c r="L139" i="2"/>
  <c r="AR138" i="2"/>
  <c r="J138" i="1"/>
  <c r="K138" i="1" s="1"/>
  <c r="O138" i="1" s="1"/>
  <c r="P138" i="1" s="1"/>
  <c r="Q138" i="1" s="1"/>
  <c r="R137" i="1"/>
  <c r="S137" i="1"/>
  <c r="G139" i="1"/>
  <c r="I139" i="1" s="1"/>
  <c r="V140" i="1"/>
  <c r="Y140" i="1"/>
  <c r="BB159" i="1"/>
  <c r="AZ159" i="1"/>
  <c r="AY159" i="1"/>
  <c r="BA159" i="1"/>
  <c r="AW159" i="1"/>
  <c r="AP159" i="1"/>
  <c r="BE159" i="1"/>
  <c r="AT159" i="1"/>
  <c r="AO159" i="1"/>
  <c r="AL159" i="1"/>
  <c r="AR159" i="1"/>
  <c r="AX159" i="1"/>
  <c r="AK160" i="1"/>
  <c r="BD159" i="1"/>
  <c r="AN159" i="1"/>
  <c r="BC159" i="1"/>
  <c r="AM159" i="1"/>
  <c r="AS159" i="1"/>
  <c r="AU159" i="1"/>
  <c r="AQ159" i="1"/>
  <c r="AV159" i="1"/>
  <c r="X140" i="1"/>
  <c r="W140" i="1"/>
  <c r="B140" i="1"/>
  <c r="L140" i="1" s="1"/>
  <c r="E140" i="1"/>
  <c r="A141" i="1"/>
  <c r="H141" i="1" s="1"/>
  <c r="D139" i="1"/>
  <c r="C139" i="1"/>
  <c r="AO139" i="2" l="1"/>
  <c r="AM139" i="2"/>
  <c r="AI139" i="2"/>
  <c r="AJ139" i="2"/>
  <c r="K140" i="2"/>
  <c r="I140" i="2"/>
  <c r="F140" i="2"/>
  <c r="C141" i="2"/>
  <c r="H140" i="2"/>
  <c r="O140" i="2"/>
  <c r="AS140" i="2" s="1"/>
  <c r="N140" i="2"/>
  <c r="AR140" i="2" s="1"/>
  <c r="G140" i="2"/>
  <c r="AK140" i="2" s="1"/>
  <c r="D140" i="2"/>
  <c r="AH140" i="2" s="1"/>
  <c r="J140" i="2"/>
  <c r="AN140" i="2" s="1"/>
  <c r="E140" i="2"/>
  <c r="L140" i="2"/>
  <c r="AP140" i="2" s="1"/>
  <c r="M140" i="2"/>
  <c r="AR139" i="2"/>
  <c r="Y140" i="2"/>
  <c r="AC140" i="2"/>
  <c r="R141" i="2"/>
  <c r="AB140" i="2"/>
  <c r="X140" i="2"/>
  <c r="AE140" i="2"/>
  <c r="AD140" i="2"/>
  <c r="V140" i="2"/>
  <c r="U140" i="2"/>
  <c r="S140" i="2"/>
  <c r="Z140" i="2"/>
  <c r="AA140" i="2"/>
  <c r="W140" i="2"/>
  <c r="T140" i="2"/>
  <c r="AP139" i="2"/>
  <c r="Z140" i="1"/>
  <c r="J139" i="1"/>
  <c r="K139" i="1" s="1"/>
  <c r="O139" i="1" s="1"/>
  <c r="P139" i="1" s="1"/>
  <c r="Q139" i="1" s="1"/>
  <c r="R138" i="1"/>
  <c r="S138" i="1"/>
  <c r="G140" i="1"/>
  <c r="I140" i="1" s="1"/>
  <c r="V141" i="1"/>
  <c r="Y141" i="1"/>
  <c r="AO160" i="1"/>
  <c r="AK161" i="1"/>
  <c r="AT160" i="1"/>
  <c r="AQ160" i="1"/>
  <c r="AZ160" i="1"/>
  <c r="AV160" i="1"/>
  <c r="AY160" i="1"/>
  <c r="AP160" i="1"/>
  <c r="BE160" i="1"/>
  <c r="BD160" i="1"/>
  <c r="AN160" i="1"/>
  <c r="AR160" i="1"/>
  <c r="AW160" i="1"/>
  <c r="AU160" i="1"/>
  <c r="BA160" i="1"/>
  <c r="AX160" i="1"/>
  <c r="BB160" i="1"/>
  <c r="AS160" i="1"/>
  <c r="BC160" i="1"/>
  <c r="AM160" i="1"/>
  <c r="AL160" i="1"/>
  <c r="X141" i="1"/>
  <c r="W141" i="1"/>
  <c r="B141" i="1"/>
  <c r="L141" i="1" s="1"/>
  <c r="A142" i="1"/>
  <c r="H142" i="1" s="1"/>
  <c r="E141" i="1"/>
  <c r="D140" i="1"/>
  <c r="C140" i="1"/>
  <c r="AQ140" i="2" l="1"/>
  <c r="AL140" i="2"/>
  <c r="AM140" i="2"/>
  <c r="AO140" i="2"/>
  <c r="AI140" i="2"/>
  <c r="AJ140" i="2"/>
  <c r="Y141" i="2"/>
  <c r="S141" i="2"/>
  <c r="W141" i="2"/>
  <c r="V141" i="2"/>
  <c r="AE141" i="2"/>
  <c r="Z141" i="2"/>
  <c r="U141" i="2"/>
  <c r="R142" i="2"/>
  <c r="AD141" i="2"/>
  <c r="T141" i="2"/>
  <c r="AC141" i="2"/>
  <c r="AB141" i="2"/>
  <c r="X141" i="2"/>
  <c r="AA141" i="2"/>
  <c r="J141" i="2"/>
  <c r="H141" i="2"/>
  <c r="D141" i="2"/>
  <c r="AH141" i="2" s="1"/>
  <c r="F141" i="2"/>
  <c r="K141" i="2"/>
  <c r="N141" i="2"/>
  <c r="C142" i="2"/>
  <c r="I141" i="2"/>
  <c r="AM141" i="2" s="1"/>
  <c r="G141" i="2"/>
  <c r="AK141" i="2" s="1"/>
  <c r="M141" i="2"/>
  <c r="AQ141" i="2" s="1"/>
  <c r="O141" i="2"/>
  <c r="AS141" i="2" s="1"/>
  <c r="E141" i="2"/>
  <c r="AI141" i="2" s="1"/>
  <c r="L141" i="2"/>
  <c r="Z141" i="1"/>
  <c r="J140" i="1"/>
  <c r="K140" i="1" s="1"/>
  <c r="O140" i="1" s="1"/>
  <c r="P140" i="1" s="1"/>
  <c r="Q140" i="1" s="1"/>
  <c r="R139" i="1"/>
  <c r="S139" i="1"/>
  <c r="G141" i="1"/>
  <c r="I141" i="1" s="1"/>
  <c r="AL161" i="1"/>
  <c r="BE161" i="1"/>
  <c r="BD161" i="1"/>
  <c r="AY161" i="1"/>
  <c r="AV161" i="1"/>
  <c r="AZ161" i="1"/>
  <c r="AO161" i="1"/>
  <c r="AK162" i="1"/>
  <c r="AU161" i="1"/>
  <c r="BC161" i="1"/>
  <c r="AW161" i="1"/>
  <c r="BA161" i="1"/>
  <c r="AT161" i="1"/>
  <c r="AS161" i="1"/>
  <c r="AP161" i="1"/>
  <c r="AN161" i="1"/>
  <c r="AR161" i="1"/>
  <c r="AM161" i="1"/>
  <c r="AX161" i="1"/>
  <c r="BB161" i="1"/>
  <c r="AQ161" i="1"/>
  <c r="V142" i="1"/>
  <c r="X142" i="1" s="1"/>
  <c r="Y142" i="1"/>
  <c r="W142" i="1"/>
  <c r="B142" i="1"/>
  <c r="L142" i="1" s="1"/>
  <c r="E142" i="1"/>
  <c r="A143" i="1"/>
  <c r="H143" i="1" s="1"/>
  <c r="D141" i="1"/>
  <c r="C141" i="1"/>
  <c r="AL141" i="2" l="1"/>
  <c r="AP141" i="2"/>
  <c r="J142" i="2"/>
  <c r="G142" i="2"/>
  <c r="L142" i="2"/>
  <c r="I142" i="2"/>
  <c r="O142" i="2"/>
  <c r="M142" i="2"/>
  <c r="AQ142" i="2" s="1"/>
  <c r="F142" i="2"/>
  <c r="H142" i="2"/>
  <c r="D142" i="2"/>
  <c r="AH142" i="2" s="1"/>
  <c r="K142" i="2"/>
  <c r="C143" i="2"/>
  <c r="E142" i="2"/>
  <c r="AI142" i="2" s="1"/>
  <c r="N142" i="2"/>
  <c r="AR142" i="2" s="1"/>
  <c r="AO141" i="2"/>
  <c r="AN141" i="2"/>
  <c r="AR141" i="2"/>
  <c r="AJ141" i="2"/>
  <c r="S142" i="2"/>
  <c r="T142" i="2"/>
  <c r="AC142" i="2"/>
  <c r="AB142" i="2"/>
  <c r="R143" i="2"/>
  <c r="X142" i="2"/>
  <c r="AD142" i="2"/>
  <c r="V142" i="2"/>
  <c r="AA142" i="2"/>
  <c r="U142" i="2"/>
  <c r="AE142" i="2"/>
  <c r="W142" i="2"/>
  <c r="Y142" i="2"/>
  <c r="Z142" i="2"/>
  <c r="J141" i="1"/>
  <c r="K141" i="1" s="1"/>
  <c r="O141" i="1" s="1"/>
  <c r="P141" i="1" s="1"/>
  <c r="Q141" i="1" s="1"/>
  <c r="R140" i="1"/>
  <c r="S140" i="1"/>
  <c r="Z142" i="1"/>
  <c r="G142" i="1"/>
  <c r="I142" i="1" s="1"/>
  <c r="V143" i="1"/>
  <c r="X143" i="1" s="1"/>
  <c r="Y143" i="1"/>
  <c r="Z143" i="1" s="1"/>
  <c r="AW162" i="1"/>
  <c r="BC162" i="1"/>
  <c r="AT162" i="1"/>
  <c r="BB162" i="1"/>
  <c r="BE162" i="1"/>
  <c r="BD162" i="1"/>
  <c r="AX162" i="1"/>
  <c r="AV162" i="1"/>
  <c r="AM162" i="1"/>
  <c r="AL162" i="1"/>
  <c r="AK163" i="1"/>
  <c r="AP162" i="1"/>
  <c r="AR162" i="1"/>
  <c r="AY162" i="1"/>
  <c r="AZ162" i="1"/>
  <c r="AO162" i="1"/>
  <c r="AS162" i="1"/>
  <c r="AQ162" i="1"/>
  <c r="BA162" i="1"/>
  <c r="AN162" i="1"/>
  <c r="AU162" i="1"/>
  <c r="C142" i="1"/>
  <c r="D142" i="1"/>
  <c r="B143" i="1"/>
  <c r="L143" i="1" s="1"/>
  <c r="A144" i="1"/>
  <c r="H144" i="1" s="1"/>
  <c r="E143" i="1"/>
  <c r="AM142" i="2" l="1"/>
  <c r="AL142" i="2"/>
  <c r="AJ142" i="2"/>
  <c r="AS142" i="2"/>
  <c r="AO142" i="2"/>
  <c r="AD143" i="2"/>
  <c r="AA143" i="2"/>
  <c r="W143" i="2"/>
  <c r="AE143" i="2"/>
  <c r="Z143" i="2"/>
  <c r="AC143" i="2"/>
  <c r="X143" i="2"/>
  <c r="R144" i="2"/>
  <c r="Y143" i="2"/>
  <c r="V143" i="2"/>
  <c r="AB143" i="2"/>
  <c r="S143" i="2"/>
  <c r="U143" i="2"/>
  <c r="T143" i="2"/>
  <c r="AP142" i="2"/>
  <c r="J143" i="2"/>
  <c r="I143" i="2"/>
  <c r="O143" i="2"/>
  <c r="AS143" i="2" s="1"/>
  <c r="D143" i="2"/>
  <c r="H143" i="2"/>
  <c r="AL143" i="2" s="1"/>
  <c r="N143" i="2"/>
  <c r="AR143" i="2" s="1"/>
  <c r="F143" i="2"/>
  <c r="AJ143" i="2" s="1"/>
  <c r="C144" i="2"/>
  <c r="K143" i="2"/>
  <c r="AO143" i="2" s="1"/>
  <c r="M143" i="2"/>
  <c r="L143" i="2"/>
  <c r="AP143" i="2" s="1"/>
  <c r="G143" i="2"/>
  <c r="AK143" i="2" s="1"/>
  <c r="E143" i="2"/>
  <c r="AI143" i="2" s="1"/>
  <c r="AK142" i="2"/>
  <c r="AN142" i="2"/>
  <c r="J142" i="1"/>
  <c r="K142" i="1" s="1"/>
  <c r="O142" i="1" s="1"/>
  <c r="P142" i="1" s="1"/>
  <c r="Q142" i="1" s="1"/>
  <c r="R141" i="1"/>
  <c r="S141" i="1"/>
  <c r="G143" i="1"/>
  <c r="I143" i="1" s="1"/>
  <c r="W143" i="1"/>
  <c r="V144" i="1"/>
  <c r="Y144" i="1"/>
  <c r="BA163" i="1"/>
  <c r="AX163" i="1"/>
  <c r="AV163" i="1"/>
  <c r="AR163" i="1"/>
  <c r="AS163" i="1"/>
  <c r="AU163" i="1"/>
  <c r="BD163" i="1"/>
  <c r="AP163" i="1"/>
  <c r="BC163" i="1"/>
  <c r="AZ163" i="1"/>
  <c r="AT163" i="1"/>
  <c r="AN163" i="1"/>
  <c r="AM163" i="1"/>
  <c r="BB163" i="1"/>
  <c r="AW163" i="1"/>
  <c r="BE163" i="1"/>
  <c r="AO163" i="1"/>
  <c r="AQ163" i="1"/>
  <c r="AL163" i="1"/>
  <c r="AY163" i="1"/>
  <c r="W144" i="1"/>
  <c r="X144" i="1"/>
  <c r="Z144" i="1"/>
  <c r="A145" i="1"/>
  <c r="H145" i="1" s="1"/>
  <c r="E144" i="1"/>
  <c r="B144" i="1"/>
  <c r="L144" i="1" s="1"/>
  <c r="C143" i="1"/>
  <c r="D143" i="1"/>
  <c r="F144" i="2" l="1"/>
  <c r="J144" i="2"/>
  <c r="G144" i="2"/>
  <c r="E144" i="2"/>
  <c r="O144" i="2"/>
  <c r="K144" i="2"/>
  <c r="N144" i="2"/>
  <c r="AR144" i="2" s="1"/>
  <c r="C145" i="2"/>
  <c r="H144" i="2"/>
  <c r="AL144" i="2" s="1"/>
  <c r="I144" i="2"/>
  <c r="AM144" i="2" s="1"/>
  <c r="D144" i="2"/>
  <c r="AH144" i="2" s="1"/>
  <c r="L144" i="2"/>
  <c r="AP144" i="2" s="1"/>
  <c r="M144" i="2"/>
  <c r="AM143" i="2"/>
  <c r="AN143" i="2"/>
  <c r="AH143" i="2"/>
  <c r="AQ143" i="2"/>
  <c r="Y144" i="2"/>
  <c r="U144" i="2"/>
  <c r="AC144" i="2"/>
  <c r="AA144" i="2"/>
  <c r="X144" i="2"/>
  <c r="W144" i="2"/>
  <c r="T144" i="2"/>
  <c r="V144" i="2"/>
  <c r="R145" i="2"/>
  <c r="S144" i="2"/>
  <c r="AE144" i="2"/>
  <c r="Z144" i="2"/>
  <c r="AD144" i="2"/>
  <c r="AB144" i="2"/>
  <c r="J143" i="1"/>
  <c r="K143" i="1" s="1"/>
  <c r="O143" i="1" s="1"/>
  <c r="P143" i="1" s="1"/>
  <c r="Q143" i="1" s="1"/>
  <c r="R142" i="1"/>
  <c r="S142" i="1"/>
  <c r="G144" i="1"/>
  <c r="I144" i="1" s="1"/>
  <c r="V145" i="1"/>
  <c r="X145" i="1" s="1"/>
  <c r="Y145" i="1"/>
  <c r="Z145" i="1" s="1"/>
  <c r="C144" i="1"/>
  <c r="D144" i="1"/>
  <c r="A146" i="1"/>
  <c r="H146" i="1" s="1"/>
  <c r="E145" i="1"/>
  <c r="B145" i="1"/>
  <c r="L145" i="1" s="1"/>
  <c r="K145" i="2" l="1"/>
  <c r="M145" i="2"/>
  <c r="F145" i="2"/>
  <c r="N145" i="2"/>
  <c r="C146" i="2"/>
  <c r="L145" i="2"/>
  <c r="H145" i="2"/>
  <c r="AL145" i="2" s="1"/>
  <c r="J145" i="2"/>
  <c r="AN145" i="2" s="1"/>
  <c r="G145" i="2"/>
  <c r="AK145" i="2" s="1"/>
  <c r="I145" i="2"/>
  <c r="AM145" i="2" s="1"/>
  <c r="E145" i="2"/>
  <c r="AI145" i="2" s="1"/>
  <c r="D145" i="2"/>
  <c r="AH145" i="2" s="1"/>
  <c r="O145" i="2"/>
  <c r="AS145" i="2" s="1"/>
  <c r="AS144" i="2"/>
  <c r="AI144" i="2"/>
  <c r="AK144" i="2"/>
  <c r="R146" i="2"/>
  <c r="T145" i="2"/>
  <c r="AD145" i="2"/>
  <c r="W145" i="2"/>
  <c r="AB145" i="2"/>
  <c r="AE145" i="2"/>
  <c r="Y145" i="2"/>
  <c r="AA145" i="2"/>
  <c r="V145" i="2"/>
  <c r="S145" i="2"/>
  <c r="X145" i="2"/>
  <c r="U145" i="2"/>
  <c r="Z145" i="2"/>
  <c r="AC145" i="2"/>
  <c r="AO144" i="2"/>
  <c r="AN144" i="2"/>
  <c r="AQ144" i="2"/>
  <c r="AJ144" i="2"/>
  <c r="W145" i="1"/>
  <c r="J144" i="1"/>
  <c r="K144" i="1" s="1"/>
  <c r="O144" i="1" s="1"/>
  <c r="P144" i="1" s="1"/>
  <c r="Q144" i="1" s="1"/>
  <c r="R143" i="1"/>
  <c r="S143" i="1"/>
  <c r="G145" i="1"/>
  <c r="I145" i="1" s="1"/>
  <c r="V146" i="1"/>
  <c r="W146" i="1" s="1"/>
  <c r="Y146" i="1"/>
  <c r="D145" i="1"/>
  <c r="C145" i="1"/>
  <c r="B146" i="1"/>
  <c r="L146" i="1" s="1"/>
  <c r="A147" i="1"/>
  <c r="H147" i="1" s="1"/>
  <c r="E146" i="1"/>
  <c r="AP145" i="2" l="1"/>
  <c r="L146" i="2"/>
  <c r="C147" i="2"/>
  <c r="I146" i="2"/>
  <c r="J146" i="2"/>
  <c r="O146" i="2"/>
  <c r="AS146" i="2" s="1"/>
  <c r="K146" i="2"/>
  <c r="N146" i="2"/>
  <c r="AR146" i="2" s="1"/>
  <c r="M146" i="2"/>
  <c r="AQ146" i="2" s="1"/>
  <c r="F146" i="2"/>
  <c r="AJ146" i="2" s="1"/>
  <c r="H146" i="2"/>
  <c r="AL146" i="2" s="1"/>
  <c r="G146" i="2"/>
  <c r="AK146" i="2" s="1"/>
  <c r="E146" i="2"/>
  <c r="AI146" i="2" s="1"/>
  <c r="D146" i="2"/>
  <c r="AH146" i="2" s="1"/>
  <c r="AR145" i="2"/>
  <c r="AJ145" i="2"/>
  <c r="AQ145" i="2"/>
  <c r="AB146" i="2"/>
  <c r="AD146" i="2"/>
  <c r="V146" i="2"/>
  <c r="U146" i="2"/>
  <c r="T146" i="2"/>
  <c r="W146" i="2"/>
  <c r="AC146" i="2"/>
  <c r="S146" i="2"/>
  <c r="R147" i="2"/>
  <c r="Y146" i="2"/>
  <c r="X146" i="2"/>
  <c r="AE146" i="2"/>
  <c r="AA146" i="2"/>
  <c r="Z146" i="2"/>
  <c r="AO145" i="2"/>
  <c r="Z146" i="1"/>
  <c r="X146" i="1"/>
  <c r="J145" i="1"/>
  <c r="K145" i="1" s="1"/>
  <c r="O145" i="1" s="1"/>
  <c r="P145" i="1" s="1"/>
  <c r="Q145" i="1" s="1"/>
  <c r="R144" i="1"/>
  <c r="S144" i="1"/>
  <c r="G146" i="1"/>
  <c r="I146" i="1" s="1"/>
  <c r="V147" i="1"/>
  <c r="W147" i="1" s="1"/>
  <c r="Y147" i="1"/>
  <c r="A148" i="1"/>
  <c r="H148" i="1" s="1"/>
  <c r="E147" i="1"/>
  <c r="B147" i="1"/>
  <c r="L147" i="1" s="1"/>
  <c r="D146" i="1"/>
  <c r="C146" i="1"/>
  <c r="AO146" i="2" l="1"/>
  <c r="AM146" i="2"/>
  <c r="AN146" i="2"/>
  <c r="F147" i="2"/>
  <c r="M147" i="2"/>
  <c r="E147" i="2"/>
  <c r="AI147" i="2" s="1"/>
  <c r="O147" i="2"/>
  <c r="G147" i="2"/>
  <c r="AK147" i="2" s="1"/>
  <c r="L147" i="2"/>
  <c r="N147" i="2"/>
  <c r="H147" i="2"/>
  <c r="AL147" i="2" s="1"/>
  <c r="J147" i="2"/>
  <c r="AN147" i="2" s="1"/>
  <c r="I147" i="2"/>
  <c r="AM147" i="2" s="1"/>
  <c r="C148" i="2"/>
  <c r="K147" i="2"/>
  <c r="AO147" i="2" s="1"/>
  <c r="D147" i="2"/>
  <c r="AH147" i="2" s="1"/>
  <c r="S147" i="2"/>
  <c r="R148" i="2"/>
  <c r="AE147" i="2"/>
  <c r="V147" i="2"/>
  <c r="W147" i="2"/>
  <c r="T147" i="2"/>
  <c r="Y147" i="2"/>
  <c r="AB147" i="2"/>
  <c r="AD147" i="2"/>
  <c r="X147" i="2"/>
  <c r="U147" i="2"/>
  <c r="AC147" i="2"/>
  <c r="AA147" i="2"/>
  <c r="Z147" i="2"/>
  <c r="AP146" i="2"/>
  <c r="X147" i="1"/>
  <c r="Z147" i="1"/>
  <c r="J146" i="1"/>
  <c r="K146" i="1" s="1"/>
  <c r="O146" i="1" s="1"/>
  <c r="P146" i="1" s="1"/>
  <c r="Q146" i="1" s="1"/>
  <c r="R145" i="1"/>
  <c r="S145" i="1"/>
  <c r="G147" i="1"/>
  <c r="I147" i="1" s="1"/>
  <c r="V148" i="1"/>
  <c r="W148" i="1" s="1"/>
  <c r="Y148" i="1"/>
  <c r="D147" i="1"/>
  <c r="C147" i="1"/>
  <c r="E148" i="1"/>
  <c r="A149" i="1"/>
  <c r="H149" i="1" s="1"/>
  <c r="B148" i="1"/>
  <c r="L148" i="1" s="1"/>
  <c r="AR147" i="2" l="1"/>
  <c r="AQ147" i="2"/>
  <c r="L148" i="2"/>
  <c r="O148" i="2"/>
  <c r="D148" i="2"/>
  <c r="H148" i="2"/>
  <c r="C149" i="2"/>
  <c r="G148" i="2"/>
  <c r="AK148" i="2" s="1"/>
  <c r="I148" i="2"/>
  <c r="AM148" i="2" s="1"/>
  <c r="F148" i="2"/>
  <c r="AJ148" i="2" s="1"/>
  <c r="K148" i="2"/>
  <c r="E148" i="2"/>
  <c r="AI148" i="2" s="1"/>
  <c r="M148" i="2"/>
  <c r="AQ148" i="2" s="1"/>
  <c r="N148" i="2"/>
  <c r="AR148" i="2" s="1"/>
  <c r="J148" i="2"/>
  <c r="AN148" i="2" s="1"/>
  <c r="AP147" i="2"/>
  <c r="AS147" i="2"/>
  <c r="AJ147" i="2"/>
  <c r="AC148" i="2"/>
  <c r="X148" i="2"/>
  <c r="V148" i="2"/>
  <c r="U148" i="2"/>
  <c r="R149" i="2"/>
  <c r="Y148" i="2"/>
  <c r="AE148" i="2"/>
  <c r="S148" i="2"/>
  <c r="T148" i="2"/>
  <c r="AA148" i="2"/>
  <c r="AD148" i="2"/>
  <c r="AB148" i="2"/>
  <c r="Z148" i="2"/>
  <c r="W148" i="2"/>
  <c r="X148" i="1"/>
  <c r="J147" i="1"/>
  <c r="K147" i="1" s="1"/>
  <c r="O147" i="1" s="1"/>
  <c r="P147" i="1" s="1"/>
  <c r="Q147" i="1" s="1"/>
  <c r="R146" i="1"/>
  <c r="S146" i="1"/>
  <c r="Z148" i="1"/>
  <c r="G148" i="1"/>
  <c r="I148" i="1" s="1"/>
  <c r="V149" i="1"/>
  <c r="X149" i="1" s="1"/>
  <c r="Y149" i="1"/>
  <c r="C148" i="1"/>
  <c r="D148" i="1"/>
  <c r="B149" i="1"/>
  <c r="L149" i="1" s="1"/>
  <c r="E149" i="1"/>
  <c r="A150" i="1"/>
  <c r="H150" i="1" s="1"/>
  <c r="AO148" i="2" l="1"/>
  <c r="U149" i="2"/>
  <c r="S149" i="2"/>
  <c r="AB149" i="2"/>
  <c r="R150" i="2"/>
  <c r="T149" i="2"/>
  <c r="AE149" i="2"/>
  <c r="X149" i="2"/>
  <c r="AC149" i="2"/>
  <c r="V149" i="2"/>
  <c r="Z149" i="2"/>
  <c r="W149" i="2"/>
  <c r="Y149" i="2"/>
  <c r="AD149" i="2"/>
  <c r="AA149" i="2"/>
  <c r="F149" i="2"/>
  <c r="AJ149" i="2" s="1"/>
  <c r="C150" i="2"/>
  <c r="M149" i="2"/>
  <c r="I149" i="2"/>
  <c r="H149" i="2"/>
  <c r="O149" i="2"/>
  <c r="E149" i="2"/>
  <c r="AI149" i="2" s="1"/>
  <c r="L149" i="2"/>
  <c r="G149" i="2"/>
  <c r="AK149" i="2" s="1"/>
  <c r="N149" i="2"/>
  <c r="AR149" i="2" s="1"/>
  <c r="K149" i="2"/>
  <c r="AO149" i="2" s="1"/>
  <c r="J149" i="2"/>
  <c r="D149" i="2"/>
  <c r="AH149" i="2" s="1"/>
  <c r="AL148" i="2"/>
  <c r="AH148" i="2"/>
  <c r="AS148" i="2"/>
  <c r="AP148" i="2"/>
  <c r="W149" i="1"/>
  <c r="J148" i="1"/>
  <c r="K148" i="1" s="1"/>
  <c r="O148" i="1" s="1"/>
  <c r="P148" i="1" s="1"/>
  <c r="Q148" i="1" s="1"/>
  <c r="R147" i="1"/>
  <c r="S147" i="1"/>
  <c r="Z149" i="1"/>
  <c r="G149" i="1"/>
  <c r="I149" i="1" s="1"/>
  <c r="V150" i="1"/>
  <c r="X150" i="1" s="1"/>
  <c r="Y150" i="1"/>
  <c r="Z150" i="1" s="1"/>
  <c r="W150" i="1"/>
  <c r="A151" i="1"/>
  <c r="H151" i="1" s="1"/>
  <c r="E150" i="1"/>
  <c r="B150" i="1"/>
  <c r="L150" i="1" s="1"/>
  <c r="D149" i="1"/>
  <c r="C149" i="1"/>
  <c r="AS149" i="2" l="1"/>
  <c r="U150" i="2"/>
  <c r="S150" i="2"/>
  <c r="Y150" i="2"/>
  <c r="AD150" i="2"/>
  <c r="AE150" i="2"/>
  <c r="X150" i="2"/>
  <c r="T150" i="2"/>
  <c r="Z150" i="2"/>
  <c r="V150" i="2"/>
  <c r="R151" i="2"/>
  <c r="AC150" i="2"/>
  <c r="AB150" i="2"/>
  <c r="W150" i="2"/>
  <c r="AA150" i="2"/>
  <c r="AP149" i="2"/>
  <c r="AL149" i="2"/>
  <c r="AM149" i="2"/>
  <c r="AQ149" i="2"/>
  <c r="AN149" i="2"/>
  <c r="G150" i="2"/>
  <c r="K150" i="2"/>
  <c r="D150" i="2"/>
  <c r="AH150" i="2" s="1"/>
  <c r="O150" i="2"/>
  <c r="AS150" i="2" s="1"/>
  <c r="L150" i="2"/>
  <c r="N150" i="2"/>
  <c r="F150" i="2"/>
  <c r="AJ150" i="2" s="1"/>
  <c r="I150" i="2"/>
  <c r="AM150" i="2" s="1"/>
  <c r="H150" i="2"/>
  <c r="AL150" i="2" s="1"/>
  <c r="E150" i="2"/>
  <c r="AI150" i="2" s="1"/>
  <c r="C151" i="2"/>
  <c r="M150" i="2"/>
  <c r="AQ150" i="2" s="1"/>
  <c r="J150" i="2"/>
  <c r="AN150" i="2" s="1"/>
  <c r="J149" i="1"/>
  <c r="K149" i="1" s="1"/>
  <c r="O149" i="1" s="1"/>
  <c r="P149" i="1" s="1"/>
  <c r="Q149" i="1" s="1"/>
  <c r="R148" i="1"/>
  <c r="S148" i="1"/>
  <c r="G150" i="1"/>
  <c r="I150" i="1" s="1"/>
  <c r="V151" i="1"/>
  <c r="X151" i="1" s="1"/>
  <c r="Y151" i="1"/>
  <c r="D150" i="1"/>
  <c r="C150" i="1"/>
  <c r="B151" i="1"/>
  <c r="L151" i="1" s="1"/>
  <c r="A152" i="1"/>
  <c r="H152" i="1" s="1"/>
  <c r="E151" i="1"/>
  <c r="AP150" i="2" l="1"/>
  <c r="C152" i="2"/>
  <c r="E151" i="2"/>
  <c r="N151" i="2"/>
  <c r="M151" i="2"/>
  <c r="J151" i="2"/>
  <c r="K151" i="2"/>
  <c r="AO151" i="2" s="1"/>
  <c r="D151" i="2"/>
  <c r="AH151" i="2" s="1"/>
  <c r="F151" i="2"/>
  <c r="AJ151" i="2" s="1"/>
  <c r="I151" i="2"/>
  <c r="AM151" i="2" s="1"/>
  <c r="G151" i="2"/>
  <c r="AK151" i="2" s="1"/>
  <c r="L151" i="2"/>
  <c r="AP151" i="2" s="1"/>
  <c r="H151" i="2"/>
  <c r="AL151" i="2" s="1"/>
  <c r="O151" i="2"/>
  <c r="AS151" i="2" s="1"/>
  <c r="AR150" i="2"/>
  <c r="AK150" i="2"/>
  <c r="AO150" i="2"/>
  <c r="Z151" i="2"/>
  <c r="U151" i="2"/>
  <c r="V151" i="2"/>
  <c r="AE151" i="2"/>
  <c r="AD151" i="2"/>
  <c r="S151" i="2"/>
  <c r="R152" i="2"/>
  <c r="T151" i="2"/>
  <c r="X151" i="2"/>
  <c r="W151" i="2"/>
  <c r="AA151" i="2"/>
  <c r="AC151" i="2"/>
  <c r="AB151" i="2"/>
  <c r="Y151" i="2"/>
  <c r="J150" i="1"/>
  <c r="K150" i="1" s="1"/>
  <c r="O150" i="1" s="1"/>
  <c r="R149" i="1"/>
  <c r="S149" i="1"/>
  <c r="G151" i="1"/>
  <c r="I151" i="1" s="1"/>
  <c r="W151" i="1"/>
  <c r="Z151" i="1"/>
  <c r="V152" i="1"/>
  <c r="W152" i="1" s="1"/>
  <c r="Y152" i="1"/>
  <c r="Z152" i="1" s="1"/>
  <c r="X152" i="1"/>
  <c r="D151" i="1"/>
  <c r="C151" i="1"/>
  <c r="B152" i="1"/>
  <c r="L152" i="1" s="1"/>
  <c r="A153" i="1"/>
  <c r="H153" i="1" s="1"/>
  <c r="E152" i="1"/>
  <c r="U152" i="2" l="1"/>
  <c r="T152" i="2"/>
  <c r="R153" i="2"/>
  <c r="Z152" i="2"/>
  <c r="V152" i="2"/>
  <c r="AC152" i="2"/>
  <c r="S152" i="2"/>
  <c r="Y152" i="2"/>
  <c r="W152" i="2"/>
  <c r="AD152" i="2"/>
  <c r="AA152" i="2"/>
  <c r="X152" i="2"/>
  <c r="AB152" i="2"/>
  <c r="AE152" i="2"/>
  <c r="AR151" i="2"/>
  <c r="AI151" i="2"/>
  <c r="AQ151" i="2"/>
  <c r="L152" i="2"/>
  <c r="M152" i="2"/>
  <c r="I152" i="2"/>
  <c r="C153" i="2"/>
  <c r="O152" i="2"/>
  <c r="N152" i="2"/>
  <c r="AR152" i="2" s="1"/>
  <c r="D152" i="2"/>
  <c r="AH152" i="2" s="1"/>
  <c r="G152" i="2"/>
  <c r="AK152" i="2" s="1"/>
  <c r="F152" i="2"/>
  <c r="AJ152" i="2" s="1"/>
  <c r="K152" i="2"/>
  <c r="AO152" i="2" s="1"/>
  <c r="J152" i="2"/>
  <c r="AN152" i="2" s="1"/>
  <c r="H152" i="2"/>
  <c r="AL152" i="2" s="1"/>
  <c r="E152" i="2"/>
  <c r="AI152" i="2" s="1"/>
  <c r="AN151" i="2"/>
  <c r="P150" i="1"/>
  <c r="Q150" i="1" s="1"/>
  <c r="J151" i="1"/>
  <c r="K151" i="1" s="1"/>
  <c r="O151" i="1" s="1"/>
  <c r="P151" i="1" s="1"/>
  <c r="Q151" i="1" s="1"/>
  <c r="G152" i="1"/>
  <c r="I152" i="1" s="1"/>
  <c r="V153" i="1"/>
  <c r="Y153" i="1"/>
  <c r="Z153" i="1" s="1"/>
  <c r="X153" i="1"/>
  <c r="W153" i="1"/>
  <c r="C152" i="1"/>
  <c r="D152" i="1"/>
  <c r="A154" i="1"/>
  <c r="H154" i="1" s="1"/>
  <c r="B153" i="1"/>
  <c r="L153" i="1" s="1"/>
  <c r="E153" i="1"/>
  <c r="F153" i="2" l="1"/>
  <c r="E153" i="2"/>
  <c r="K153" i="2"/>
  <c r="C154" i="2"/>
  <c r="J153" i="2"/>
  <c r="O153" i="2"/>
  <c r="L153" i="2"/>
  <c r="I153" i="2"/>
  <c r="AM153" i="2" s="1"/>
  <c r="N153" i="2"/>
  <c r="H153" i="2"/>
  <c r="AL153" i="2" s="1"/>
  <c r="G153" i="2"/>
  <c r="AK153" i="2" s="1"/>
  <c r="M153" i="2"/>
  <c r="AQ153" i="2" s="1"/>
  <c r="D153" i="2"/>
  <c r="AH153" i="2" s="1"/>
  <c r="AM152" i="2"/>
  <c r="AQ152" i="2"/>
  <c r="AA153" i="2"/>
  <c r="V153" i="2"/>
  <c r="S153" i="2"/>
  <c r="X153" i="2"/>
  <c r="T153" i="2"/>
  <c r="Z153" i="2"/>
  <c r="Y153" i="2"/>
  <c r="AE153" i="2"/>
  <c r="U153" i="2"/>
  <c r="R154" i="2"/>
  <c r="W153" i="2"/>
  <c r="AC153" i="2"/>
  <c r="AB153" i="2"/>
  <c r="AD153" i="2"/>
  <c r="AS152" i="2"/>
  <c r="AP152" i="2"/>
  <c r="S150" i="1"/>
  <c r="R150" i="1"/>
  <c r="J152" i="1"/>
  <c r="K152" i="1" s="1"/>
  <c r="O152" i="1" s="1"/>
  <c r="P152" i="1" s="1"/>
  <c r="Q152" i="1" s="1"/>
  <c r="R151" i="1"/>
  <c r="S151" i="1"/>
  <c r="G153" i="1"/>
  <c r="I153" i="1" s="1"/>
  <c r="V154" i="1"/>
  <c r="X154" i="1" s="1"/>
  <c r="Y154" i="1"/>
  <c r="C153" i="1"/>
  <c r="D153" i="1"/>
  <c r="B154" i="1"/>
  <c r="L154" i="1" s="1"/>
  <c r="A155" i="1"/>
  <c r="H155" i="1" s="1"/>
  <c r="E154" i="1"/>
  <c r="AN153" i="2" l="1"/>
  <c r="Y154" i="2"/>
  <c r="AC154" i="2"/>
  <c r="Z154" i="2"/>
  <c r="R155" i="2"/>
  <c r="AB154" i="2"/>
  <c r="U154" i="2"/>
  <c r="AD154" i="2"/>
  <c r="X154" i="2"/>
  <c r="T154" i="2"/>
  <c r="AE154" i="2"/>
  <c r="V154" i="2"/>
  <c r="S154" i="2"/>
  <c r="AA154" i="2"/>
  <c r="W154" i="2"/>
  <c r="N154" i="2"/>
  <c r="AR154" i="2" s="1"/>
  <c r="K154" i="2"/>
  <c r="M154" i="2"/>
  <c r="D154" i="2"/>
  <c r="I154" i="2"/>
  <c r="O154" i="2"/>
  <c r="L154" i="2"/>
  <c r="F154" i="2"/>
  <c r="AJ154" i="2" s="1"/>
  <c r="E154" i="2"/>
  <c r="AI154" i="2" s="1"/>
  <c r="J154" i="2"/>
  <c r="AN154" i="2" s="1"/>
  <c r="H154" i="2"/>
  <c r="G154" i="2"/>
  <c r="AK154" i="2" s="1"/>
  <c r="C155" i="2"/>
  <c r="AR153" i="2"/>
  <c r="AS153" i="2"/>
  <c r="AO153" i="2"/>
  <c r="AI153" i="2"/>
  <c r="AP153" i="2"/>
  <c r="AJ153" i="2"/>
  <c r="J153" i="1"/>
  <c r="K153" i="1" s="1"/>
  <c r="O153" i="1" s="1"/>
  <c r="P153" i="1" s="1"/>
  <c r="Q153" i="1" s="1"/>
  <c r="R152" i="1"/>
  <c r="S152" i="1"/>
  <c r="Z154" i="1"/>
  <c r="W154" i="1"/>
  <c r="G154" i="1"/>
  <c r="I154" i="1" s="1"/>
  <c r="V155" i="1"/>
  <c r="Y155" i="1"/>
  <c r="X155" i="1"/>
  <c r="W155" i="1"/>
  <c r="Z155" i="1"/>
  <c r="E155" i="1"/>
  <c r="A156" i="1"/>
  <c r="H156" i="1" s="1"/>
  <c r="B155" i="1"/>
  <c r="L155" i="1" s="1"/>
  <c r="C154" i="1"/>
  <c r="D154" i="1"/>
  <c r="AL154" i="2" l="1"/>
  <c r="F155" i="2"/>
  <c r="M155" i="2"/>
  <c r="L155" i="2"/>
  <c r="K155" i="2"/>
  <c r="I155" i="2"/>
  <c r="AM155" i="2" s="1"/>
  <c r="O155" i="2"/>
  <c r="AS155" i="2" s="1"/>
  <c r="N155" i="2"/>
  <c r="AR155" i="2" s="1"/>
  <c r="E155" i="2"/>
  <c r="C156" i="2"/>
  <c r="H155" i="2"/>
  <c r="G155" i="2"/>
  <c r="J155" i="2"/>
  <c r="AN155" i="2" s="1"/>
  <c r="D155" i="2"/>
  <c r="AH155" i="2" s="1"/>
  <c r="AS154" i="2"/>
  <c r="V155" i="2"/>
  <c r="T155" i="2"/>
  <c r="X155" i="2"/>
  <c r="R156" i="2"/>
  <c r="AE155" i="2"/>
  <c r="Z155" i="2"/>
  <c r="AA155" i="2"/>
  <c r="S155" i="2"/>
  <c r="U155" i="2"/>
  <c r="AD155" i="2"/>
  <c r="AC155" i="2"/>
  <c r="AB155" i="2"/>
  <c r="Y155" i="2"/>
  <c r="W155" i="2"/>
  <c r="AP154" i="2"/>
  <c r="AM154" i="2"/>
  <c r="AH154" i="2"/>
  <c r="AQ154" i="2"/>
  <c r="AO154" i="2"/>
  <c r="J154" i="1"/>
  <c r="K154" i="1" s="1"/>
  <c r="O154" i="1" s="1"/>
  <c r="P154" i="1" s="1"/>
  <c r="Q154" i="1" s="1"/>
  <c r="R153" i="1"/>
  <c r="S153" i="1"/>
  <c r="G155" i="1"/>
  <c r="I155" i="1" s="1"/>
  <c r="V156" i="1"/>
  <c r="W156" i="1" s="1"/>
  <c r="Y156" i="1"/>
  <c r="E156" i="1"/>
  <c r="B156" i="1"/>
  <c r="L156" i="1" s="1"/>
  <c r="A157" i="1"/>
  <c r="H157" i="1" s="1"/>
  <c r="C155" i="1"/>
  <c r="D155" i="1"/>
  <c r="AL155" i="2" l="1"/>
  <c r="F156" i="2"/>
  <c r="J156" i="2"/>
  <c r="K156" i="2"/>
  <c r="L156" i="2"/>
  <c r="H156" i="2"/>
  <c r="AL156" i="2" s="1"/>
  <c r="C157" i="2"/>
  <c r="M156" i="2"/>
  <c r="AQ156" i="2" s="1"/>
  <c r="D156" i="2"/>
  <c r="AH156" i="2" s="1"/>
  <c r="G156" i="2"/>
  <c r="I156" i="2"/>
  <c r="AM156" i="2" s="1"/>
  <c r="N156" i="2"/>
  <c r="AR156" i="2" s="1"/>
  <c r="E156" i="2"/>
  <c r="AI156" i="2" s="1"/>
  <c r="O156" i="2"/>
  <c r="AS156" i="2" s="1"/>
  <c r="AK155" i="2"/>
  <c r="AO155" i="2"/>
  <c r="AP155" i="2"/>
  <c r="AI155" i="2"/>
  <c r="R157" i="2"/>
  <c r="S156" i="2"/>
  <c r="Z156" i="2"/>
  <c r="W156" i="2"/>
  <c r="AC156" i="2"/>
  <c r="AB156" i="2"/>
  <c r="X156" i="2"/>
  <c r="U156" i="2"/>
  <c r="T156" i="2"/>
  <c r="AD156" i="2"/>
  <c r="Y156" i="2"/>
  <c r="V156" i="2"/>
  <c r="AA156" i="2"/>
  <c r="AE156" i="2"/>
  <c r="AQ155" i="2"/>
  <c r="AJ155" i="2"/>
  <c r="J155" i="1"/>
  <c r="K155" i="1" s="1"/>
  <c r="O155" i="1" s="1"/>
  <c r="P155" i="1" s="1"/>
  <c r="Q155" i="1" s="1"/>
  <c r="R154" i="1"/>
  <c r="S154" i="1"/>
  <c r="G156" i="1"/>
  <c r="I156" i="1" s="1"/>
  <c r="Z156" i="1"/>
  <c r="X156" i="1"/>
  <c r="V157" i="1"/>
  <c r="W157" i="1" s="1"/>
  <c r="Y157" i="1"/>
  <c r="C156" i="1"/>
  <c r="D156" i="1"/>
  <c r="E157" i="1"/>
  <c r="A158" i="1"/>
  <c r="H158" i="1" s="1"/>
  <c r="B157" i="1"/>
  <c r="L157" i="1" s="1"/>
  <c r="N157" i="2" l="1"/>
  <c r="C158" i="2"/>
  <c r="M157" i="2"/>
  <c r="D157" i="2"/>
  <c r="AH157" i="2" s="1"/>
  <c r="J157" i="2"/>
  <c r="I157" i="2"/>
  <c r="E157" i="2"/>
  <c r="AI157" i="2" s="1"/>
  <c r="O157" i="2"/>
  <c r="K157" i="2"/>
  <c r="L157" i="2"/>
  <c r="AP157" i="2" s="1"/>
  <c r="H157" i="2"/>
  <c r="AL157" i="2" s="1"/>
  <c r="G157" i="2"/>
  <c r="AK157" i="2" s="1"/>
  <c r="F157" i="2"/>
  <c r="AJ157" i="2" s="1"/>
  <c r="AO156" i="2"/>
  <c r="AN156" i="2"/>
  <c r="AP156" i="2"/>
  <c r="AJ156" i="2"/>
  <c r="AK156" i="2"/>
  <c r="T157" i="2"/>
  <c r="S157" i="2"/>
  <c r="AE157" i="2"/>
  <c r="V157" i="2"/>
  <c r="AA157" i="2"/>
  <c r="Y157" i="2"/>
  <c r="AD157" i="2"/>
  <c r="U157" i="2"/>
  <c r="AC157" i="2"/>
  <c r="W157" i="2"/>
  <c r="AB157" i="2"/>
  <c r="Z157" i="2"/>
  <c r="X157" i="2"/>
  <c r="R158" i="2"/>
  <c r="X157" i="1"/>
  <c r="J156" i="1"/>
  <c r="K156" i="1" s="1"/>
  <c r="O156" i="1" s="1"/>
  <c r="P156" i="1" s="1"/>
  <c r="Q156" i="1" s="1"/>
  <c r="R155" i="1"/>
  <c r="S155" i="1"/>
  <c r="G157" i="1"/>
  <c r="I157" i="1" s="1"/>
  <c r="Z157" i="1"/>
  <c r="V158" i="1"/>
  <c r="W158" i="1" s="1"/>
  <c r="Y158" i="1"/>
  <c r="Z158" i="1" s="1"/>
  <c r="X158" i="1"/>
  <c r="C157" i="1"/>
  <c r="D157" i="1"/>
  <c r="E158" i="1"/>
  <c r="B158" i="1"/>
  <c r="L158" i="1" s="1"/>
  <c r="A159" i="1"/>
  <c r="H159" i="1" s="1"/>
  <c r="AS157" i="2" l="1"/>
  <c r="Y158" i="2"/>
  <c r="X158" i="2"/>
  <c r="U158" i="2"/>
  <c r="T158" i="2"/>
  <c r="V158" i="2"/>
  <c r="R159" i="2"/>
  <c r="AD158" i="2"/>
  <c r="AA158" i="2"/>
  <c r="W158" i="2"/>
  <c r="AE158" i="2"/>
  <c r="S158" i="2"/>
  <c r="Z158" i="2"/>
  <c r="AC158" i="2"/>
  <c r="AB158" i="2"/>
  <c r="AQ157" i="2"/>
  <c r="AN157" i="2"/>
  <c r="H158" i="2"/>
  <c r="K158" i="2"/>
  <c r="J158" i="2"/>
  <c r="AN158" i="2" s="1"/>
  <c r="M158" i="2"/>
  <c r="E158" i="2"/>
  <c r="AI158" i="2" s="1"/>
  <c r="F158" i="2"/>
  <c r="AJ158" i="2" s="1"/>
  <c r="G158" i="2"/>
  <c r="AK158" i="2" s="1"/>
  <c r="D158" i="2"/>
  <c r="I158" i="2"/>
  <c r="AM158" i="2" s="1"/>
  <c r="C159" i="2"/>
  <c r="O158" i="2"/>
  <c r="AS158" i="2" s="1"/>
  <c r="N158" i="2"/>
  <c r="AR158" i="2" s="1"/>
  <c r="L158" i="2"/>
  <c r="AP158" i="2" s="1"/>
  <c r="AO157" i="2"/>
  <c r="AM157" i="2"/>
  <c r="AR157" i="2"/>
  <c r="J157" i="1"/>
  <c r="K157" i="1" s="1"/>
  <c r="O157" i="1" s="1"/>
  <c r="P157" i="1" s="1"/>
  <c r="Q157" i="1" s="1"/>
  <c r="R156" i="1"/>
  <c r="S156" i="1"/>
  <c r="G158" i="1"/>
  <c r="I158" i="1" s="1"/>
  <c r="V159" i="1"/>
  <c r="Y159" i="1"/>
  <c r="W159" i="1"/>
  <c r="X159" i="1"/>
  <c r="D158" i="1"/>
  <c r="C158" i="1"/>
  <c r="E159" i="1"/>
  <c r="B159" i="1"/>
  <c r="L159" i="1" s="1"/>
  <c r="A160" i="1"/>
  <c r="H160" i="1" s="1"/>
  <c r="AQ158" i="2" l="1"/>
  <c r="AH158" i="2"/>
  <c r="Y159" i="2"/>
  <c r="U159" i="2"/>
  <c r="Z159" i="2"/>
  <c r="X159" i="2"/>
  <c r="R160" i="2"/>
  <c r="S159" i="2"/>
  <c r="AE159" i="2"/>
  <c r="AD159" i="2"/>
  <c r="AA159" i="2"/>
  <c r="W159" i="2"/>
  <c r="V159" i="2"/>
  <c r="T159" i="2"/>
  <c r="AC159" i="2"/>
  <c r="AB159" i="2"/>
  <c r="AO158" i="2"/>
  <c r="N159" i="2"/>
  <c r="M159" i="2"/>
  <c r="J159" i="2"/>
  <c r="AN159" i="2" s="1"/>
  <c r="I159" i="2"/>
  <c r="AM159" i="2" s="1"/>
  <c r="O159" i="2"/>
  <c r="L159" i="2"/>
  <c r="K159" i="2"/>
  <c r="AO159" i="2" s="1"/>
  <c r="H159" i="2"/>
  <c r="G159" i="2"/>
  <c r="F159" i="2"/>
  <c r="AJ159" i="2" s="1"/>
  <c r="C160" i="2"/>
  <c r="E159" i="2"/>
  <c r="AI159" i="2" s="1"/>
  <c r="D159" i="2"/>
  <c r="AH159" i="2" s="1"/>
  <c r="AL158" i="2"/>
  <c r="J158" i="1"/>
  <c r="K158" i="1" s="1"/>
  <c r="O158" i="1" s="1"/>
  <c r="P158" i="1" s="1"/>
  <c r="Q158" i="1" s="1"/>
  <c r="R157" i="1"/>
  <c r="S157" i="1"/>
  <c r="Z159" i="1"/>
  <c r="G159" i="1"/>
  <c r="I159" i="1" s="1"/>
  <c r="V160" i="1"/>
  <c r="W160" i="1" s="1"/>
  <c r="Y160" i="1"/>
  <c r="C159" i="1"/>
  <c r="D159" i="1"/>
  <c r="A161" i="1"/>
  <c r="H161" i="1" s="1"/>
  <c r="E160" i="1"/>
  <c r="B160" i="1"/>
  <c r="L160" i="1" s="1"/>
  <c r="M160" i="2" l="1"/>
  <c r="O160" i="2"/>
  <c r="G160" i="2"/>
  <c r="N160" i="2"/>
  <c r="F160" i="2"/>
  <c r="K160" i="2"/>
  <c r="D160" i="2"/>
  <c r="C161" i="2"/>
  <c r="J160" i="2"/>
  <c r="AN160" i="2" s="1"/>
  <c r="H160" i="2"/>
  <c r="L160" i="2"/>
  <c r="AP160" i="2" s="1"/>
  <c r="E160" i="2"/>
  <c r="AI160" i="2" s="1"/>
  <c r="I160" i="2"/>
  <c r="AM160" i="2" s="1"/>
  <c r="AK159" i="2"/>
  <c r="AQ159" i="2"/>
  <c r="AL159" i="2"/>
  <c r="AP159" i="2"/>
  <c r="AS159" i="2"/>
  <c r="AR159" i="2"/>
  <c r="T160" i="2"/>
  <c r="AB160" i="2"/>
  <c r="Y160" i="2"/>
  <c r="Z160" i="2"/>
  <c r="V160" i="2"/>
  <c r="R161" i="2"/>
  <c r="AA160" i="2"/>
  <c r="X160" i="2"/>
  <c r="S160" i="2"/>
  <c r="AD160" i="2"/>
  <c r="AE160" i="2"/>
  <c r="U160" i="2"/>
  <c r="W160" i="2"/>
  <c r="AC160" i="2"/>
  <c r="J159" i="1"/>
  <c r="K159" i="1" s="1"/>
  <c r="O159" i="1" s="1"/>
  <c r="P159" i="1" s="1"/>
  <c r="Q159" i="1" s="1"/>
  <c r="R158" i="1"/>
  <c r="S158" i="1"/>
  <c r="G160" i="1"/>
  <c r="I160" i="1" s="1"/>
  <c r="X160" i="1"/>
  <c r="Z160" i="1"/>
  <c r="V161" i="1"/>
  <c r="X161" i="1" s="1"/>
  <c r="Y161" i="1"/>
  <c r="D160" i="1"/>
  <c r="C160" i="1"/>
  <c r="A162" i="1"/>
  <c r="H162" i="1" s="1"/>
  <c r="E161" i="1"/>
  <c r="B161" i="1"/>
  <c r="L161" i="1" s="1"/>
  <c r="AR160" i="2" l="1"/>
  <c r="AH160" i="2"/>
  <c r="AO160" i="2"/>
  <c r="AJ160" i="2"/>
  <c r="W161" i="2"/>
  <c r="V161" i="2"/>
  <c r="Y161" i="2"/>
  <c r="X161" i="2"/>
  <c r="AE161" i="2"/>
  <c r="AC161" i="2"/>
  <c r="AB161" i="2"/>
  <c r="AA161" i="2"/>
  <c r="Z161" i="2"/>
  <c r="AD161" i="2"/>
  <c r="T161" i="2"/>
  <c r="R162" i="2"/>
  <c r="S161" i="2"/>
  <c r="U161" i="2"/>
  <c r="H161" i="2"/>
  <c r="O161" i="2"/>
  <c r="G161" i="2"/>
  <c r="I161" i="2"/>
  <c r="AM161" i="2" s="1"/>
  <c r="E161" i="2"/>
  <c r="M161" i="2"/>
  <c r="D161" i="2"/>
  <c r="L161" i="2"/>
  <c r="AP161" i="2" s="1"/>
  <c r="N161" i="2"/>
  <c r="AR161" i="2" s="1"/>
  <c r="C162" i="2"/>
  <c r="J161" i="2"/>
  <c r="AN161" i="2" s="1"/>
  <c r="F161" i="2"/>
  <c r="AJ161" i="2" s="1"/>
  <c r="K161" i="2"/>
  <c r="AO161" i="2" s="1"/>
  <c r="AK160" i="2"/>
  <c r="AS160" i="2"/>
  <c r="AL160" i="2"/>
  <c r="AQ160" i="2"/>
  <c r="W161" i="1"/>
  <c r="Z161" i="1"/>
  <c r="J160" i="1"/>
  <c r="K160" i="1" s="1"/>
  <c r="O160" i="1" s="1"/>
  <c r="P160" i="1" s="1"/>
  <c r="Q160" i="1" s="1"/>
  <c r="R159" i="1"/>
  <c r="S159" i="1"/>
  <c r="G161" i="1"/>
  <c r="I161" i="1" s="1"/>
  <c r="V162" i="1"/>
  <c r="W162" i="1" s="1"/>
  <c r="Y162" i="1"/>
  <c r="X162" i="1"/>
  <c r="D161" i="1"/>
  <c r="C161" i="1"/>
  <c r="E162" i="1"/>
  <c r="A163" i="1"/>
  <c r="H163" i="1" s="1"/>
  <c r="B162" i="1"/>
  <c r="L162" i="1" s="1"/>
  <c r="AH161" i="2" l="1"/>
  <c r="F162" i="2"/>
  <c r="H162" i="2"/>
  <c r="AL162" i="2" s="1"/>
  <c r="N162" i="2"/>
  <c r="AR162" i="2" s="1"/>
  <c r="O162" i="2"/>
  <c r="L162" i="2"/>
  <c r="K162" i="2"/>
  <c r="AO162" i="2" s="1"/>
  <c r="D162" i="2"/>
  <c r="AH162" i="2" s="1"/>
  <c r="C163" i="2"/>
  <c r="M162" i="2"/>
  <c r="AQ162" i="2" s="1"/>
  <c r="I162" i="2"/>
  <c r="AM162" i="2" s="1"/>
  <c r="J162" i="2"/>
  <c r="AN162" i="2" s="1"/>
  <c r="E162" i="2"/>
  <c r="AI162" i="2" s="1"/>
  <c r="G162" i="2"/>
  <c r="AK162" i="2" s="1"/>
  <c r="AQ161" i="2"/>
  <c r="AK161" i="2"/>
  <c r="AI161" i="2"/>
  <c r="AS161" i="2"/>
  <c r="AL161" i="2"/>
  <c r="AC162" i="2"/>
  <c r="S162" i="2"/>
  <c r="T162" i="2"/>
  <c r="AE162" i="2"/>
  <c r="Z162" i="2"/>
  <c r="R163" i="2"/>
  <c r="AB162" i="2"/>
  <c r="Y162" i="2"/>
  <c r="X162" i="2"/>
  <c r="U162" i="2"/>
  <c r="AA162" i="2"/>
  <c r="AD162" i="2"/>
  <c r="V162" i="2"/>
  <c r="W162" i="2"/>
  <c r="J161" i="1"/>
  <c r="K161" i="1" s="1"/>
  <c r="O161" i="1" s="1"/>
  <c r="P161" i="1" s="1"/>
  <c r="Q161" i="1" s="1"/>
  <c r="R160" i="1"/>
  <c r="S160" i="1"/>
  <c r="Z162" i="1"/>
  <c r="G162" i="1"/>
  <c r="I162" i="1" s="1"/>
  <c r="V163" i="1"/>
  <c r="Y163" i="1"/>
  <c r="Z163" i="1" s="1"/>
  <c r="W163" i="1"/>
  <c r="X163" i="1"/>
  <c r="C162" i="1"/>
  <c r="D162" i="1"/>
  <c r="B163" i="1"/>
  <c r="L163" i="1" s="1"/>
  <c r="E163" i="1"/>
  <c r="A164" i="1"/>
  <c r="H164" i="1" s="1"/>
  <c r="AP162" i="2" l="1"/>
  <c r="H163" i="2"/>
  <c r="G163" i="2"/>
  <c r="AK163" i="2" s="1"/>
  <c r="O163" i="2"/>
  <c r="AS163" i="2" s="1"/>
  <c r="K163" i="2"/>
  <c r="M163" i="2"/>
  <c r="J163" i="2"/>
  <c r="F163" i="2"/>
  <c r="E163" i="2"/>
  <c r="AI163" i="2" s="1"/>
  <c r="D163" i="2"/>
  <c r="AH163" i="2" s="1"/>
  <c r="N163" i="2"/>
  <c r="AR163" i="2" s="1"/>
  <c r="L163" i="2"/>
  <c r="AP163" i="2" s="1"/>
  <c r="C164" i="2"/>
  <c r="I163" i="2"/>
  <c r="AM163" i="2" s="1"/>
  <c r="AS162" i="2"/>
  <c r="AJ162" i="2"/>
  <c r="AC163" i="2"/>
  <c r="V163" i="2"/>
  <c r="T163" i="2"/>
  <c r="AD163" i="2"/>
  <c r="W163" i="2"/>
  <c r="S163" i="2"/>
  <c r="AA163" i="2"/>
  <c r="AB163" i="2"/>
  <c r="AE163" i="2"/>
  <c r="Y163" i="2"/>
  <c r="X163" i="2"/>
  <c r="R164" i="2"/>
  <c r="Z163" i="2"/>
  <c r="U163" i="2"/>
  <c r="J162" i="1"/>
  <c r="K162" i="1" s="1"/>
  <c r="O162" i="1" s="1"/>
  <c r="P162" i="1" s="1"/>
  <c r="Q162" i="1" s="1"/>
  <c r="R161" i="1"/>
  <c r="S161" i="1"/>
  <c r="G163" i="1"/>
  <c r="I163" i="1" s="1"/>
  <c r="V164" i="1"/>
  <c r="X164" i="1" s="1"/>
  <c r="Y164" i="1"/>
  <c r="B164" i="1"/>
  <c r="L164" i="1" s="1"/>
  <c r="A165" i="1"/>
  <c r="H165" i="1" s="1"/>
  <c r="E164" i="1"/>
  <c r="C163" i="1"/>
  <c r="D163" i="1"/>
  <c r="AJ163" i="2" l="1"/>
  <c r="K164" i="2"/>
  <c r="C165" i="2"/>
  <c r="O164" i="2"/>
  <c r="E164" i="2"/>
  <c r="L164" i="2"/>
  <c r="AP164" i="2" s="1"/>
  <c r="G164" i="2"/>
  <c r="I164" i="2"/>
  <c r="AM164" i="2" s="1"/>
  <c r="M164" i="2"/>
  <c r="AQ164" i="2" s="1"/>
  <c r="H164" i="2"/>
  <c r="AL164" i="2" s="1"/>
  <c r="D164" i="2"/>
  <c r="N164" i="2"/>
  <c r="AR164" i="2" s="1"/>
  <c r="J164" i="2"/>
  <c r="AN164" i="2" s="1"/>
  <c r="F164" i="2"/>
  <c r="AJ164" i="2" s="1"/>
  <c r="AQ163" i="2"/>
  <c r="U164" i="2"/>
  <c r="AC164" i="2"/>
  <c r="AB164" i="2"/>
  <c r="AA164" i="2"/>
  <c r="Z164" i="2"/>
  <c r="Y164" i="2"/>
  <c r="X164" i="2"/>
  <c r="W164" i="2"/>
  <c r="AE164" i="2"/>
  <c r="R165" i="2"/>
  <c r="AD164" i="2"/>
  <c r="T164" i="2"/>
  <c r="S164" i="2"/>
  <c r="V164" i="2"/>
  <c r="AL163" i="2"/>
  <c r="AN163" i="2"/>
  <c r="AO163" i="2"/>
  <c r="J163" i="1"/>
  <c r="K163" i="1" s="1"/>
  <c r="O163" i="1" s="1"/>
  <c r="P163" i="1" s="1"/>
  <c r="Q163" i="1" s="1"/>
  <c r="R162" i="1"/>
  <c r="S162" i="1"/>
  <c r="W164" i="1"/>
  <c r="Z164" i="1"/>
  <c r="G164" i="1"/>
  <c r="I164" i="1" s="1"/>
  <c r="V165" i="1"/>
  <c r="X165" i="1" s="1"/>
  <c r="Y165" i="1"/>
  <c r="Z165" i="1" s="1"/>
  <c r="W165" i="1"/>
  <c r="E165" i="1"/>
  <c r="A166" i="1"/>
  <c r="H166" i="1" s="1"/>
  <c r="B165" i="1"/>
  <c r="L165" i="1" s="1"/>
  <c r="D164" i="1"/>
  <c r="C164" i="1"/>
  <c r="AS164" i="2" l="1"/>
  <c r="AI164" i="2"/>
  <c r="T165" i="2"/>
  <c r="AB165" i="2"/>
  <c r="W165" i="2"/>
  <c r="R166" i="2"/>
  <c r="AD165" i="2"/>
  <c r="Z165" i="2"/>
  <c r="S165" i="2"/>
  <c r="AC165" i="2"/>
  <c r="X165" i="2"/>
  <c r="AE165" i="2"/>
  <c r="AA165" i="2"/>
  <c r="V165" i="2"/>
  <c r="Y165" i="2"/>
  <c r="U165" i="2"/>
  <c r="AK164" i="2"/>
  <c r="D165" i="2"/>
  <c r="E165" i="2"/>
  <c r="AI165" i="2" s="1"/>
  <c r="I165" i="2"/>
  <c r="G165" i="2"/>
  <c r="K165" i="2"/>
  <c r="N165" i="2"/>
  <c r="M165" i="2"/>
  <c r="AQ165" i="2" s="1"/>
  <c r="J165" i="2"/>
  <c r="H165" i="2"/>
  <c r="AL165" i="2" s="1"/>
  <c r="C166" i="2"/>
  <c r="F165" i="2"/>
  <c r="O165" i="2"/>
  <c r="AS165" i="2" s="1"/>
  <c r="L165" i="2"/>
  <c r="AP165" i="2" s="1"/>
  <c r="AO164" i="2"/>
  <c r="AH164" i="2"/>
  <c r="J164" i="1"/>
  <c r="K164" i="1" s="1"/>
  <c r="O164" i="1" s="1"/>
  <c r="P164" i="1" s="1"/>
  <c r="Q164" i="1" s="1"/>
  <c r="R163" i="1"/>
  <c r="S163" i="1"/>
  <c r="G165" i="1"/>
  <c r="I165" i="1" s="1"/>
  <c r="V166" i="1"/>
  <c r="Y166" i="1"/>
  <c r="Z166" i="1" s="1"/>
  <c r="X166" i="1"/>
  <c r="W166" i="1"/>
  <c r="D165" i="1"/>
  <c r="C165" i="1"/>
  <c r="E166" i="1"/>
  <c r="A167" i="1"/>
  <c r="H167" i="1" s="1"/>
  <c r="B166" i="1"/>
  <c r="L166" i="1" s="1"/>
  <c r="AJ165" i="2" l="1"/>
  <c r="AB166" i="2"/>
  <c r="AA166" i="2"/>
  <c r="R167" i="2"/>
  <c r="Y166" i="2"/>
  <c r="AC166" i="2"/>
  <c r="X166" i="2"/>
  <c r="U166" i="2"/>
  <c r="T166" i="2"/>
  <c r="AD166" i="2"/>
  <c r="Z166" i="2"/>
  <c r="S166" i="2"/>
  <c r="V166" i="2"/>
  <c r="W166" i="2"/>
  <c r="AE166" i="2"/>
  <c r="AK165" i="2"/>
  <c r="AO165" i="2"/>
  <c r="AM165" i="2"/>
  <c r="L166" i="2"/>
  <c r="AP166" i="2" s="1"/>
  <c r="D166" i="2"/>
  <c r="E166" i="2"/>
  <c r="J166" i="2"/>
  <c r="AN166" i="2" s="1"/>
  <c r="O166" i="2"/>
  <c r="M166" i="2"/>
  <c r="AQ166" i="2" s="1"/>
  <c r="F166" i="2"/>
  <c r="AJ166" i="2" s="1"/>
  <c r="N166" i="2"/>
  <c r="AR166" i="2" s="1"/>
  <c r="I166" i="2"/>
  <c r="AM166" i="2" s="1"/>
  <c r="K166" i="2"/>
  <c r="AO166" i="2" s="1"/>
  <c r="H166" i="2"/>
  <c r="AL166" i="2" s="1"/>
  <c r="C167" i="2"/>
  <c r="G166" i="2"/>
  <c r="AK166" i="2" s="1"/>
  <c r="AN165" i="2"/>
  <c r="AR165" i="2"/>
  <c r="AH165" i="2"/>
  <c r="J165" i="1"/>
  <c r="K165" i="1" s="1"/>
  <c r="O165" i="1" s="1"/>
  <c r="P165" i="1" s="1"/>
  <c r="Q165" i="1" s="1"/>
  <c r="R164" i="1"/>
  <c r="S164" i="1"/>
  <c r="G166" i="1"/>
  <c r="I166" i="1" s="1"/>
  <c r="V167" i="1"/>
  <c r="Y167" i="1"/>
  <c r="Z167" i="1" s="1"/>
  <c r="X167" i="1"/>
  <c r="W167" i="1"/>
  <c r="D166" i="1"/>
  <c r="C166" i="1"/>
  <c r="B167" i="1"/>
  <c r="L167" i="1" s="1"/>
  <c r="A168" i="1"/>
  <c r="H168" i="1" s="1"/>
  <c r="E167" i="1"/>
  <c r="M167" i="2" l="1"/>
  <c r="F167" i="2"/>
  <c r="N167" i="2"/>
  <c r="I167" i="2"/>
  <c r="K167" i="2"/>
  <c r="AO167" i="2" s="1"/>
  <c r="C168" i="2"/>
  <c r="E167" i="2"/>
  <c r="L167" i="2"/>
  <c r="AP167" i="2" s="1"/>
  <c r="G167" i="2"/>
  <c r="AK167" i="2" s="1"/>
  <c r="J167" i="2"/>
  <c r="AN167" i="2" s="1"/>
  <c r="H167" i="2"/>
  <c r="O167" i="2"/>
  <c r="AS167" i="2" s="1"/>
  <c r="D167" i="2"/>
  <c r="AS166" i="2"/>
  <c r="AI166" i="2"/>
  <c r="S167" i="2"/>
  <c r="Z167" i="2"/>
  <c r="V167" i="2"/>
  <c r="U167" i="2"/>
  <c r="AD167" i="2"/>
  <c r="AA167" i="2"/>
  <c r="R168" i="2"/>
  <c r="Y167" i="2"/>
  <c r="AE167" i="2"/>
  <c r="T167" i="2"/>
  <c r="X167" i="2"/>
  <c r="AB167" i="2"/>
  <c r="AC167" i="2"/>
  <c r="W167" i="2"/>
  <c r="AH166" i="2"/>
  <c r="J166" i="1"/>
  <c r="K166" i="1" s="1"/>
  <c r="O166" i="1" s="1"/>
  <c r="P166" i="1" s="1"/>
  <c r="Q166" i="1" s="1"/>
  <c r="R165" i="1"/>
  <c r="S165" i="1"/>
  <c r="G167" i="1"/>
  <c r="I167" i="1" s="1"/>
  <c r="V168" i="1"/>
  <c r="Y168" i="1"/>
  <c r="Z168" i="1" s="1"/>
  <c r="X168" i="1"/>
  <c r="W168" i="1"/>
  <c r="D167" i="1"/>
  <c r="C167" i="1"/>
  <c r="E168" i="1"/>
  <c r="B168" i="1"/>
  <c r="L168" i="1" s="1"/>
  <c r="A169" i="1"/>
  <c r="H169" i="1" s="1"/>
  <c r="AH167" i="2" l="1"/>
  <c r="AL167" i="2"/>
  <c r="AI167" i="2"/>
  <c r="AB168" i="2"/>
  <c r="AA168" i="2"/>
  <c r="Y168" i="2"/>
  <c r="X168" i="2"/>
  <c r="T168" i="2"/>
  <c r="AC168" i="2"/>
  <c r="AD168" i="2"/>
  <c r="S168" i="2"/>
  <c r="AE168" i="2"/>
  <c r="U168" i="2"/>
  <c r="R169" i="2"/>
  <c r="V168" i="2"/>
  <c r="W168" i="2"/>
  <c r="Z168" i="2"/>
  <c r="L168" i="2"/>
  <c r="D168" i="2"/>
  <c r="G168" i="2"/>
  <c r="E168" i="2"/>
  <c r="M168" i="2"/>
  <c r="AQ168" i="2" s="1"/>
  <c r="O168" i="2"/>
  <c r="H168" i="2"/>
  <c r="I168" i="2"/>
  <c r="AM168" i="2" s="1"/>
  <c r="K168" i="2"/>
  <c r="AO168" i="2" s="1"/>
  <c r="F168" i="2"/>
  <c r="N168" i="2"/>
  <c r="AR168" i="2" s="1"/>
  <c r="C169" i="2"/>
  <c r="J168" i="2"/>
  <c r="AN168" i="2" s="1"/>
  <c r="AR167" i="2"/>
  <c r="AJ167" i="2"/>
  <c r="AM167" i="2"/>
  <c r="AQ167" i="2"/>
  <c r="J167" i="1"/>
  <c r="K167" i="1" s="1"/>
  <c r="O167" i="1" s="1"/>
  <c r="R166" i="1"/>
  <c r="S166" i="1"/>
  <c r="G168" i="1"/>
  <c r="I168" i="1" s="1"/>
  <c r="V169" i="1"/>
  <c r="W169" i="1" s="1"/>
  <c r="Y169" i="1"/>
  <c r="Z169" i="1" s="1"/>
  <c r="E169" i="1"/>
  <c r="A170" i="1"/>
  <c r="H170" i="1" s="1"/>
  <c r="B169" i="1"/>
  <c r="L169" i="1" s="1"/>
  <c r="C168" i="1"/>
  <c r="D168" i="1"/>
  <c r="AA169" i="2" l="1"/>
  <c r="AC169" i="2"/>
  <c r="R170" i="2"/>
  <c r="Z169" i="2"/>
  <c r="AD169" i="2"/>
  <c r="U169" i="2"/>
  <c r="T169" i="2"/>
  <c r="W169" i="2"/>
  <c r="AE169" i="2"/>
  <c r="AB169" i="2"/>
  <c r="V169" i="2"/>
  <c r="Y169" i="2"/>
  <c r="X169" i="2"/>
  <c r="S169" i="2"/>
  <c r="AJ168" i="2"/>
  <c r="AL168" i="2"/>
  <c r="AK168" i="2"/>
  <c r="J169" i="2"/>
  <c r="G169" i="2"/>
  <c r="N169" i="2"/>
  <c r="AR169" i="2" s="1"/>
  <c r="I169" i="2"/>
  <c r="H169" i="2"/>
  <c r="AL169" i="2" s="1"/>
  <c r="C170" i="2"/>
  <c r="M169" i="2"/>
  <c r="D169" i="2"/>
  <c r="F169" i="2"/>
  <c r="AJ169" i="2" s="1"/>
  <c r="E169" i="2"/>
  <c r="AI169" i="2" s="1"/>
  <c r="K169" i="2"/>
  <c r="AO169" i="2" s="1"/>
  <c r="O169" i="2"/>
  <c r="AS169" i="2" s="1"/>
  <c r="L169" i="2"/>
  <c r="AP169" i="2" s="1"/>
  <c r="AH168" i="2"/>
  <c r="AS168" i="2"/>
  <c r="AI168" i="2"/>
  <c r="AP168" i="2"/>
  <c r="P167" i="1"/>
  <c r="Q167" i="1" s="1"/>
  <c r="J168" i="1"/>
  <c r="K168" i="1" s="1"/>
  <c r="O168" i="1" s="1"/>
  <c r="P168" i="1" s="1"/>
  <c r="Q168" i="1" s="1"/>
  <c r="X169" i="1"/>
  <c r="G169" i="1"/>
  <c r="I169" i="1" s="1"/>
  <c r="V170" i="1"/>
  <c r="Y170" i="1"/>
  <c r="Z170" i="1" s="1"/>
  <c r="X170" i="1"/>
  <c r="W170" i="1"/>
  <c r="C169" i="1"/>
  <c r="D169" i="1"/>
  <c r="E170" i="1"/>
  <c r="A171" i="1"/>
  <c r="H171" i="1" s="1"/>
  <c r="B170" i="1"/>
  <c r="L170" i="1" s="1"/>
  <c r="G170" i="2" l="1"/>
  <c r="C171" i="2"/>
  <c r="I170" i="2"/>
  <c r="O170" i="2"/>
  <c r="H170" i="2"/>
  <c r="AL170" i="2" s="1"/>
  <c r="L170" i="2"/>
  <c r="D170" i="2"/>
  <c r="E170" i="2"/>
  <c r="AI170" i="2" s="1"/>
  <c r="K170" i="2"/>
  <c r="F170" i="2"/>
  <c r="N170" i="2"/>
  <c r="AR170" i="2" s="1"/>
  <c r="M170" i="2"/>
  <c r="AQ170" i="2" s="1"/>
  <c r="J170" i="2"/>
  <c r="AN170" i="2" s="1"/>
  <c r="AN169" i="2"/>
  <c r="AH169" i="2"/>
  <c r="AQ169" i="2"/>
  <c r="AM169" i="2"/>
  <c r="AK169" i="2"/>
  <c r="W170" i="2"/>
  <c r="T170" i="2"/>
  <c r="AB170" i="2"/>
  <c r="X170" i="2"/>
  <c r="Y170" i="2"/>
  <c r="S170" i="2"/>
  <c r="AC170" i="2"/>
  <c r="R171" i="2"/>
  <c r="AE170" i="2"/>
  <c r="V170" i="2"/>
  <c r="AD170" i="2"/>
  <c r="AA170" i="2"/>
  <c r="Z170" i="2"/>
  <c r="U170" i="2"/>
  <c r="J169" i="1"/>
  <c r="K169" i="1" s="1"/>
  <c r="O169" i="1" s="1"/>
  <c r="P169" i="1" s="1"/>
  <c r="Q169" i="1" s="1"/>
  <c r="R167" i="1"/>
  <c r="S167" i="1"/>
  <c r="R168" i="1"/>
  <c r="S168" i="1"/>
  <c r="G170" i="1"/>
  <c r="I170" i="1" s="1"/>
  <c r="V171" i="1"/>
  <c r="X171" i="1" s="1"/>
  <c r="Y171" i="1"/>
  <c r="C170" i="1"/>
  <c r="D170" i="1"/>
  <c r="B171" i="1"/>
  <c r="L171" i="1" s="1"/>
  <c r="E171" i="1"/>
  <c r="A172" i="1"/>
  <c r="H172" i="1" s="1"/>
  <c r="AP170" i="2" l="1"/>
  <c r="AJ170" i="2"/>
  <c r="AH170" i="2"/>
  <c r="AS170" i="2"/>
  <c r="R172" i="2"/>
  <c r="W171" i="2"/>
  <c r="X171" i="2"/>
  <c r="U171" i="2"/>
  <c r="AB171" i="2"/>
  <c r="V171" i="2"/>
  <c r="AE171" i="2"/>
  <c r="AD171" i="2"/>
  <c r="T171" i="2"/>
  <c r="AA171" i="2"/>
  <c r="AC171" i="2"/>
  <c r="S171" i="2"/>
  <c r="Z171" i="2"/>
  <c r="Y171" i="2"/>
  <c r="AM170" i="2"/>
  <c r="AO170" i="2"/>
  <c r="M171" i="2"/>
  <c r="I171" i="2"/>
  <c r="D171" i="2"/>
  <c r="J171" i="2"/>
  <c r="AN171" i="2" s="1"/>
  <c r="O171" i="2"/>
  <c r="E171" i="2"/>
  <c r="K171" i="2"/>
  <c r="AO171" i="2" s="1"/>
  <c r="L171" i="2"/>
  <c r="F171" i="2"/>
  <c r="AJ171" i="2" s="1"/>
  <c r="H171" i="2"/>
  <c r="AL171" i="2" s="1"/>
  <c r="N171" i="2"/>
  <c r="AR171" i="2" s="1"/>
  <c r="C172" i="2"/>
  <c r="G171" i="2"/>
  <c r="AK170" i="2"/>
  <c r="J170" i="1"/>
  <c r="K170" i="1" s="1"/>
  <c r="O170" i="1" s="1"/>
  <c r="P170" i="1" s="1"/>
  <c r="Q170" i="1" s="1"/>
  <c r="R169" i="1"/>
  <c r="S169" i="1"/>
  <c r="G171" i="1"/>
  <c r="I171" i="1" s="1"/>
  <c r="W171" i="1"/>
  <c r="Z171" i="1"/>
  <c r="V172" i="1"/>
  <c r="W172" i="1" s="1"/>
  <c r="Y172" i="1"/>
  <c r="Z172" i="1" s="1"/>
  <c r="X172" i="1"/>
  <c r="B172" i="1"/>
  <c r="L172" i="1" s="1"/>
  <c r="A173" i="1"/>
  <c r="H173" i="1" s="1"/>
  <c r="E172" i="1"/>
  <c r="D171" i="1"/>
  <c r="C171" i="1"/>
  <c r="AS171" i="2" l="1"/>
  <c r="AM171" i="2"/>
  <c r="V172" i="2"/>
  <c r="AC172" i="2"/>
  <c r="AB172" i="2"/>
  <c r="W172" i="2"/>
  <c r="R173" i="2"/>
  <c r="X172" i="2"/>
  <c r="U172" i="2"/>
  <c r="AE172" i="2"/>
  <c r="S172" i="2"/>
  <c r="Y172" i="2"/>
  <c r="AD172" i="2"/>
  <c r="Z172" i="2"/>
  <c r="AA172" i="2"/>
  <c r="T172" i="2"/>
  <c r="C173" i="2"/>
  <c r="J172" i="2"/>
  <c r="L172" i="2"/>
  <c r="F172" i="2"/>
  <c r="M172" i="2"/>
  <c r="AQ172" i="2" s="1"/>
  <c r="K172" i="2"/>
  <c r="E172" i="2"/>
  <c r="H172" i="2"/>
  <c r="AL172" i="2" s="1"/>
  <c r="I172" i="2"/>
  <c r="AM172" i="2" s="1"/>
  <c r="D172" i="2"/>
  <c r="AH172" i="2" s="1"/>
  <c r="N172" i="2"/>
  <c r="AR172" i="2" s="1"/>
  <c r="G172" i="2"/>
  <c r="AK172" i="2" s="1"/>
  <c r="O172" i="2"/>
  <c r="AS172" i="2" s="1"/>
  <c r="AH171" i="2"/>
  <c r="AI171" i="2"/>
  <c r="AQ171" i="2"/>
  <c r="AP171" i="2"/>
  <c r="AK171" i="2"/>
  <c r="J171" i="1"/>
  <c r="K171" i="1" s="1"/>
  <c r="O171" i="1" s="1"/>
  <c r="P171" i="1" s="1"/>
  <c r="Q171" i="1" s="1"/>
  <c r="R170" i="1"/>
  <c r="S170" i="1"/>
  <c r="G172" i="1"/>
  <c r="I172" i="1" s="1"/>
  <c r="V173" i="1"/>
  <c r="X173" i="1" s="1"/>
  <c r="Y173" i="1"/>
  <c r="Z173" i="1" s="1"/>
  <c r="B173" i="1"/>
  <c r="L173" i="1" s="1"/>
  <c r="A174" i="1"/>
  <c r="H174" i="1" s="1"/>
  <c r="E173" i="1"/>
  <c r="C172" i="1"/>
  <c r="D172" i="1"/>
  <c r="AI172" i="2" l="1"/>
  <c r="AJ172" i="2"/>
  <c r="W173" i="2"/>
  <c r="V173" i="2"/>
  <c r="Z173" i="2"/>
  <c r="Y173" i="2"/>
  <c r="S173" i="2"/>
  <c r="AE173" i="2"/>
  <c r="AC173" i="2"/>
  <c r="AB173" i="2"/>
  <c r="AA173" i="2"/>
  <c r="X173" i="2"/>
  <c r="T173" i="2"/>
  <c r="R174" i="2"/>
  <c r="AD173" i="2"/>
  <c r="U173" i="2"/>
  <c r="AP172" i="2"/>
  <c r="AO172" i="2"/>
  <c r="AN172" i="2"/>
  <c r="H173" i="2"/>
  <c r="AL173" i="2" s="1"/>
  <c r="G173" i="2"/>
  <c r="AK173" i="2" s="1"/>
  <c r="L173" i="2"/>
  <c r="N173" i="2"/>
  <c r="I173" i="2"/>
  <c r="E173" i="2"/>
  <c r="F173" i="2"/>
  <c r="C174" i="2"/>
  <c r="O173" i="2"/>
  <c r="D173" i="2"/>
  <c r="AH173" i="2" s="1"/>
  <c r="M173" i="2"/>
  <c r="AQ173" i="2" s="1"/>
  <c r="J173" i="2"/>
  <c r="AN173" i="2" s="1"/>
  <c r="K173" i="2"/>
  <c r="AO173" i="2" s="1"/>
  <c r="W173" i="1"/>
  <c r="J172" i="1"/>
  <c r="K172" i="1" s="1"/>
  <c r="O172" i="1" s="1"/>
  <c r="P172" i="1" s="1"/>
  <c r="Q172" i="1" s="1"/>
  <c r="R171" i="1"/>
  <c r="S171" i="1"/>
  <c r="G173" i="1"/>
  <c r="I173" i="1" s="1"/>
  <c r="V174" i="1"/>
  <c r="X174" i="1" s="1"/>
  <c r="Y174" i="1"/>
  <c r="W174" i="1"/>
  <c r="B174" i="1"/>
  <c r="L174" i="1" s="1"/>
  <c r="A175" i="1"/>
  <c r="H175" i="1" s="1"/>
  <c r="E174" i="1"/>
  <c r="D173" i="1"/>
  <c r="C173" i="1"/>
  <c r="AJ173" i="2" l="1"/>
  <c r="F174" i="2"/>
  <c r="D174" i="2"/>
  <c r="J174" i="2"/>
  <c r="AN174" i="2" s="1"/>
  <c r="G174" i="2"/>
  <c r="M174" i="2"/>
  <c r="AQ174" i="2" s="1"/>
  <c r="O174" i="2"/>
  <c r="AS174" i="2" s="1"/>
  <c r="H174" i="2"/>
  <c r="L174" i="2"/>
  <c r="AP174" i="2" s="1"/>
  <c r="K174" i="2"/>
  <c r="C175" i="2"/>
  <c r="E174" i="2"/>
  <c r="AI174" i="2" s="1"/>
  <c r="N174" i="2"/>
  <c r="AR174" i="2" s="1"/>
  <c r="I174" i="2"/>
  <c r="AM174" i="2" s="1"/>
  <c r="X174" i="2"/>
  <c r="W174" i="2"/>
  <c r="Y174" i="2"/>
  <c r="AD174" i="2"/>
  <c r="AB174" i="2"/>
  <c r="AA174" i="2"/>
  <c r="R175" i="2"/>
  <c r="U174" i="2"/>
  <c r="T174" i="2"/>
  <c r="V174" i="2"/>
  <c r="AE174" i="2"/>
  <c r="S174" i="2"/>
  <c r="AC174" i="2"/>
  <c r="Z174" i="2"/>
  <c r="AM173" i="2"/>
  <c r="AP173" i="2"/>
  <c r="AS173" i="2"/>
  <c r="AI173" i="2"/>
  <c r="AR173" i="2"/>
  <c r="J173" i="1"/>
  <c r="K173" i="1" s="1"/>
  <c r="O173" i="1" s="1"/>
  <c r="P173" i="1" s="1"/>
  <c r="Q173" i="1" s="1"/>
  <c r="R172" i="1"/>
  <c r="S172" i="1"/>
  <c r="Z174" i="1"/>
  <c r="G174" i="1"/>
  <c r="I174" i="1" s="1"/>
  <c r="V175" i="1"/>
  <c r="X175" i="1" s="1"/>
  <c r="Y175" i="1"/>
  <c r="Z175" i="1" s="1"/>
  <c r="A176" i="1"/>
  <c r="H176" i="1" s="1"/>
  <c r="E175" i="1"/>
  <c r="B175" i="1"/>
  <c r="L175" i="1" s="1"/>
  <c r="C174" i="1"/>
  <c r="D174" i="1"/>
  <c r="L175" i="2" l="1"/>
  <c r="M175" i="2"/>
  <c r="C176" i="2"/>
  <c r="K175" i="2"/>
  <c r="H175" i="2"/>
  <c r="AL175" i="2" s="1"/>
  <c r="J175" i="2"/>
  <c r="AN175" i="2" s="1"/>
  <c r="G175" i="2"/>
  <c r="O175" i="2"/>
  <c r="AS175" i="2" s="1"/>
  <c r="F175" i="2"/>
  <c r="N175" i="2"/>
  <c r="AR175" i="2" s="1"/>
  <c r="I175" i="2"/>
  <c r="D175" i="2"/>
  <c r="AH175" i="2" s="1"/>
  <c r="E175" i="2"/>
  <c r="AI175" i="2" s="1"/>
  <c r="AK174" i="2"/>
  <c r="AH174" i="2"/>
  <c r="AO174" i="2"/>
  <c r="AL174" i="2"/>
  <c r="T175" i="2"/>
  <c r="AD175" i="2"/>
  <c r="AA175" i="2"/>
  <c r="W175" i="2"/>
  <c r="AC175" i="2"/>
  <c r="Y175" i="2"/>
  <c r="S175" i="2"/>
  <c r="Z175" i="2"/>
  <c r="V175" i="2"/>
  <c r="AE175" i="2"/>
  <c r="R176" i="2"/>
  <c r="AB175" i="2"/>
  <c r="X175" i="2"/>
  <c r="U175" i="2"/>
  <c r="AJ174" i="2"/>
  <c r="W175" i="1"/>
  <c r="J174" i="1"/>
  <c r="K174" i="1" s="1"/>
  <c r="O174" i="1" s="1"/>
  <c r="P174" i="1" s="1"/>
  <c r="Q174" i="1" s="1"/>
  <c r="R173" i="1"/>
  <c r="S173" i="1"/>
  <c r="G175" i="1"/>
  <c r="I175" i="1" s="1"/>
  <c r="V176" i="1"/>
  <c r="X176" i="1" s="1"/>
  <c r="Y176" i="1"/>
  <c r="E176" i="1"/>
  <c r="A177" i="1"/>
  <c r="H177" i="1" s="1"/>
  <c r="B176" i="1"/>
  <c r="L176" i="1" s="1"/>
  <c r="D175" i="1"/>
  <c r="C175" i="1"/>
  <c r="AE176" i="2" l="1"/>
  <c r="R177" i="2"/>
  <c r="AC176" i="2"/>
  <c r="AB176" i="2"/>
  <c r="X176" i="2"/>
  <c r="AD176" i="2"/>
  <c r="T176" i="2"/>
  <c r="Z176" i="2"/>
  <c r="Y176" i="2"/>
  <c r="U176" i="2"/>
  <c r="W176" i="2"/>
  <c r="S176" i="2"/>
  <c r="V176" i="2"/>
  <c r="AA176" i="2"/>
  <c r="AM175" i="2"/>
  <c r="AO175" i="2"/>
  <c r="C177" i="2"/>
  <c r="D176" i="2"/>
  <c r="F176" i="2"/>
  <c r="J176" i="2"/>
  <c r="M176" i="2"/>
  <c r="AQ176" i="2" s="1"/>
  <c r="K176" i="2"/>
  <c r="AO176" i="2" s="1"/>
  <c r="G176" i="2"/>
  <c r="L176" i="2"/>
  <c r="E176" i="2"/>
  <c r="AI176" i="2" s="1"/>
  <c r="H176" i="2"/>
  <c r="AL176" i="2" s="1"/>
  <c r="O176" i="2"/>
  <c r="AS176" i="2" s="1"/>
  <c r="I176" i="2"/>
  <c r="AM176" i="2" s="1"/>
  <c r="N176" i="2"/>
  <c r="AR176" i="2" s="1"/>
  <c r="AJ175" i="2"/>
  <c r="AQ175" i="2"/>
  <c r="AK175" i="2"/>
  <c r="AP175" i="2"/>
  <c r="J175" i="1"/>
  <c r="K175" i="1" s="1"/>
  <c r="O175" i="1" s="1"/>
  <c r="P175" i="1" s="1"/>
  <c r="Q175" i="1" s="1"/>
  <c r="R174" i="1"/>
  <c r="S174" i="1"/>
  <c r="Z176" i="1"/>
  <c r="W176" i="1"/>
  <c r="G176" i="1"/>
  <c r="I176" i="1" s="1"/>
  <c r="V177" i="1"/>
  <c r="Y177" i="1"/>
  <c r="Z177" i="1" s="1"/>
  <c r="X177" i="1"/>
  <c r="W177" i="1"/>
  <c r="B177" i="1"/>
  <c r="L177" i="1" s="1"/>
  <c r="A178" i="1"/>
  <c r="H178" i="1" s="1"/>
  <c r="E177" i="1"/>
  <c r="D176" i="1"/>
  <c r="C176" i="1"/>
  <c r="AK176" i="2" l="1"/>
  <c r="AN176" i="2"/>
  <c r="AP176" i="2"/>
  <c r="AJ176" i="2"/>
  <c r="AH176" i="2"/>
  <c r="V177" i="2"/>
  <c r="R178" i="2"/>
  <c r="AC177" i="2"/>
  <c r="W177" i="2"/>
  <c r="Y177" i="2"/>
  <c r="Z177" i="2"/>
  <c r="AE177" i="2"/>
  <c r="AD177" i="2"/>
  <c r="X177" i="2"/>
  <c r="U177" i="2"/>
  <c r="T177" i="2"/>
  <c r="S177" i="2"/>
  <c r="AB177" i="2"/>
  <c r="AA177" i="2"/>
  <c r="E177" i="2"/>
  <c r="D177" i="2"/>
  <c r="AH177" i="2" s="1"/>
  <c r="L177" i="2"/>
  <c r="AP177" i="2" s="1"/>
  <c r="C178" i="2"/>
  <c r="J177" i="2"/>
  <c r="AN177" i="2" s="1"/>
  <c r="F177" i="2"/>
  <c r="M177" i="2"/>
  <c r="AQ177" i="2" s="1"/>
  <c r="H177" i="2"/>
  <c r="AL177" i="2" s="1"/>
  <c r="G177" i="2"/>
  <c r="AK177" i="2" s="1"/>
  <c r="N177" i="2"/>
  <c r="AR177" i="2" s="1"/>
  <c r="K177" i="2"/>
  <c r="AO177" i="2" s="1"/>
  <c r="I177" i="2"/>
  <c r="AM177" i="2" s="1"/>
  <c r="O177" i="2"/>
  <c r="AS177" i="2" s="1"/>
  <c r="J176" i="1"/>
  <c r="K176" i="1" s="1"/>
  <c r="O176" i="1" s="1"/>
  <c r="P176" i="1" s="1"/>
  <c r="Q176" i="1" s="1"/>
  <c r="R175" i="1"/>
  <c r="S175" i="1"/>
  <c r="G177" i="1"/>
  <c r="I177" i="1" s="1"/>
  <c r="V178" i="1"/>
  <c r="X178" i="1" s="1"/>
  <c r="Y178" i="1"/>
  <c r="A179" i="1"/>
  <c r="H179" i="1" s="1"/>
  <c r="B178" i="1"/>
  <c r="L178" i="1" s="1"/>
  <c r="E178" i="1"/>
  <c r="C177" i="1"/>
  <c r="D177" i="1"/>
  <c r="AJ177" i="2" l="1"/>
  <c r="AI177" i="2"/>
  <c r="M178" i="2"/>
  <c r="AQ178" i="2" s="1"/>
  <c r="E178" i="2"/>
  <c r="C179" i="2"/>
  <c r="J178" i="2"/>
  <c r="D178" i="2"/>
  <c r="AH178" i="2" s="1"/>
  <c r="H178" i="2"/>
  <c r="AL178" i="2" s="1"/>
  <c r="G178" i="2"/>
  <c r="I178" i="2"/>
  <c r="AM178" i="2" s="1"/>
  <c r="L178" i="2"/>
  <c r="F178" i="2"/>
  <c r="AJ178" i="2" s="1"/>
  <c r="N178" i="2"/>
  <c r="AR178" i="2" s="1"/>
  <c r="K178" i="2"/>
  <c r="AO178" i="2" s="1"/>
  <c r="O178" i="2"/>
  <c r="AS178" i="2" s="1"/>
  <c r="AA178" i="2"/>
  <c r="AC178" i="2"/>
  <c r="AB178" i="2"/>
  <c r="X178" i="2"/>
  <c r="AE178" i="2"/>
  <c r="Z178" i="2"/>
  <c r="S178" i="2"/>
  <c r="W178" i="2"/>
  <c r="U178" i="2"/>
  <c r="T178" i="2"/>
  <c r="R179" i="2"/>
  <c r="Y178" i="2"/>
  <c r="V178" i="2"/>
  <c r="AD178" i="2"/>
  <c r="J177" i="1"/>
  <c r="K177" i="1" s="1"/>
  <c r="O177" i="1" s="1"/>
  <c r="P177" i="1" s="1"/>
  <c r="Q177" i="1" s="1"/>
  <c r="R176" i="1"/>
  <c r="S176" i="1"/>
  <c r="G178" i="1"/>
  <c r="I178" i="1" s="1"/>
  <c r="W178" i="1"/>
  <c r="Z178" i="1"/>
  <c r="V179" i="1"/>
  <c r="X179" i="1" s="1"/>
  <c r="Y179" i="1"/>
  <c r="D178" i="1"/>
  <c r="C178" i="1"/>
  <c r="B179" i="1"/>
  <c r="L179" i="1" s="1"/>
  <c r="A180" i="1"/>
  <c r="H180" i="1" s="1"/>
  <c r="E179" i="1"/>
  <c r="F179" i="2" l="1"/>
  <c r="N179" i="2"/>
  <c r="C180" i="2"/>
  <c r="L179" i="2"/>
  <c r="D179" i="2"/>
  <c r="H179" i="2"/>
  <c r="AL179" i="2" s="1"/>
  <c r="J179" i="2"/>
  <c r="K179" i="2"/>
  <c r="AO179" i="2" s="1"/>
  <c r="O179" i="2"/>
  <c r="AS179" i="2" s="1"/>
  <c r="M179" i="2"/>
  <c r="AQ179" i="2" s="1"/>
  <c r="G179" i="2"/>
  <c r="AK179" i="2" s="1"/>
  <c r="E179" i="2"/>
  <c r="AI179" i="2" s="1"/>
  <c r="I179" i="2"/>
  <c r="AM179" i="2" s="1"/>
  <c r="AI178" i="2"/>
  <c r="AP178" i="2"/>
  <c r="U179" i="2"/>
  <c r="AC179" i="2"/>
  <c r="Z179" i="2"/>
  <c r="T179" i="2"/>
  <c r="AE179" i="2"/>
  <c r="AD179" i="2"/>
  <c r="W179" i="2"/>
  <c r="AB179" i="2"/>
  <c r="R180" i="2"/>
  <c r="V179" i="2"/>
  <c r="S179" i="2"/>
  <c r="AA179" i="2"/>
  <c r="X179" i="2"/>
  <c r="Y179" i="2"/>
  <c r="AK178" i="2"/>
  <c r="AN178" i="2"/>
  <c r="Z179" i="1"/>
  <c r="J178" i="1"/>
  <c r="K178" i="1" s="1"/>
  <c r="O178" i="1" s="1"/>
  <c r="P178" i="1" s="1"/>
  <c r="Q178" i="1" s="1"/>
  <c r="R177" i="1"/>
  <c r="S177" i="1"/>
  <c r="W179" i="1"/>
  <c r="G179" i="1"/>
  <c r="I179" i="1" s="1"/>
  <c r="V180" i="1"/>
  <c r="W180" i="1" s="1"/>
  <c r="Y180" i="1"/>
  <c r="B180" i="1"/>
  <c r="L180" i="1" s="1"/>
  <c r="A181" i="1"/>
  <c r="H181" i="1" s="1"/>
  <c r="E180" i="1"/>
  <c r="C179" i="1"/>
  <c r="D179" i="1"/>
  <c r="AH179" i="2" l="1"/>
  <c r="AR179" i="2"/>
  <c r="AP179" i="2"/>
  <c r="I180" i="2"/>
  <c r="D180" i="2"/>
  <c r="AH180" i="2" s="1"/>
  <c r="L180" i="2"/>
  <c r="F180" i="2"/>
  <c r="H180" i="2"/>
  <c r="E180" i="2"/>
  <c r="AI180" i="2" s="1"/>
  <c r="O180" i="2"/>
  <c r="G180" i="2"/>
  <c r="K180" i="2"/>
  <c r="AO180" i="2" s="1"/>
  <c r="C181" i="2"/>
  <c r="N180" i="2"/>
  <c r="AR180" i="2" s="1"/>
  <c r="M180" i="2"/>
  <c r="AQ180" i="2" s="1"/>
  <c r="J180" i="2"/>
  <c r="AN180" i="2" s="1"/>
  <c r="V180" i="2"/>
  <c r="AA180" i="2"/>
  <c r="T180" i="2"/>
  <c r="R181" i="2"/>
  <c r="Z180" i="2"/>
  <c r="AE180" i="2"/>
  <c r="AC180" i="2"/>
  <c r="Y180" i="2"/>
  <c r="X180" i="2"/>
  <c r="S180" i="2"/>
  <c r="W180" i="2"/>
  <c r="U180" i="2"/>
  <c r="AB180" i="2"/>
  <c r="AD180" i="2"/>
  <c r="AN179" i="2"/>
  <c r="AJ179" i="2"/>
  <c r="J179" i="1"/>
  <c r="K179" i="1" s="1"/>
  <c r="O179" i="1" s="1"/>
  <c r="P179" i="1" s="1"/>
  <c r="Q179" i="1" s="1"/>
  <c r="R178" i="1"/>
  <c r="S178" i="1"/>
  <c r="X180" i="1"/>
  <c r="Z180" i="1"/>
  <c r="G180" i="1"/>
  <c r="I180" i="1" s="1"/>
  <c r="V181" i="1"/>
  <c r="X181" i="1" s="1"/>
  <c r="Y181" i="1"/>
  <c r="Z181" i="1" s="1"/>
  <c r="W181" i="1"/>
  <c r="E181" i="1"/>
  <c r="A182" i="1"/>
  <c r="H182" i="1" s="1"/>
  <c r="B181" i="1"/>
  <c r="L181" i="1" s="1"/>
  <c r="C180" i="1"/>
  <c r="D180" i="1"/>
  <c r="AL180" i="2" l="1"/>
  <c r="AS180" i="2"/>
  <c r="AJ180" i="2"/>
  <c r="M181" i="2"/>
  <c r="AQ181" i="2" s="1"/>
  <c r="O181" i="2"/>
  <c r="K181" i="2"/>
  <c r="H181" i="2"/>
  <c r="L181" i="2"/>
  <c r="N181" i="2"/>
  <c r="J181" i="2"/>
  <c r="AN181" i="2" s="1"/>
  <c r="I181" i="2"/>
  <c r="AM181" i="2" s="1"/>
  <c r="C182" i="2"/>
  <c r="G181" i="2"/>
  <c r="AK181" i="2" s="1"/>
  <c r="F181" i="2"/>
  <c r="AJ181" i="2" s="1"/>
  <c r="D181" i="2"/>
  <c r="AH181" i="2" s="1"/>
  <c r="E181" i="2"/>
  <c r="AI181" i="2" s="1"/>
  <c r="AK180" i="2"/>
  <c r="AP180" i="2"/>
  <c r="AM180" i="2"/>
  <c r="AB181" i="2"/>
  <c r="S181" i="2"/>
  <c r="U181" i="2"/>
  <c r="AD181" i="2"/>
  <c r="Y181" i="2"/>
  <c r="W181" i="2"/>
  <c r="T181" i="2"/>
  <c r="Z181" i="2"/>
  <c r="V181" i="2"/>
  <c r="AE181" i="2"/>
  <c r="AC181" i="2"/>
  <c r="R182" i="2"/>
  <c r="AA181" i="2"/>
  <c r="X181" i="2"/>
  <c r="J180" i="1"/>
  <c r="K180" i="1" s="1"/>
  <c r="O180" i="1" s="1"/>
  <c r="P180" i="1" s="1"/>
  <c r="Q180" i="1" s="1"/>
  <c r="R179" i="1"/>
  <c r="S179" i="1"/>
  <c r="G181" i="1"/>
  <c r="I181" i="1" s="1"/>
  <c r="V182" i="1"/>
  <c r="Y182" i="1"/>
  <c r="Z182" i="1" s="1"/>
  <c r="X182" i="1"/>
  <c r="W182" i="1"/>
  <c r="C181" i="1"/>
  <c r="D181" i="1"/>
  <c r="E182" i="1"/>
  <c r="A183" i="1"/>
  <c r="H183" i="1" s="1"/>
  <c r="B182" i="1"/>
  <c r="L182" i="1" s="1"/>
  <c r="L182" i="2" l="1"/>
  <c r="O182" i="2"/>
  <c r="K182" i="2"/>
  <c r="C183" i="2"/>
  <c r="H182" i="2"/>
  <c r="G182" i="2"/>
  <c r="AK182" i="2" s="1"/>
  <c r="M182" i="2"/>
  <c r="AQ182" i="2" s="1"/>
  <c r="D182" i="2"/>
  <c r="AH182" i="2" s="1"/>
  <c r="I182" i="2"/>
  <c r="AM182" i="2" s="1"/>
  <c r="J182" i="2"/>
  <c r="N182" i="2"/>
  <c r="AR182" i="2" s="1"/>
  <c r="F182" i="2"/>
  <c r="AJ182" i="2" s="1"/>
  <c r="E182" i="2"/>
  <c r="AP181" i="2"/>
  <c r="Y182" i="2"/>
  <c r="T182" i="2"/>
  <c r="V182" i="2"/>
  <c r="X182" i="2"/>
  <c r="R183" i="2"/>
  <c r="U182" i="2"/>
  <c r="AD182" i="2"/>
  <c r="S182" i="2"/>
  <c r="AE182" i="2"/>
  <c r="AB182" i="2"/>
  <c r="W182" i="2"/>
  <c r="AA182" i="2"/>
  <c r="Z182" i="2"/>
  <c r="AC182" i="2"/>
  <c r="AR181" i="2"/>
  <c r="AO181" i="2"/>
  <c r="AS181" i="2"/>
  <c r="AL181" i="2"/>
  <c r="J181" i="1"/>
  <c r="K181" i="1" s="1"/>
  <c r="O181" i="1" s="1"/>
  <c r="P181" i="1" s="1"/>
  <c r="Q181" i="1" s="1"/>
  <c r="R180" i="1"/>
  <c r="S180" i="1"/>
  <c r="G182" i="1"/>
  <c r="I182" i="1" s="1"/>
  <c r="V183" i="1"/>
  <c r="W183" i="1" s="1"/>
  <c r="Y183" i="1"/>
  <c r="B183" i="1"/>
  <c r="L183" i="1" s="1"/>
  <c r="A184" i="1"/>
  <c r="H184" i="1" s="1"/>
  <c r="E183" i="1"/>
  <c r="C182" i="1"/>
  <c r="D182" i="1"/>
  <c r="AI182" i="2" l="1"/>
  <c r="AN182" i="2"/>
  <c r="AL182" i="2"/>
  <c r="R184" i="2"/>
  <c r="AB183" i="2"/>
  <c r="X183" i="2"/>
  <c r="S183" i="2"/>
  <c r="AA183" i="2"/>
  <c r="Y183" i="2"/>
  <c r="AD183" i="2"/>
  <c r="U183" i="2"/>
  <c r="T183" i="2"/>
  <c r="AC183" i="2"/>
  <c r="W183" i="2"/>
  <c r="V183" i="2"/>
  <c r="AE183" i="2"/>
  <c r="Z183" i="2"/>
  <c r="AO182" i="2"/>
  <c r="AS182" i="2"/>
  <c r="L183" i="2"/>
  <c r="C184" i="2"/>
  <c r="J183" i="2"/>
  <c r="I183" i="2"/>
  <c r="AM183" i="2" s="1"/>
  <c r="K183" i="2"/>
  <c r="AO183" i="2" s="1"/>
  <c r="O183" i="2"/>
  <c r="D183" i="2"/>
  <c r="AH183" i="2" s="1"/>
  <c r="H183" i="2"/>
  <c r="M183" i="2"/>
  <c r="AQ183" i="2" s="1"/>
  <c r="G183" i="2"/>
  <c r="N183" i="2"/>
  <c r="AR183" i="2" s="1"/>
  <c r="E183" i="2"/>
  <c r="AI183" i="2" s="1"/>
  <c r="F183" i="2"/>
  <c r="AJ183" i="2" s="1"/>
  <c r="AP182" i="2"/>
  <c r="J182" i="1"/>
  <c r="K182" i="1" s="1"/>
  <c r="O182" i="1" s="1"/>
  <c r="P182" i="1" s="1"/>
  <c r="Q182" i="1" s="1"/>
  <c r="R181" i="1"/>
  <c r="S181" i="1"/>
  <c r="X183" i="1"/>
  <c r="Z183" i="1"/>
  <c r="G183" i="1"/>
  <c r="I183" i="1" s="1"/>
  <c r="V184" i="1"/>
  <c r="X184" i="1" s="1"/>
  <c r="Y184" i="1"/>
  <c r="A185" i="1"/>
  <c r="H185" i="1" s="1"/>
  <c r="E184" i="1"/>
  <c r="B184" i="1"/>
  <c r="L184" i="1" s="1"/>
  <c r="D183" i="1"/>
  <c r="C183" i="1"/>
  <c r="AS183" i="2" l="1"/>
  <c r="AL183" i="2"/>
  <c r="AK183" i="2"/>
  <c r="AP183" i="2"/>
  <c r="AN183" i="2"/>
  <c r="J184" i="2"/>
  <c r="L184" i="2"/>
  <c r="N184" i="2"/>
  <c r="AR184" i="2" s="1"/>
  <c r="E184" i="2"/>
  <c r="AI184" i="2" s="1"/>
  <c r="C185" i="2"/>
  <c r="H184" i="2"/>
  <c r="F184" i="2"/>
  <c r="AJ184" i="2" s="1"/>
  <c r="O184" i="2"/>
  <c r="AS184" i="2" s="1"/>
  <c r="M184" i="2"/>
  <c r="AQ184" i="2" s="1"/>
  <c r="D184" i="2"/>
  <c r="AH184" i="2" s="1"/>
  <c r="G184" i="2"/>
  <c r="AK184" i="2" s="1"/>
  <c r="I184" i="2"/>
  <c r="K184" i="2"/>
  <c r="U184" i="2"/>
  <c r="R185" i="2"/>
  <c r="T184" i="2"/>
  <c r="AC184" i="2"/>
  <c r="S184" i="2"/>
  <c r="AE184" i="2"/>
  <c r="AD184" i="2"/>
  <c r="X184" i="2"/>
  <c r="V184" i="2"/>
  <c r="Y184" i="2"/>
  <c r="W184" i="2"/>
  <c r="AB184" i="2"/>
  <c r="AA184" i="2"/>
  <c r="Z184" i="2"/>
  <c r="Z184" i="1"/>
  <c r="W184" i="1"/>
  <c r="J183" i="1"/>
  <c r="K183" i="1" s="1"/>
  <c r="O183" i="1" s="1"/>
  <c r="P183" i="1" s="1"/>
  <c r="Q183" i="1" s="1"/>
  <c r="R182" i="1"/>
  <c r="S182" i="1"/>
  <c r="G184" i="1"/>
  <c r="I184" i="1" s="1"/>
  <c r="V185" i="1"/>
  <c r="Y185" i="1"/>
  <c r="Z185" i="1" s="1"/>
  <c r="X185" i="1"/>
  <c r="W185" i="1"/>
  <c r="C184" i="1"/>
  <c r="D184" i="1"/>
  <c r="B185" i="1"/>
  <c r="L185" i="1" s="1"/>
  <c r="E185" i="1"/>
  <c r="A186" i="1"/>
  <c r="H186" i="1" s="1"/>
  <c r="AL184" i="2" l="1"/>
  <c r="AM184" i="2"/>
  <c r="T185" i="2"/>
  <c r="S185" i="2"/>
  <c r="X185" i="2"/>
  <c r="Z185" i="2"/>
  <c r="R186" i="2"/>
  <c r="AE185" i="2"/>
  <c r="Y185" i="2"/>
  <c r="U185" i="2"/>
  <c r="AC185" i="2"/>
  <c r="AB185" i="2"/>
  <c r="AD185" i="2"/>
  <c r="AA185" i="2"/>
  <c r="W185" i="2"/>
  <c r="V185" i="2"/>
  <c r="H185" i="2"/>
  <c r="F185" i="2"/>
  <c r="G185" i="2"/>
  <c r="E185" i="2"/>
  <c r="AI185" i="2" s="1"/>
  <c r="O185" i="2"/>
  <c r="N185" i="2"/>
  <c r="M185" i="2"/>
  <c r="D185" i="2"/>
  <c r="AH185" i="2" s="1"/>
  <c r="C186" i="2"/>
  <c r="I185" i="2"/>
  <c r="AM185" i="2" s="1"/>
  <c r="J185" i="2"/>
  <c r="AN185" i="2" s="1"/>
  <c r="L185" i="2"/>
  <c r="K185" i="2"/>
  <c r="AO185" i="2" s="1"/>
  <c r="AN184" i="2"/>
  <c r="AP184" i="2"/>
  <c r="AO184" i="2"/>
  <c r="J184" i="1"/>
  <c r="K184" i="1" s="1"/>
  <c r="O184" i="1" s="1"/>
  <c r="P184" i="1" s="1"/>
  <c r="Q184" i="1" s="1"/>
  <c r="R183" i="1"/>
  <c r="S183" i="1"/>
  <c r="G185" i="1"/>
  <c r="I185" i="1" s="1"/>
  <c r="V186" i="1"/>
  <c r="X186" i="1" s="1"/>
  <c r="Y186" i="1"/>
  <c r="Z186" i="1" s="1"/>
  <c r="W186" i="1"/>
  <c r="A187" i="1"/>
  <c r="H187" i="1" s="1"/>
  <c r="E186" i="1"/>
  <c r="B186" i="1"/>
  <c r="L186" i="1" s="1"/>
  <c r="D185" i="1"/>
  <c r="C185" i="1"/>
  <c r="AJ185" i="2" l="1"/>
  <c r="AL185" i="2"/>
  <c r="AR185" i="2"/>
  <c r="AS185" i="2"/>
  <c r="C187" i="2"/>
  <c r="I186" i="2"/>
  <c r="G186" i="2"/>
  <c r="F186" i="2"/>
  <c r="AJ186" i="2" s="1"/>
  <c r="L186" i="2"/>
  <c r="M186" i="2"/>
  <c r="J186" i="2"/>
  <c r="AN186" i="2" s="1"/>
  <c r="D186" i="2"/>
  <c r="H186" i="2"/>
  <c r="E186" i="2"/>
  <c r="AI186" i="2" s="1"/>
  <c r="O186" i="2"/>
  <c r="AS186" i="2" s="1"/>
  <c r="K186" i="2"/>
  <c r="AO186" i="2" s="1"/>
  <c r="N186" i="2"/>
  <c r="AP185" i="2"/>
  <c r="AQ185" i="2"/>
  <c r="AD186" i="2"/>
  <c r="Y186" i="2"/>
  <c r="U186" i="2"/>
  <c r="T186" i="2"/>
  <c r="R187" i="2"/>
  <c r="AE186" i="2"/>
  <c r="AA186" i="2"/>
  <c r="X186" i="2"/>
  <c r="AB186" i="2"/>
  <c r="S186" i="2"/>
  <c r="Z186" i="2"/>
  <c r="W186" i="2"/>
  <c r="AC186" i="2"/>
  <c r="V186" i="2"/>
  <c r="AK185" i="2"/>
  <c r="J185" i="1"/>
  <c r="K185" i="1" s="1"/>
  <c r="O185" i="1" s="1"/>
  <c r="P185" i="1" s="1"/>
  <c r="Q185" i="1" s="1"/>
  <c r="R184" i="1"/>
  <c r="S184" i="1"/>
  <c r="G186" i="1"/>
  <c r="I186" i="1" s="1"/>
  <c r="V187" i="1"/>
  <c r="X187" i="1" s="1"/>
  <c r="Y187" i="1"/>
  <c r="W187" i="1"/>
  <c r="D186" i="1"/>
  <c r="C186" i="1"/>
  <c r="B187" i="1"/>
  <c r="L187" i="1" s="1"/>
  <c r="E187" i="1"/>
  <c r="A188" i="1"/>
  <c r="H188" i="1" s="1"/>
  <c r="AR186" i="2" l="1"/>
  <c r="AL186" i="2"/>
  <c r="AH186" i="2"/>
  <c r="AQ186" i="2"/>
  <c r="AP186" i="2"/>
  <c r="AE187" i="2"/>
  <c r="T187" i="2"/>
  <c r="AA187" i="2"/>
  <c r="W187" i="2"/>
  <c r="V187" i="2"/>
  <c r="Z187" i="2"/>
  <c r="X187" i="2"/>
  <c r="R188" i="2"/>
  <c r="AC187" i="2"/>
  <c r="AB187" i="2"/>
  <c r="U187" i="2"/>
  <c r="Y187" i="2"/>
  <c r="S187" i="2"/>
  <c r="AD187" i="2"/>
  <c r="AK186" i="2"/>
  <c r="AM186" i="2"/>
  <c r="F187" i="2"/>
  <c r="C188" i="2"/>
  <c r="E187" i="2"/>
  <c r="AI187" i="2" s="1"/>
  <c r="G187" i="2"/>
  <c r="AK187" i="2" s="1"/>
  <c r="M187" i="2"/>
  <c r="H187" i="2"/>
  <c r="AL187" i="2" s="1"/>
  <c r="D187" i="2"/>
  <c r="AH187" i="2" s="1"/>
  <c r="L187" i="2"/>
  <c r="AP187" i="2" s="1"/>
  <c r="N187" i="2"/>
  <c r="AR187" i="2" s="1"/>
  <c r="J187" i="2"/>
  <c r="O187" i="2"/>
  <c r="AS187" i="2" s="1"/>
  <c r="K187" i="2"/>
  <c r="I187" i="2"/>
  <c r="Z187" i="1"/>
  <c r="J186" i="1"/>
  <c r="K186" i="1" s="1"/>
  <c r="O186" i="1" s="1"/>
  <c r="P186" i="1" s="1"/>
  <c r="Q186" i="1" s="1"/>
  <c r="R185" i="1"/>
  <c r="S185" i="1"/>
  <c r="G187" i="1"/>
  <c r="I187" i="1" s="1"/>
  <c r="V188" i="1"/>
  <c r="Y188" i="1"/>
  <c r="Z188" i="1" s="1"/>
  <c r="W188" i="1"/>
  <c r="X188" i="1"/>
  <c r="D187" i="1"/>
  <c r="C187" i="1"/>
  <c r="E188" i="1"/>
  <c r="A189" i="1"/>
  <c r="H189" i="1" s="1"/>
  <c r="B188" i="1"/>
  <c r="L188" i="1" s="1"/>
  <c r="AO187" i="2" l="1"/>
  <c r="AA188" i="2"/>
  <c r="V188" i="2"/>
  <c r="AB188" i="2"/>
  <c r="T188" i="2"/>
  <c r="Y188" i="2"/>
  <c r="Z188" i="2"/>
  <c r="U188" i="2"/>
  <c r="S188" i="2"/>
  <c r="X188" i="2"/>
  <c r="W188" i="2"/>
  <c r="AC188" i="2"/>
  <c r="AE188" i="2"/>
  <c r="R189" i="2"/>
  <c r="AD188" i="2"/>
  <c r="AQ187" i="2"/>
  <c r="I188" i="2"/>
  <c r="D188" i="2"/>
  <c r="H188" i="2"/>
  <c r="C189" i="2"/>
  <c r="N188" i="2"/>
  <c r="F188" i="2"/>
  <c r="L188" i="2"/>
  <c r="AP188" i="2" s="1"/>
  <c r="G188" i="2"/>
  <c r="AK188" i="2" s="1"/>
  <c r="J188" i="2"/>
  <c r="AN188" i="2" s="1"/>
  <c r="E188" i="2"/>
  <c r="AI188" i="2" s="1"/>
  <c r="K188" i="2"/>
  <c r="AO188" i="2" s="1"/>
  <c r="O188" i="2"/>
  <c r="M188" i="2"/>
  <c r="AQ188" i="2" s="1"/>
  <c r="AN187" i="2"/>
  <c r="AJ187" i="2"/>
  <c r="AM187" i="2"/>
  <c r="J187" i="1"/>
  <c r="K187" i="1" s="1"/>
  <c r="O187" i="1" s="1"/>
  <c r="P187" i="1" s="1"/>
  <c r="Q187" i="1" s="1"/>
  <c r="R186" i="1"/>
  <c r="S186" i="1"/>
  <c r="G188" i="1"/>
  <c r="I188" i="1" s="1"/>
  <c r="V189" i="1"/>
  <c r="X189" i="1" s="1"/>
  <c r="Y189" i="1"/>
  <c r="W189" i="1"/>
  <c r="C188" i="1"/>
  <c r="D188" i="1"/>
  <c r="A190" i="1"/>
  <c r="H190" i="1" s="1"/>
  <c r="B189" i="1"/>
  <c r="L189" i="1" s="1"/>
  <c r="E189" i="1"/>
  <c r="AR188" i="2" l="1"/>
  <c r="AM188" i="2"/>
  <c r="AA189" i="2"/>
  <c r="W189" i="2"/>
  <c r="V189" i="2"/>
  <c r="U189" i="2"/>
  <c r="T189" i="2"/>
  <c r="AC189" i="2"/>
  <c r="AD189" i="2"/>
  <c r="S189" i="2"/>
  <c r="R190" i="2"/>
  <c r="Z189" i="2"/>
  <c r="AB189" i="2"/>
  <c r="X189" i="2"/>
  <c r="AE189" i="2"/>
  <c r="Y189" i="2"/>
  <c r="K189" i="2"/>
  <c r="H189" i="2"/>
  <c r="AL189" i="2" s="1"/>
  <c r="L189" i="2"/>
  <c r="AP189" i="2" s="1"/>
  <c r="I189" i="2"/>
  <c r="D189" i="2"/>
  <c r="F189" i="2"/>
  <c r="AJ189" i="2" s="1"/>
  <c r="C190" i="2"/>
  <c r="O189" i="2"/>
  <c r="AS189" i="2" s="1"/>
  <c r="E189" i="2"/>
  <c r="AI189" i="2" s="1"/>
  <c r="G189" i="2"/>
  <c r="AK189" i="2" s="1"/>
  <c r="J189" i="2"/>
  <c r="N189" i="2"/>
  <c r="AR189" i="2" s="1"/>
  <c r="M189" i="2"/>
  <c r="AQ189" i="2" s="1"/>
  <c r="AL188" i="2"/>
  <c r="AS188" i="2"/>
  <c r="AJ188" i="2"/>
  <c r="AH188" i="2"/>
  <c r="J188" i="1"/>
  <c r="K188" i="1" s="1"/>
  <c r="O188" i="1" s="1"/>
  <c r="P188" i="1" s="1"/>
  <c r="Q188" i="1" s="1"/>
  <c r="R187" i="1"/>
  <c r="S187" i="1"/>
  <c r="Z189" i="1"/>
  <c r="G189" i="1"/>
  <c r="I189" i="1" s="1"/>
  <c r="V190" i="1"/>
  <c r="X190" i="1" s="1"/>
  <c r="Y190" i="1"/>
  <c r="Z190" i="1" s="1"/>
  <c r="D189" i="1"/>
  <c r="C189" i="1"/>
  <c r="A191" i="1"/>
  <c r="H191" i="1" s="1"/>
  <c r="E190" i="1"/>
  <c r="B190" i="1"/>
  <c r="L190" i="1" s="1"/>
  <c r="AN189" i="2" l="1"/>
  <c r="AO189" i="2"/>
  <c r="AH189" i="2"/>
  <c r="AA190" i="2"/>
  <c r="R191" i="2"/>
  <c r="S190" i="2"/>
  <c r="T190" i="2"/>
  <c r="AD190" i="2"/>
  <c r="W190" i="2"/>
  <c r="V190" i="2"/>
  <c r="Y190" i="2"/>
  <c r="X190" i="2"/>
  <c r="AE190" i="2"/>
  <c r="U190" i="2"/>
  <c r="Z190" i="2"/>
  <c r="AC190" i="2"/>
  <c r="AB190" i="2"/>
  <c r="E190" i="2"/>
  <c r="K190" i="2"/>
  <c r="O190" i="2"/>
  <c r="G190" i="2"/>
  <c r="F190" i="2"/>
  <c r="L190" i="2"/>
  <c r="AP190" i="2" s="1"/>
  <c r="C191" i="2"/>
  <c r="M190" i="2"/>
  <c r="J190" i="2"/>
  <c r="AN190" i="2" s="1"/>
  <c r="N190" i="2"/>
  <c r="H190" i="2"/>
  <c r="AL190" i="2" s="1"/>
  <c r="D190" i="2"/>
  <c r="AH190" i="2" s="1"/>
  <c r="I190" i="2"/>
  <c r="AM190" i="2" s="1"/>
  <c r="AM189" i="2"/>
  <c r="W190" i="1"/>
  <c r="J189" i="1"/>
  <c r="K189" i="1" s="1"/>
  <c r="O189" i="1" s="1"/>
  <c r="P189" i="1" s="1"/>
  <c r="Q189" i="1" s="1"/>
  <c r="R188" i="1"/>
  <c r="S188" i="1"/>
  <c r="G190" i="1"/>
  <c r="I190" i="1" s="1"/>
  <c r="V191" i="1"/>
  <c r="X191" i="1" s="1"/>
  <c r="Y191" i="1"/>
  <c r="W191" i="1"/>
  <c r="D190" i="1"/>
  <c r="C190" i="1"/>
  <c r="B191" i="1"/>
  <c r="L191" i="1" s="1"/>
  <c r="E191" i="1"/>
  <c r="A192" i="1"/>
  <c r="H192" i="1" s="1"/>
  <c r="AI190" i="2" l="1"/>
  <c r="AR190" i="2"/>
  <c r="AJ190" i="2"/>
  <c r="AK190" i="2"/>
  <c r="AB191" i="2"/>
  <c r="Y191" i="2"/>
  <c r="T191" i="2"/>
  <c r="R192" i="2"/>
  <c r="X191" i="2"/>
  <c r="AD191" i="2"/>
  <c r="W191" i="2"/>
  <c r="AA191" i="2"/>
  <c r="S191" i="2"/>
  <c r="AC191" i="2"/>
  <c r="AE191" i="2"/>
  <c r="V191" i="2"/>
  <c r="Z191" i="2"/>
  <c r="U191" i="2"/>
  <c r="AS190" i="2"/>
  <c r="AQ190" i="2"/>
  <c r="L191" i="2"/>
  <c r="F191" i="2"/>
  <c r="AJ191" i="2" s="1"/>
  <c r="C192" i="2"/>
  <c r="O191" i="2"/>
  <c r="I191" i="2"/>
  <c r="AM191" i="2" s="1"/>
  <c r="D191" i="2"/>
  <c r="N191" i="2"/>
  <c r="K191" i="2"/>
  <c r="H191" i="2"/>
  <c r="AL191" i="2" s="1"/>
  <c r="J191" i="2"/>
  <c r="AN191" i="2" s="1"/>
  <c r="G191" i="2"/>
  <c r="AK191" i="2" s="1"/>
  <c r="E191" i="2"/>
  <c r="AI191" i="2" s="1"/>
  <c r="M191" i="2"/>
  <c r="AO190" i="2"/>
  <c r="J190" i="1"/>
  <c r="K190" i="1" s="1"/>
  <c r="O190" i="1" s="1"/>
  <c r="P190" i="1" s="1"/>
  <c r="Q190" i="1" s="1"/>
  <c r="R189" i="1"/>
  <c r="S189" i="1"/>
  <c r="G191" i="1"/>
  <c r="I191" i="1" s="1"/>
  <c r="Z191" i="1"/>
  <c r="V192" i="1"/>
  <c r="Y192" i="1"/>
  <c r="X192" i="1"/>
  <c r="W192" i="1"/>
  <c r="A193" i="1"/>
  <c r="H193" i="1" s="1"/>
  <c r="B192" i="1"/>
  <c r="L192" i="1" s="1"/>
  <c r="E192" i="1"/>
  <c r="D191" i="1"/>
  <c r="C191" i="1"/>
  <c r="AQ191" i="2" l="1"/>
  <c r="AH191" i="2"/>
  <c r="H192" i="2"/>
  <c r="L192" i="2"/>
  <c r="AP192" i="2" s="1"/>
  <c r="J192" i="2"/>
  <c r="C193" i="2"/>
  <c r="G192" i="2"/>
  <c r="O192" i="2"/>
  <c r="AS192" i="2" s="1"/>
  <c r="D192" i="2"/>
  <c r="AH192" i="2" s="1"/>
  <c r="E192" i="2"/>
  <c r="AI192" i="2" s="1"/>
  <c r="F192" i="2"/>
  <c r="K192" i="2"/>
  <c r="AO192" i="2" s="1"/>
  <c r="I192" i="2"/>
  <c r="AM192" i="2" s="1"/>
  <c r="M192" i="2"/>
  <c r="AQ192" i="2" s="1"/>
  <c r="N192" i="2"/>
  <c r="AR192" i="2" s="1"/>
  <c r="AR191" i="2"/>
  <c r="AE192" i="2"/>
  <c r="AA192" i="2"/>
  <c r="T192" i="2"/>
  <c r="S192" i="2"/>
  <c r="AD192" i="2"/>
  <c r="AB192" i="2"/>
  <c r="W192" i="2"/>
  <c r="V192" i="2"/>
  <c r="AC192" i="2"/>
  <c r="X192" i="2"/>
  <c r="Z192" i="2"/>
  <c r="Y192" i="2"/>
  <c r="R193" i="2"/>
  <c r="U192" i="2"/>
  <c r="AP191" i="2"/>
  <c r="AO191" i="2"/>
  <c r="AS191" i="2"/>
  <c r="J191" i="1"/>
  <c r="K191" i="1" s="1"/>
  <c r="O191" i="1" s="1"/>
  <c r="P191" i="1" s="1"/>
  <c r="Q191" i="1" s="1"/>
  <c r="R190" i="1"/>
  <c r="S190" i="1"/>
  <c r="G192" i="1"/>
  <c r="I192" i="1" s="1"/>
  <c r="Z192" i="1"/>
  <c r="V193" i="1"/>
  <c r="Y193" i="1"/>
  <c r="Z193" i="1" s="1"/>
  <c r="X193" i="1"/>
  <c r="W193" i="1"/>
  <c r="D192" i="1"/>
  <c r="C192" i="1"/>
  <c r="A194" i="1"/>
  <c r="H194" i="1" s="1"/>
  <c r="E193" i="1"/>
  <c r="B193" i="1"/>
  <c r="L193" i="1" s="1"/>
  <c r="AJ192" i="2" l="1"/>
  <c r="AK192" i="2"/>
  <c r="AN192" i="2"/>
  <c r="R194" i="2"/>
  <c r="X193" i="2"/>
  <c r="AE193" i="2"/>
  <c r="U193" i="2"/>
  <c r="T193" i="2"/>
  <c r="W193" i="2"/>
  <c r="S193" i="2"/>
  <c r="Y193" i="2"/>
  <c r="AD193" i="2"/>
  <c r="AA193" i="2"/>
  <c r="Z193" i="2"/>
  <c r="V193" i="2"/>
  <c r="AC193" i="2"/>
  <c r="AB193" i="2"/>
  <c r="AL192" i="2"/>
  <c r="L193" i="2"/>
  <c r="K193" i="2"/>
  <c r="D193" i="2"/>
  <c r="O193" i="2"/>
  <c r="M193" i="2"/>
  <c r="AQ193" i="2" s="1"/>
  <c r="H193" i="2"/>
  <c r="AL193" i="2" s="1"/>
  <c r="E193" i="2"/>
  <c r="AI193" i="2" s="1"/>
  <c r="I193" i="2"/>
  <c r="AM193" i="2" s="1"/>
  <c r="G193" i="2"/>
  <c r="J193" i="2"/>
  <c r="AN193" i="2" s="1"/>
  <c r="C194" i="2"/>
  <c r="N193" i="2"/>
  <c r="F193" i="2"/>
  <c r="AJ193" i="2" s="1"/>
  <c r="J192" i="1"/>
  <c r="K192" i="1" s="1"/>
  <c r="O192" i="1" s="1"/>
  <c r="P192" i="1" s="1"/>
  <c r="Q192" i="1" s="1"/>
  <c r="R191" i="1"/>
  <c r="S191" i="1"/>
  <c r="G193" i="1"/>
  <c r="I193" i="1" s="1"/>
  <c r="V194" i="1"/>
  <c r="Y194" i="1"/>
  <c r="X194" i="1"/>
  <c r="W194" i="1"/>
  <c r="Z194" i="1"/>
  <c r="B194" i="1"/>
  <c r="L194" i="1" s="1"/>
  <c r="A195" i="1"/>
  <c r="H195" i="1" s="1"/>
  <c r="E194" i="1"/>
  <c r="D193" i="1"/>
  <c r="C193" i="1"/>
  <c r="C195" i="2" l="1"/>
  <c r="J194" i="2"/>
  <c r="H194" i="2"/>
  <c r="G194" i="2"/>
  <c r="M194" i="2"/>
  <c r="I194" i="2"/>
  <c r="AM194" i="2" s="1"/>
  <c r="D194" i="2"/>
  <c r="L194" i="2"/>
  <c r="AP194" i="2" s="1"/>
  <c r="F194" i="2"/>
  <c r="K194" i="2"/>
  <c r="AO194" i="2" s="1"/>
  <c r="N194" i="2"/>
  <c r="AR194" i="2" s="1"/>
  <c r="O194" i="2"/>
  <c r="E194" i="2"/>
  <c r="AI194" i="2" s="1"/>
  <c r="AD194" i="2"/>
  <c r="U194" i="2"/>
  <c r="S194" i="2"/>
  <c r="AE194" i="2"/>
  <c r="AA194" i="2"/>
  <c r="Z194" i="2"/>
  <c r="Y194" i="2"/>
  <c r="X194" i="2"/>
  <c r="AC194" i="2"/>
  <c r="V194" i="2"/>
  <c r="W194" i="2"/>
  <c r="AB194" i="2"/>
  <c r="R195" i="2"/>
  <c r="T194" i="2"/>
  <c r="AR193" i="2"/>
  <c r="AK193" i="2"/>
  <c r="AP193" i="2"/>
  <c r="AH193" i="2"/>
  <c r="AS193" i="2"/>
  <c r="AO193" i="2"/>
  <c r="J193" i="1"/>
  <c r="K193" i="1" s="1"/>
  <c r="O193" i="1" s="1"/>
  <c r="P193" i="1" s="1"/>
  <c r="Q193" i="1" s="1"/>
  <c r="R192" i="1"/>
  <c r="S192" i="1"/>
  <c r="G194" i="1"/>
  <c r="I194" i="1" s="1"/>
  <c r="V195" i="1"/>
  <c r="Y195" i="1"/>
  <c r="X195" i="1"/>
  <c r="W195" i="1"/>
  <c r="A196" i="1"/>
  <c r="H196" i="1" s="1"/>
  <c r="B195" i="1"/>
  <c r="L195" i="1" s="1"/>
  <c r="E195" i="1"/>
  <c r="C194" i="1"/>
  <c r="D194" i="1"/>
  <c r="AL194" i="2" l="1"/>
  <c r="AS194" i="2"/>
  <c r="V195" i="2"/>
  <c r="S195" i="2"/>
  <c r="W195" i="2"/>
  <c r="X195" i="2"/>
  <c r="AE195" i="2"/>
  <c r="AD195" i="2"/>
  <c r="AA195" i="2"/>
  <c r="AC195" i="2"/>
  <c r="AB195" i="2"/>
  <c r="Z195" i="2"/>
  <c r="U195" i="2"/>
  <c r="T195" i="2"/>
  <c r="Y195" i="2"/>
  <c r="R196" i="2"/>
  <c r="AQ194" i="2"/>
  <c r="AN194" i="2"/>
  <c r="AJ194" i="2"/>
  <c r="AH194" i="2"/>
  <c r="AK194" i="2"/>
  <c r="N195" i="2"/>
  <c r="M195" i="2"/>
  <c r="I195" i="2"/>
  <c r="AM195" i="2" s="1"/>
  <c r="J195" i="2"/>
  <c r="F195" i="2"/>
  <c r="C196" i="2"/>
  <c r="E195" i="2"/>
  <c r="AI195" i="2" s="1"/>
  <c r="L195" i="2"/>
  <c r="AP195" i="2" s="1"/>
  <c r="K195" i="2"/>
  <c r="AO195" i="2" s="1"/>
  <c r="D195" i="2"/>
  <c r="AH195" i="2" s="1"/>
  <c r="O195" i="2"/>
  <c r="AS195" i="2" s="1"/>
  <c r="G195" i="2"/>
  <c r="H195" i="2"/>
  <c r="Z195" i="1"/>
  <c r="J194" i="1"/>
  <c r="K194" i="1" s="1"/>
  <c r="O194" i="1" s="1"/>
  <c r="P194" i="1" s="1"/>
  <c r="Q194" i="1" s="1"/>
  <c r="R193" i="1"/>
  <c r="S193" i="1"/>
  <c r="G195" i="1"/>
  <c r="I195" i="1" s="1"/>
  <c r="V196" i="1"/>
  <c r="Y196" i="1"/>
  <c r="X196" i="1"/>
  <c r="W196" i="1"/>
  <c r="C195" i="1"/>
  <c r="D195" i="1"/>
  <c r="E196" i="1"/>
  <c r="B196" i="1"/>
  <c r="L196" i="1" s="1"/>
  <c r="A197" i="1"/>
  <c r="H197" i="1" s="1"/>
  <c r="AJ195" i="2" l="1"/>
  <c r="W196" i="2"/>
  <c r="T196" i="2"/>
  <c r="X196" i="2"/>
  <c r="AA196" i="2"/>
  <c r="R197" i="2"/>
  <c r="U196" i="2"/>
  <c r="Z196" i="2"/>
  <c r="V196" i="2"/>
  <c r="AC196" i="2"/>
  <c r="AB196" i="2"/>
  <c r="AD196" i="2"/>
  <c r="AE196" i="2"/>
  <c r="S196" i="2"/>
  <c r="Y196" i="2"/>
  <c r="AR195" i="2"/>
  <c r="AN195" i="2"/>
  <c r="AQ195" i="2"/>
  <c r="I196" i="2"/>
  <c r="AM196" i="2" s="1"/>
  <c r="H196" i="2"/>
  <c r="AL196" i="2" s="1"/>
  <c r="F196" i="2"/>
  <c r="D196" i="2"/>
  <c r="O196" i="2"/>
  <c r="M196" i="2"/>
  <c r="J196" i="2"/>
  <c r="E196" i="2"/>
  <c r="AI196" i="2" s="1"/>
  <c r="L196" i="2"/>
  <c r="AP196" i="2" s="1"/>
  <c r="K196" i="2"/>
  <c r="AO196" i="2" s="1"/>
  <c r="N196" i="2"/>
  <c r="AR196" i="2" s="1"/>
  <c r="G196" i="2"/>
  <c r="AK196" i="2" s="1"/>
  <c r="C197" i="2"/>
  <c r="AL195" i="2"/>
  <c r="AK195" i="2"/>
  <c r="J195" i="1"/>
  <c r="K195" i="1" s="1"/>
  <c r="O195" i="1" s="1"/>
  <c r="P195" i="1" s="1"/>
  <c r="Q195" i="1" s="1"/>
  <c r="R194" i="1"/>
  <c r="S194" i="1"/>
  <c r="Z196" i="1"/>
  <c r="G196" i="1"/>
  <c r="I196" i="1" s="1"/>
  <c r="V197" i="1"/>
  <c r="Y197" i="1"/>
  <c r="Z197" i="1" s="1"/>
  <c r="X197" i="1"/>
  <c r="W197" i="1"/>
  <c r="D196" i="1"/>
  <c r="C196" i="1"/>
  <c r="B197" i="1"/>
  <c r="L197" i="1" s="1"/>
  <c r="A198" i="1"/>
  <c r="H198" i="1" s="1"/>
  <c r="E197" i="1"/>
  <c r="AS196" i="2" l="1"/>
  <c r="O197" i="2"/>
  <c r="K197" i="2"/>
  <c r="AO197" i="2" s="1"/>
  <c r="I197" i="2"/>
  <c r="L197" i="2"/>
  <c r="AP197" i="2" s="1"/>
  <c r="D197" i="2"/>
  <c r="N197" i="2"/>
  <c r="J197" i="2"/>
  <c r="F197" i="2"/>
  <c r="C198" i="2"/>
  <c r="E197" i="2"/>
  <c r="AI197" i="2" s="1"/>
  <c r="M197" i="2"/>
  <c r="H197" i="2"/>
  <c r="AL197" i="2" s="1"/>
  <c r="G197" i="2"/>
  <c r="AK197" i="2" s="1"/>
  <c r="AN196" i="2"/>
  <c r="AQ196" i="2"/>
  <c r="AJ196" i="2"/>
  <c r="AH196" i="2"/>
  <c r="AA197" i="2"/>
  <c r="Z197" i="2"/>
  <c r="R198" i="2"/>
  <c r="AE197" i="2"/>
  <c r="W197" i="2"/>
  <c r="T197" i="2"/>
  <c r="AD197" i="2"/>
  <c r="Y197" i="2"/>
  <c r="X197" i="2"/>
  <c r="AC197" i="2"/>
  <c r="V197" i="2"/>
  <c r="U197" i="2"/>
  <c r="S197" i="2"/>
  <c r="AB197" i="2"/>
  <c r="J196" i="1"/>
  <c r="K196" i="1" s="1"/>
  <c r="O196" i="1" s="1"/>
  <c r="P196" i="1" s="1"/>
  <c r="Q196" i="1" s="1"/>
  <c r="R195" i="1"/>
  <c r="S195" i="1"/>
  <c r="G197" i="1"/>
  <c r="I197" i="1" s="1"/>
  <c r="V198" i="1"/>
  <c r="X198" i="1" s="1"/>
  <c r="Y198" i="1"/>
  <c r="Z198" i="1" s="1"/>
  <c r="B198" i="1"/>
  <c r="L198" i="1" s="1"/>
  <c r="E198" i="1"/>
  <c r="A199" i="1"/>
  <c r="H199" i="1" s="1"/>
  <c r="C197" i="1"/>
  <c r="D197" i="1"/>
  <c r="AQ197" i="2" l="1"/>
  <c r="AH197" i="2"/>
  <c r="AJ197" i="2"/>
  <c r="AM197" i="2"/>
  <c r="H198" i="2"/>
  <c r="G198" i="2"/>
  <c r="AK198" i="2" s="1"/>
  <c r="O198" i="2"/>
  <c r="N198" i="2"/>
  <c r="AR198" i="2" s="1"/>
  <c r="M198" i="2"/>
  <c r="AQ198" i="2" s="1"/>
  <c r="I198" i="2"/>
  <c r="C199" i="2"/>
  <c r="K198" i="2"/>
  <c r="D198" i="2"/>
  <c r="AH198" i="2" s="1"/>
  <c r="J198" i="2"/>
  <c r="F198" i="2"/>
  <c r="AJ198" i="2" s="1"/>
  <c r="E198" i="2"/>
  <c r="AI198" i="2" s="1"/>
  <c r="L198" i="2"/>
  <c r="AN197" i="2"/>
  <c r="AS197" i="2"/>
  <c r="AR197" i="2"/>
  <c r="S198" i="2"/>
  <c r="AC198" i="2"/>
  <c r="AB198" i="2"/>
  <c r="U198" i="2"/>
  <c r="T198" i="2"/>
  <c r="R199" i="2"/>
  <c r="AA198" i="2"/>
  <c r="W198" i="2"/>
  <c r="Z198" i="2"/>
  <c r="AE198" i="2"/>
  <c r="AD198" i="2"/>
  <c r="Y198" i="2"/>
  <c r="X198" i="2"/>
  <c r="V198" i="2"/>
  <c r="J197" i="1"/>
  <c r="K197" i="1" s="1"/>
  <c r="O197" i="1" s="1"/>
  <c r="P197" i="1" s="1"/>
  <c r="Q197" i="1" s="1"/>
  <c r="R196" i="1"/>
  <c r="S196" i="1"/>
  <c r="G198" i="1"/>
  <c r="I198" i="1" s="1"/>
  <c r="W198" i="1"/>
  <c r="V199" i="1"/>
  <c r="Y199" i="1"/>
  <c r="Z199" i="1" s="1"/>
  <c r="X199" i="1"/>
  <c r="W199" i="1"/>
  <c r="B199" i="1"/>
  <c r="L199" i="1" s="1"/>
  <c r="E199" i="1"/>
  <c r="A200" i="1"/>
  <c r="H200" i="1" s="1"/>
  <c r="D198" i="1"/>
  <c r="C198" i="1"/>
  <c r="AP198" i="2" l="1"/>
  <c r="AO198" i="2"/>
  <c r="AM198" i="2"/>
  <c r="AN198" i="2"/>
  <c r="AL198" i="2"/>
  <c r="L199" i="2"/>
  <c r="AP199" i="2" s="1"/>
  <c r="N199" i="2"/>
  <c r="F199" i="2"/>
  <c r="K199" i="2"/>
  <c r="AO199" i="2" s="1"/>
  <c r="O199" i="2"/>
  <c r="AS199" i="2" s="1"/>
  <c r="J199" i="2"/>
  <c r="AN199" i="2" s="1"/>
  <c r="H199" i="2"/>
  <c r="AL199" i="2" s="1"/>
  <c r="G199" i="2"/>
  <c r="AK199" i="2" s="1"/>
  <c r="M199" i="2"/>
  <c r="AQ199" i="2" s="1"/>
  <c r="E199" i="2"/>
  <c r="AI199" i="2" s="1"/>
  <c r="C200" i="2"/>
  <c r="I199" i="2"/>
  <c r="AM199" i="2" s="1"/>
  <c r="D199" i="2"/>
  <c r="AB199" i="2"/>
  <c r="X199" i="2"/>
  <c r="AA199" i="2"/>
  <c r="Y199" i="2"/>
  <c r="AD199" i="2"/>
  <c r="V199" i="2"/>
  <c r="Z199" i="2"/>
  <c r="T199" i="2"/>
  <c r="R200" i="2"/>
  <c r="W199" i="2"/>
  <c r="AE199" i="2"/>
  <c r="U199" i="2"/>
  <c r="AC199" i="2"/>
  <c r="S199" i="2"/>
  <c r="AS198" i="2"/>
  <c r="J198" i="1"/>
  <c r="K198" i="1" s="1"/>
  <c r="O198" i="1" s="1"/>
  <c r="P198" i="1" s="1"/>
  <c r="Q198" i="1" s="1"/>
  <c r="R197" i="1"/>
  <c r="S197" i="1"/>
  <c r="G199" i="1"/>
  <c r="I199" i="1" s="1"/>
  <c r="V200" i="1"/>
  <c r="W200" i="1" s="1"/>
  <c r="Y200" i="1"/>
  <c r="Z200" i="1" s="1"/>
  <c r="X200" i="1"/>
  <c r="A201" i="1"/>
  <c r="H201" i="1" s="1"/>
  <c r="E200" i="1"/>
  <c r="B200" i="1"/>
  <c r="L200" i="1" s="1"/>
  <c r="D199" i="1"/>
  <c r="C199" i="1"/>
  <c r="AR199" i="2" l="1"/>
  <c r="AJ199" i="2"/>
  <c r="D200" i="2"/>
  <c r="M200" i="2"/>
  <c r="I200" i="2"/>
  <c r="N200" i="2"/>
  <c r="AR200" i="2" s="1"/>
  <c r="G200" i="2"/>
  <c r="AK200" i="2" s="1"/>
  <c r="C201" i="2"/>
  <c r="H200" i="2"/>
  <c r="AL200" i="2" s="1"/>
  <c r="K200" i="2"/>
  <c r="J200" i="2"/>
  <c r="AN200" i="2" s="1"/>
  <c r="E200" i="2"/>
  <c r="AI200" i="2" s="1"/>
  <c r="L200" i="2"/>
  <c r="AP200" i="2" s="1"/>
  <c r="O200" i="2"/>
  <c r="AS200" i="2" s="1"/>
  <c r="F200" i="2"/>
  <c r="AJ200" i="2" s="1"/>
  <c r="Z200" i="2"/>
  <c r="AC200" i="2"/>
  <c r="W200" i="2"/>
  <c r="R201" i="2"/>
  <c r="T200" i="2"/>
  <c r="V200" i="2"/>
  <c r="AE200" i="2"/>
  <c r="AB200" i="2"/>
  <c r="S200" i="2"/>
  <c r="U200" i="2"/>
  <c r="AD200" i="2"/>
  <c r="Y200" i="2"/>
  <c r="X200" i="2"/>
  <c r="AA200" i="2"/>
  <c r="AH199" i="2"/>
  <c r="J199" i="1"/>
  <c r="K199" i="1" s="1"/>
  <c r="O199" i="1" s="1"/>
  <c r="P199" i="1" s="1"/>
  <c r="Q199" i="1" s="1"/>
  <c r="R198" i="1"/>
  <c r="S198" i="1"/>
  <c r="G200" i="1"/>
  <c r="I200" i="1" s="1"/>
  <c r="V201" i="1"/>
  <c r="X201" i="1" s="1"/>
  <c r="Y201" i="1"/>
  <c r="D200" i="1"/>
  <c r="C200" i="1"/>
  <c r="A202" i="1"/>
  <c r="H202" i="1" s="1"/>
  <c r="B201" i="1"/>
  <c r="L201" i="1" s="1"/>
  <c r="E201" i="1"/>
  <c r="AM200" i="2" l="1"/>
  <c r="AH200" i="2"/>
  <c r="C202" i="2"/>
  <c r="H201" i="2"/>
  <c r="L201" i="2"/>
  <c r="E201" i="2"/>
  <c r="AI201" i="2" s="1"/>
  <c r="G201" i="2"/>
  <c r="D201" i="2"/>
  <c r="N201" i="2"/>
  <c r="AR201" i="2" s="1"/>
  <c r="M201" i="2"/>
  <c r="AQ201" i="2" s="1"/>
  <c r="J201" i="2"/>
  <c r="I201" i="2"/>
  <c r="AM201" i="2" s="1"/>
  <c r="O201" i="2"/>
  <c r="AS201" i="2" s="1"/>
  <c r="F201" i="2"/>
  <c r="AJ201" i="2" s="1"/>
  <c r="K201" i="2"/>
  <c r="AO201" i="2" s="1"/>
  <c r="Y201" i="2"/>
  <c r="AE201" i="2"/>
  <c r="X201" i="2"/>
  <c r="T201" i="2"/>
  <c r="Z201" i="2"/>
  <c r="R202" i="2"/>
  <c r="U201" i="2"/>
  <c r="AD201" i="2"/>
  <c r="AC201" i="2"/>
  <c r="W201" i="2"/>
  <c r="AB201" i="2"/>
  <c r="AA201" i="2"/>
  <c r="V201" i="2"/>
  <c r="S201" i="2"/>
  <c r="AO200" i="2"/>
  <c r="AQ200" i="2"/>
  <c r="J200" i="1"/>
  <c r="K200" i="1" s="1"/>
  <c r="O200" i="1" s="1"/>
  <c r="P200" i="1" s="1"/>
  <c r="Q200" i="1" s="1"/>
  <c r="R199" i="1"/>
  <c r="S199" i="1"/>
  <c r="G201" i="1"/>
  <c r="I201" i="1" s="1"/>
  <c r="Z201" i="1"/>
  <c r="W201" i="1"/>
  <c r="V202" i="1"/>
  <c r="X202" i="1" s="1"/>
  <c r="Y202" i="1"/>
  <c r="C201" i="1"/>
  <c r="D201" i="1"/>
  <c r="B202" i="1"/>
  <c r="L202" i="1" s="1"/>
  <c r="A203" i="1"/>
  <c r="H203" i="1" s="1"/>
  <c r="E202" i="1"/>
  <c r="AP201" i="2" l="1"/>
  <c r="AH201" i="2"/>
  <c r="M202" i="2"/>
  <c r="G202" i="2"/>
  <c r="L202" i="2"/>
  <c r="J202" i="2"/>
  <c r="D202" i="2"/>
  <c r="AH202" i="2" s="1"/>
  <c r="C203" i="2"/>
  <c r="I202" i="2"/>
  <c r="O202" i="2"/>
  <c r="AS202" i="2" s="1"/>
  <c r="K202" i="2"/>
  <c r="AO202" i="2" s="1"/>
  <c r="F202" i="2"/>
  <c r="AJ202" i="2" s="1"/>
  <c r="E202" i="2"/>
  <c r="AI202" i="2" s="1"/>
  <c r="H202" i="2"/>
  <c r="AL202" i="2" s="1"/>
  <c r="N202" i="2"/>
  <c r="AR202" i="2" s="1"/>
  <c r="AN201" i="2"/>
  <c r="AK201" i="2"/>
  <c r="AE202" i="2"/>
  <c r="T202" i="2"/>
  <c r="S202" i="2"/>
  <c r="R203" i="2"/>
  <c r="W202" i="2"/>
  <c r="AD202" i="2"/>
  <c r="Z202" i="2"/>
  <c r="U202" i="2"/>
  <c r="Y202" i="2"/>
  <c r="AA202" i="2"/>
  <c r="X202" i="2"/>
  <c r="AC202" i="2"/>
  <c r="AB202" i="2"/>
  <c r="V202" i="2"/>
  <c r="AL201" i="2"/>
  <c r="J201" i="1"/>
  <c r="K201" i="1" s="1"/>
  <c r="O201" i="1" s="1"/>
  <c r="P201" i="1" s="1"/>
  <c r="Q201" i="1" s="1"/>
  <c r="R200" i="1"/>
  <c r="S200" i="1"/>
  <c r="G202" i="1"/>
  <c r="I202" i="1" s="1"/>
  <c r="W202" i="1"/>
  <c r="Z202" i="1"/>
  <c r="V203" i="1"/>
  <c r="X203" i="1" s="1"/>
  <c r="Y203" i="1"/>
  <c r="Z203" i="1" s="1"/>
  <c r="D202" i="1"/>
  <c r="C202" i="1"/>
  <c r="A204" i="1"/>
  <c r="H204" i="1" s="1"/>
  <c r="E203" i="1"/>
  <c r="B203" i="1"/>
  <c r="L203" i="1" s="1"/>
  <c r="AE203" i="2" l="1"/>
  <c r="AD203" i="2"/>
  <c r="S203" i="2"/>
  <c r="W203" i="2"/>
  <c r="U203" i="2"/>
  <c r="V203" i="2"/>
  <c r="T203" i="2"/>
  <c r="AC203" i="2"/>
  <c r="R204" i="2"/>
  <c r="AB203" i="2"/>
  <c r="Z203" i="2"/>
  <c r="Y203" i="2"/>
  <c r="X203" i="2"/>
  <c r="AA203" i="2"/>
  <c r="AQ202" i="2"/>
  <c r="AM202" i="2"/>
  <c r="G203" i="2"/>
  <c r="N203" i="2"/>
  <c r="J203" i="2"/>
  <c r="I203" i="2"/>
  <c r="H203" i="2"/>
  <c r="AL203" i="2" s="1"/>
  <c r="D203" i="2"/>
  <c r="AH203" i="2" s="1"/>
  <c r="E203" i="2"/>
  <c r="AI203" i="2" s="1"/>
  <c r="M203" i="2"/>
  <c r="F203" i="2"/>
  <c r="AJ203" i="2" s="1"/>
  <c r="L203" i="2"/>
  <c r="O203" i="2"/>
  <c r="AS203" i="2" s="1"/>
  <c r="C204" i="2"/>
  <c r="K203" i="2"/>
  <c r="AO203" i="2" s="1"/>
  <c r="AN202" i="2"/>
  <c r="AK202" i="2"/>
  <c r="AP202" i="2"/>
  <c r="W203" i="1"/>
  <c r="J202" i="1"/>
  <c r="K202" i="1" s="1"/>
  <c r="O202" i="1" s="1"/>
  <c r="P202" i="1" s="1"/>
  <c r="Q202" i="1" s="1"/>
  <c r="R201" i="1"/>
  <c r="S201" i="1"/>
  <c r="G203" i="1"/>
  <c r="I203" i="1" s="1"/>
  <c r="V204" i="1"/>
  <c r="W204" i="1" s="1"/>
  <c r="Y204" i="1"/>
  <c r="X204" i="1"/>
  <c r="D203" i="1"/>
  <c r="C203" i="1"/>
  <c r="A205" i="1"/>
  <c r="H205" i="1" s="1"/>
  <c r="E204" i="1"/>
  <c r="B204" i="1"/>
  <c r="L204" i="1" s="1"/>
  <c r="AP203" i="2" l="1"/>
  <c r="AM203" i="2"/>
  <c r="AQ203" i="2"/>
  <c r="AN203" i="2"/>
  <c r="E204" i="2"/>
  <c r="AI204" i="2" s="1"/>
  <c r="G204" i="2"/>
  <c r="AK204" i="2" s="1"/>
  <c r="K204" i="2"/>
  <c r="H204" i="2"/>
  <c r="AL204" i="2" s="1"/>
  <c r="N204" i="2"/>
  <c r="J204" i="2"/>
  <c r="AN204" i="2" s="1"/>
  <c r="F204" i="2"/>
  <c r="AJ204" i="2" s="1"/>
  <c r="O204" i="2"/>
  <c r="AS204" i="2" s="1"/>
  <c r="M204" i="2"/>
  <c r="AQ204" i="2" s="1"/>
  <c r="I204" i="2"/>
  <c r="AM204" i="2" s="1"/>
  <c r="C205" i="2"/>
  <c r="L204" i="2"/>
  <c r="AP204" i="2" s="1"/>
  <c r="D204" i="2"/>
  <c r="U204" i="2"/>
  <c r="AD204" i="2"/>
  <c r="W204" i="2"/>
  <c r="V204" i="2"/>
  <c r="T204" i="2"/>
  <c r="AB204" i="2"/>
  <c r="AA204" i="2"/>
  <c r="S204" i="2"/>
  <c r="Y204" i="2"/>
  <c r="Z204" i="2"/>
  <c r="R205" i="2"/>
  <c r="AC204" i="2"/>
  <c r="AE204" i="2"/>
  <c r="X204" i="2"/>
  <c r="AR203" i="2"/>
  <c r="AK203" i="2"/>
  <c r="J203" i="1"/>
  <c r="K203" i="1" s="1"/>
  <c r="O203" i="1" s="1"/>
  <c r="P203" i="1" s="1"/>
  <c r="Q203" i="1" s="1"/>
  <c r="R202" i="1"/>
  <c r="S202" i="1"/>
  <c r="Z204" i="1"/>
  <c r="G204" i="1"/>
  <c r="I204" i="1" s="1"/>
  <c r="V205" i="1"/>
  <c r="Y205" i="1"/>
  <c r="X205" i="1"/>
  <c r="W205" i="1"/>
  <c r="C204" i="1"/>
  <c r="D204" i="1"/>
  <c r="A206" i="1"/>
  <c r="H206" i="1" s="1"/>
  <c r="E205" i="1"/>
  <c r="B205" i="1"/>
  <c r="L205" i="1" s="1"/>
  <c r="AO204" i="2" l="1"/>
  <c r="AR204" i="2"/>
  <c r="J205" i="2"/>
  <c r="D205" i="2"/>
  <c r="H205" i="2"/>
  <c r="AL205" i="2" s="1"/>
  <c r="O205" i="2"/>
  <c r="M205" i="2"/>
  <c r="AQ205" i="2" s="1"/>
  <c r="L205" i="2"/>
  <c r="AP205" i="2" s="1"/>
  <c r="F205" i="2"/>
  <c r="K205" i="2"/>
  <c r="AO205" i="2" s="1"/>
  <c r="I205" i="2"/>
  <c r="AM205" i="2" s="1"/>
  <c r="E205" i="2"/>
  <c r="AI205" i="2" s="1"/>
  <c r="C206" i="2"/>
  <c r="G205" i="2"/>
  <c r="AK205" i="2" s="1"/>
  <c r="N205" i="2"/>
  <c r="AR205" i="2" s="1"/>
  <c r="AC205" i="2"/>
  <c r="AE205" i="2"/>
  <c r="T205" i="2"/>
  <c r="R206" i="2"/>
  <c r="V205" i="2"/>
  <c r="W205" i="2"/>
  <c r="AB205" i="2"/>
  <c r="X205" i="2"/>
  <c r="AA205" i="2"/>
  <c r="S205" i="2"/>
  <c r="Y205" i="2"/>
  <c r="Z205" i="2"/>
  <c r="U205" i="2"/>
  <c r="AD205" i="2"/>
  <c r="AH204" i="2"/>
  <c r="Z205" i="1"/>
  <c r="J204" i="1"/>
  <c r="K204" i="1" s="1"/>
  <c r="O204" i="1" s="1"/>
  <c r="P204" i="1" s="1"/>
  <c r="Q204" i="1" s="1"/>
  <c r="R203" i="1"/>
  <c r="S203" i="1"/>
  <c r="G205" i="1"/>
  <c r="I205" i="1" s="1"/>
  <c r="V206" i="1"/>
  <c r="W206" i="1" s="1"/>
  <c r="Y206" i="1"/>
  <c r="D205" i="1"/>
  <c r="C205" i="1"/>
  <c r="E206" i="1"/>
  <c r="B206" i="1"/>
  <c r="L206" i="1" s="1"/>
  <c r="A207" i="1"/>
  <c r="H207" i="1" s="1"/>
  <c r="AN205" i="2" l="1"/>
  <c r="AS205" i="2"/>
  <c r="AH205" i="2"/>
  <c r="F206" i="2"/>
  <c r="E206" i="2"/>
  <c r="K206" i="2"/>
  <c r="AO206" i="2" s="1"/>
  <c r="M206" i="2"/>
  <c r="AQ206" i="2" s="1"/>
  <c r="J206" i="2"/>
  <c r="H206" i="2"/>
  <c r="G206" i="2"/>
  <c r="AK206" i="2" s="1"/>
  <c r="C207" i="2"/>
  <c r="N206" i="2"/>
  <c r="AR206" i="2" s="1"/>
  <c r="I206" i="2"/>
  <c r="AM206" i="2" s="1"/>
  <c r="O206" i="2"/>
  <c r="AS206" i="2" s="1"/>
  <c r="L206" i="2"/>
  <c r="AP206" i="2" s="1"/>
  <c r="D206" i="2"/>
  <c r="AH206" i="2" s="1"/>
  <c r="AJ205" i="2"/>
  <c r="Z206" i="2"/>
  <c r="AB206" i="2"/>
  <c r="AA206" i="2"/>
  <c r="V206" i="2"/>
  <c r="R207" i="2"/>
  <c r="AE206" i="2"/>
  <c r="AD206" i="2"/>
  <c r="AC206" i="2"/>
  <c r="T206" i="2"/>
  <c r="U206" i="2"/>
  <c r="S206" i="2"/>
  <c r="X206" i="2"/>
  <c r="W206" i="2"/>
  <c r="Y206" i="2"/>
  <c r="Z206" i="1"/>
  <c r="X206" i="1"/>
  <c r="J205" i="1"/>
  <c r="K205" i="1" s="1"/>
  <c r="O205" i="1" s="1"/>
  <c r="P205" i="1" s="1"/>
  <c r="Q205" i="1" s="1"/>
  <c r="R204" i="1"/>
  <c r="S204" i="1"/>
  <c r="G206" i="1"/>
  <c r="I206" i="1" s="1"/>
  <c r="V207" i="1"/>
  <c r="W207" i="1" s="1"/>
  <c r="Y207" i="1"/>
  <c r="D206" i="1"/>
  <c r="C206" i="1"/>
  <c r="B207" i="1"/>
  <c r="L207" i="1" s="1"/>
  <c r="A208" i="1"/>
  <c r="H208" i="1" s="1"/>
  <c r="E207" i="1"/>
  <c r="K207" i="2" l="1"/>
  <c r="N207" i="2"/>
  <c r="J207" i="2"/>
  <c r="L207" i="2"/>
  <c r="M207" i="2"/>
  <c r="AQ207" i="2" s="1"/>
  <c r="F207" i="2"/>
  <c r="H207" i="2"/>
  <c r="AL207" i="2" s="1"/>
  <c r="G207" i="2"/>
  <c r="E207" i="2"/>
  <c r="AI207" i="2" s="1"/>
  <c r="I207" i="2"/>
  <c r="AM207" i="2" s="1"/>
  <c r="O207" i="2"/>
  <c r="AS207" i="2" s="1"/>
  <c r="D207" i="2"/>
  <c r="AH207" i="2" s="1"/>
  <c r="C208" i="2"/>
  <c r="AN206" i="2"/>
  <c r="AJ206" i="2"/>
  <c r="AC207" i="2"/>
  <c r="AB207" i="2"/>
  <c r="Y207" i="2"/>
  <c r="X207" i="2"/>
  <c r="T207" i="2"/>
  <c r="AA207" i="2"/>
  <c r="R208" i="2"/>
  <c r="W207" i="2"/>
  <c r="U207" i="2"/>
  <c r="AE207" i="2"/>
  <c r="AD207" i="2"/>
  <c r="Z207" i="2"/>
  <c r="S207" i="2"/>
  <c r="V207" i="2"/>
  <c r="AL206" i="2"/>
  <c r="AI206" i="2"/>
  <c r="Z207" i="1"/>
  <c r="X207" i="1"/>
  <c r="J206" i="1"/>
  <c r="K206" i="1" s="1"/>
  <c r="O206" i="1" s="1"/>
  <c r="P206" i="1" s="1"/>
  <c r="Q206" i="1" s="1"/>
  <c r="R205" i="1"/>
  <c r="S205" i="1"/>
  <c r="G207" i="1"/>
  <c r="I207" i="1" s="1"/>
  <c r="V208" i="1"/>
  <c r="X208" i="1" s="1"/>
  <c r="Y208" i="1"/>
  <c r="Z208" i="1" s="1"/>
  <c r="B208" i="1"/>
  <c r="L208" i="1" s="1"/>
  <c r="A209" i="1"/>
  <c r="H209" i="1" s="1"/>
  <c r="E208" i="1"/>
  <c r="D207" i="1"/>
  <c r="C207" i="1"/>
  <c r="AN207" i="2" l="1"/>
  <c r="AK207" i="2"/>
  <c r="U208" i="2"/>
  <c r="AC208" i="2"/>
  <c r="S208" i="2"/>
  <c r="AE208" i="2"/>
  <c r="W208" i="2"/>
  <c r="AD208" i="2"/>
  <c r="R209" i="2"/>
  <c r="T208" i="2"/>
  <c r="Y208" i="2"/>
  <c r="X208" i="2"/>
  <c r="AA208" i="2"/>
  <c r="Z208" i="2"/>
  <c r="V208" i="2"/>
  <c r="AB208" i="2"/>
  <c r="AP207" i="2"/>
  <c r="C209" i="2"/>
  <c r="J208" i="2"/>
  <c r="E208" i="2"/>
  <c r="I208" i="2"/>
  <c r="M208" i="2"/>
  <c r="L208" i="2"/>
  <c r="K208" i="2"/>
  <c r="O208" i="2"/>
  <c r="AS208" i="2" s="1"/>
  <c r="H208" i="2"/>
  <c r="AL208" i="2" s="1"/>
  <c r="G208" i="2"/>
  <c r="F208" i="2"/>
  <c r="AJ208" i="2" s="1"/>
  <c r="D208" i="2"/>
  <c r="AH208" i="2" s="1"/>
  <c r="N208" i="2"/>
  <c r="AR208" i="2" s="1"/>
  <c r="AR207" i="2"/>
  <c r="AJ207" i="2"/>
  <c r="AO207" i="2"/>
  <c r="W208" i="1"/>
  <c r="J207" i="1"/>
  <c r="K207" i="1" s="1"/>
  <c r="O207" i="1" s="1"/>
  <c r="P207" i="1" s="1"/>
  <c r="Q207" i="1" s="1"/>
  <c r="R206" i="1"/>
  <c r="S206" i="1"/>
  <c r="G208" i="1"/>
  <c r="I208" i="1" s="1"/>
  <c r="V209" i="1"/>
  <c r="Y209" i="1"/>
  <c r="Z209" i="1" s="1"/>
  <c r="X209" i="1"/>
  <c r="W209" i="1"/>
  <c r="E209" i="1"/>
  <c r="A210" i="1"/>
  <c r="H210" i="1" s="1"/>
  <c r="B209" i="1"/>
  <c r="L209" i="1" s="1"/>
  <c r="C208" i="1"/>
  <c r="D208" i="1"/>
  <c r="AO208" i="2" l="1"/>
  <c r="AP208" i="2"/>
  <c r="AI208" i="2"/>
  <c r="AK208" i="2"/>
  <c r="Y209" i="2"/>
  <c r="AE209" i="2"/>
  <c r="Z209" i="2"/>
  <c r="W209" i="2"/>
  <c r="X209" i="2"/>
  <c r="T209" i="2"/>
  <c r="S209" i="2"/>
  <c r="AC209" i="2"/>
  <c r="V209" i="2"/>
  <c r="U209" i="2"/>
  <c r="AA209" i="2"/>
  <c r="AB209" i="2"/>
  <c r="R210" i="2"/>
  <c r="AD209" i="2"/>
  <c r="AQ208" i="2"/>
  <c r="AM208" i="2"/>
  <c r="AN208" i="2"/>
  <c r="D209" i="2"/>
  <c r="M209" i="2"/>
  <c r="J209" i="2"/>
  <c r="AN209" i="2" s="1"/>
  <c r="F209" i="2"/>
  <c r="L209" i="2"/>
  <c r="H209" i="2"/>
  <c r="AL209" i="2" s="1"/>
  <c r="N209" i="2"/>
  <c r="AR209" i="2" s="1"/>
  <c r="K209" i="2"/>
  <c r="AO209" i="2" s="1"/>
  <c r="G209" i="2"/>
  <c r="AK209" i="2" s="1"/>
  <c r="C210" i="2"/>
  <c r="O209" i="2"/>
  <c r="AS209" i="2" s="1"/>
  <c r="I209" i="2"/>
  <c r="E209" i="2"/>
  <c r="J208" i="1"/>
  <c r="K208" i="1" s="1"/>
  <c r="O208" i="1" s="1"/>
  <c r="P208" i="1" s="1"/>
  <c r="Q208" i="1" s="1"/>
  <c r="R207" i="1"/>
  <c r="S207" i="1"/>
  <c r="G209" i="1"/>
  <c r="I209" i="1" s="1"/>
  <c r="V210" i="1"/>
  <c r="W210" i="1" s="1"/>
  <c r="Y210" i="1"/>
  <c r="Z210" i="1" s="1"/>
  <c r="X210" i="1"/>
  <c r="C209" i="1"/>
  <c r="D209" i="1"/>
  <c r="E210" i="1"/>
  <c r="A211" i="1"/>
  <c r="H211" i="1" s="1"/>
  <c r="B210" i="1"/>
  <c r="L210" i="1" s="1"/>
  <c r="AP209" i="2" l="1"/>
  <c r="N210" i="2"/>
  <c r="H210" i="2"/>
  <c r="C211" i="2"/>
  <c r="M210" i="2"/>
  <c r="E210" i="2"/>
  <c r="F210" i="2"/>
  <c r="AJ210" i="2" s="1"/>
  <c r="K210" i="2"/>
  <c r="AO210" i="2" s="1"/>
  <c r="J210" i="2"/>
  <c r="I210" i="2"/>
  <c r="AM210" i="2" s="1"/>
  <c r="O210" i="2"/>
  <c r="D210" i="2"/>
  <c r="AH210" i="2" s="1"/>
  <c r="L210" i="2"/>
  <c r="AP210" i="2" s="1"/>
  <c r="G210" i="2"/>
  <c r="AQ209" i="2"/>
  <c r="AH209" i="2"/>
  <c r="AI209" i="2"/>
  <c r="AJ209" i="2"/>
  <c r="AM209" i="2"/>
  <c r="R211" i="2"/>
  <c r="Z210" i="2"/>
  <c r="U210" i="2"/>
  <c r="AC210" i="2"/>
  <c r="AE210" i="2"/>
  <c r="AA210" i="2"/>
  <c r="T210" i="2"/>
  <c r="X210" i="2"/>
  <c r="AB210" i="2"/>
  <c r="AD210" i="2"/>
  <c r="Y210" i="2"/>
  <c r="W210" i="2"/>
  <c r="V210" i="2"/>
  <c r="S210" i="2"/>
  <c r="J209" i="1"/>
  <c r="K209" i="1" s="1"/>
  <c r="O209" i="1" s="1"/>
  <c r="P209" i="1" s="1"/>
  <c r="Q209" i="1" s="1"/>
  <c r="R208" i="1"/>
  <c r="S208" i="1"/>
  <c r="G210" i="1"/>
  <c r="I210" i="1" s="1"/>
  <c r="V211" i="1"/>
  <c r="W211" i="1" s="1"/>
  <c r="Y211" i="1"/>
  <c r="X211" i="1"/>
  <c r="D210" i="1"/>
  <c r="C210" i="1"/>
  <c r="A212" i="1"/>
  <c r="H212" i="1" s="1"/>
  <c r="B211" i="1"/>
  <c r="L211" i="1" s="1"/>
  <c r="E211" i="1"/>
  <c r="AN210" i="2" l="1"/>
  <c r="AQ210" i="2"/>
  <c r="AE211" i="2"/>
  <c r="T211" i="2"/>
  <c r="W211" i="2"/>
  <c r="Z211" i="2"/>
  <c r="S211" i="2"/>
  <c r="V211" i="2"/>
  <c r="AD211" i="2"/>
  <c r="R212" i="2"/>
  <c r="X211" i="2"/>
  <c r="U211" i="2"/>
  <c r="AC211" i="2"/>
  <c r="AB211" i="2"/>
  <c r="AA211" i="2"/>
  <c r="Y211" i="2"/>
  <c r="G211" i="2"/>
  <c r="O211" i="2"/>
  <c r="L211" i="2"/>
  <c r="K211" i="2"/>
  <c r="D211" i="2"/>
  <c r="M211" i="2"/>
  <c r="I211" i="2"/>
  <c r="F211" i="2"/>
  <c r="N211" i="2"/>
  <c r="J211" i="2"/>
  <c r="H211" i="2"/>
  <c r="AL211" i="2" s="1"/>
  <c r="E211" i="2"/>
  <c r="AI211" i="2" s="1"/>
  <c r="C212" i="2"/>
  <c r="AK210" i="2"/>
  <c r="AI210" i="2"/>
  <c r="AL210" i="2"/>
  <c r="AR210" i="2"/>
  <c r="AS210" i="2"/>
  <c r="Z211" i="1"/>
  <c r="J210" i="1"/>
  <c r="K210" i="1" s="1"/>
  <c r="O210" i="1" s="1"/>
  <c r="P210" i="1" s="1"/>
  <c r="Q210" i="1" s="1"/>
  <c r="R209" i="1"/>
  <c r="S209" i="1"/>
  <c r="G211" i="1"/>
  <c r="I211" i="1" s="1"/>
  <c r="V212" i="1"/>
  <c r="Y212" i="1"/>
  <c r="Z212" i="1" s="1"/>
  <c r="X212" i="1"/>
  <c r="W212" i="1"/>
  <c r="C211" i="1"/>
  <c r="D211" i="1"/>
  <c r="A213" i="1"/>
  <c r="H213" i="1" s="1"/>
  <c r="E212" i="1"/>
  <c r="B212" i="1"/>
  <c r="L212" i="1" s="1"/>
  <c r="AA212" i="2" l="1"/>
  <c r="W212" i="2"/>
  <c r="V212" i="2"/>
  <c r="Z212" i="2"/>
  <c r="AD212" i="2"/>
  <c r="U212" i="2"/>
  <c r="R213" i="2"/>
  <c r="T212" i="2"/>
  <c r="Y212" i="2"/>
  <c r="AC212" i="2"/>
  <c r="AB212" i="2"/>
  <c r="X212" i="2"/>
  <c r="S212" i="2"/>
  <c r="AE212" i="2"/>
  <c r="AO211" i="2"/>
  <c r="AR211" i="2"/>
  <c r="AQ211" i="2"/>
  <c r="AP211" i="2"/>
  <c r="AM211" i="2"/>
  <c r="AS211" i="2"/>
  <c r="F212" i="2"/>
  <c r="AJ212" i="2" s="1"/>
  <c r="M212" i="2"/>
  <c r="G212" i="2"/>
  <c r="AK212" i="2" s="1"/>
  <c r="I212" i="2"/>
  <c r="J212" i="2"/>
  <c r="AN212" i="2" s="1"/>
  <c r="E212" i="2"/>
  <c r="AI212" i="2" s="1"/>
  <c r="O212" i="2"/>
  <c r="AS212" i="2" s="1"/>
  <c r="H212" i="2"/>
  <c r="AL212" i="2" s="1"/>
  <c r="K212" i="2"/>
  <c r="AO212" i="2" s="1"/>
  <c r="N212" i="2"/>
  <c r="AR212" i="2" s="1"/>
  <c r="L212" i="2"/>
  <c r="AP212" i="2" s="1"/>
  <c r="C213" i="2"/>
  <c r="D212" i="2"/>
  <c r="AN211" i="2"/>
  <c r="AJ211" i="2"/>
  <c r="AH211" i="2"/>
  <c r="AK211" i="2"/>
  <c r="J211" i="1"/>
  <c r="K211" i="1" s="1"/>
  <c r="O211" i="1" s="1"/>
  <c r="P211" i="1" s="1"/>
  <c r="Q211" i="1" s="1"/>
  <c r="R210" i="1"/>
  <c r="S210" i="1"/>
  <c r="G212" i="1"/>
  <c r="I212" i="1" s="1"/>
  <c r="V213" i="1"/>
  <c r="X213" i="1" s="1"/>
  <c r="Y213" i="1"/>
  <c r="W213" i="1"/>
  <c r="D212" i="1"/>
  <c r="C212" i="1"/>
  <c r="B213" i="1"/>
  <c r="L213" i="1" s="1"/>
  <c r="A214" i="1"/>
  <c r="H214" i="1" s="1"/>
  <c r="E213" i="1"/>
  <c r="L213" i="2" l="1"/>
  <c r="J213" i="2"/>
  <c r="G213" i="2"/>
  <c r="K213" i="2"/>
  <c r="AO213" i="2" s="1"/>
  <c r="I213" i="2"/>
  <c r="H213" i="2"/>
  <c r="N213" i="2"/>
  <c r="O213" i="2"/>
  <c r="AS213" i="2" s="1"/>
  <c r="D213" i="2"/>
  <c r="AH213" i="2" s="1"/>
  <c r="E213" i="2"/>
  <c r="AI213" i="2" s="1"/>
  <c r="M213" i="2"/>
  <c r="AQ213" i="2" s="1"/>
  <c r="C214" i="2"/>
  <c r="F213" i="2"/>
  <c r="AJ213" i="2" s="1"/>
  <c r="AM212" i="2"/>
  <c r="AQ212" i="2"/>
  <c r="AC213" i="2"/>
  <c r="AA213" i="2"/>
  <c r="Z213" i="2"/>
  <c r="R214" i="2"/>
  <c r="AB213" i="2"/>
  <c r="V213" i="2"/>
  <c r="U213" i="2"/>
  <c r="AD213" i="2"/>
  <c r="Y213" i="2"/>
  <c r="W213" i="2"/>
  <c r="S213" i="2"/>
  <c r="T213" i="2"/>
  <c r="AE213" i="2"/>
  <c r="X213" i="2"/>
  <c r="AH212" i="2"/>
  <c r="J212" i="1"/>
  <c r="K212" i="1" s="1"/>
  <c r="O212" i="1" s="1"/>
  <c r="P212" i="1" s="1"/>
  <c r="Q212" i="1" s="1"/>
  <c r="Z213" i="1"/>
  <c r="R211" i="1"/>
  <c r="S211" i="1"/>
  <c r="G213" i="1"/>
  <c r="I213" i="1" s="1"/>
  <c r="V214" i="1"/>
  <c r="Y214" i="1"/>
  <c r="X214" i="1"/>
  <c r="W214" i="1"/>
  <c r="A215" i="1"/>
  <c r="H215" i="1" s="1"/>
  <c r="E214" i="1"/>
  <c r="B214" i="1"/>
  <c r="L214" i="1" s="1"/>
  <c r="D213" i="1"/>
  <c r="C213" i="1"/>
  <c r="E214" i="2" l="1"/>
  <c r="C215" i="2"/>
  <c r="G214" i="2"/>
  <c r="O214" i="2"/>
  <c r="AS214" i="2" s="1"/>
  <c r="F214" i="2"/>
  <c r="J214" i="2"/>
  <c r="AN214" i="2" s="1"/>
  <c r="M214" i="2"/>
  <c r="AQ214" i="2" s="1"/>
  <c r="K214" i="2"/>
  <c r="AO214" i="2" s="1"/>
  <c r="I214" i="2"/>
  <c r="H214" i="2"/>
  <c r="AL214" i="2" s="1"/>
  <c r="D214" i="2"/>
  <c r="AH214" i="2" s="1"/>
  <c r="L214" i="2"/>
  <c r="AP214" i="2" s="1"/>
  <c r="N214" i="2"/>
  <c r="AR214" i="2" s="1"/>
  <c r="AR213" i="2"/>
  <c r="AM213" i="2"/>
  <c r="V214" i="2"/>
  <c r="AB214" i="2"/>
  <c r="W214" i="2"/>
  <c r="AD214" i="2"/>
  <c r="Y214" i="2"/>
  <c r="U214" i="2"/>
  <c r="AA214" i="2"/>
  <c r="Z214" i="2"/>
  <c r="T214" i="2"/>
  <c r="S214" i="2"/>
  <c r="R215" i="2"/>
  <c r="AE214" i="2"/>
  <c r="AC214" i="2"/>
  <c r="X214" i="2"/>
  <c r="AK213" i="2"/>
  <c r="AL213" i="2"/>
  <c r="AN213" i="2"/>
  <c r="AP213" i="2"/>
  <c r="Z214" i="1"/>
  <c r="J213" i="1"/>
  <c r="K213" i="1" s="1"/>
  <c r="O213" i="1" s="1"/>
  <c r="P213" i="1" s="1"/>
  <c r="Q213" i="1" s="1"/>
  <c r="R212" i="1"/>
  <c r="S212" i="1"/>
  <c r="G214" i="1"/>
  <c r="I214" i="1" s="1"/>
  <c r="V215" i="1"/>
  <c r="X215" i="1" s="1"/>
  <c r="Y215" i="1"/>
  <c r="D214" i="1"/>
  <c r="C214" i="1"/>
  <c r="A216" i="1"/>
  <c r="H216" i="1" s="1"/>
  <c r="B215" i="1"/>
  <c r="L215" i="1" s="1"/>
  <c r="E215" i="1"/>
  <c r="W215" i="2" l="1"/>
  <c r="Y215" i="2"/>
  <c r="X215" i="2"/>
  <c r="AB215" i="2"/>
  <c r="T215" i="2"/>
  <c r="AE215" i="2"/>
  <c r="V215" i="2"/>
  <c r="AD215" i="2"/>
  <c r="AC215" i="2"/>
  <c r="Z215" i="2"/>
  <c r="U215" i="2"/>
  <c r="S215" i="2"/>
  <c r="R216" i="2"/>
  <c r="AA215" i="2"/>
  <c r="AM214" i="2"/>
  <c r="AK214" i="2"/>
  <c r="G215" i="2"/>
  <c r="O215" i="2"/>
  <c r="F215" i="2"/>
  <c r="M215" i="2"/>
  <c r="AQ215" i="2" s="1"/>
  <c r="D215" i="2"/>
  <c r="N215" i="2"/>
  <c r="K215" i="2"/>
  <c r="C216" i="2"/>
  <c r="L215" i="2"/>
  <c r="I215" i="2"/>
  <c r="AM215" i="2" s="1"/>
  <c r="H215" i="2"/>
  <c r="AL215" i="2" s="1"/>
  <c r="J215" i="2"/>
  <c r="AN215" i="2" s="1"/>
  <c r="E215" i="2"/>
  <c r="AI215" i="2" s="1"/>
  <c r="AJ214" i="2"/>
  <c r="AI214" i="2"/>
  <c r="J214" i="1"/>
  <c r="K214" i="1" s="1"/>
  <c r="O214" i="1" s="1"/>
  <c r="P214" i="1" s="1"/>
  <c r="Q214" i="1" s="1"/>
  <c r="R213" i="1"/>
  <c r="S213" i="1"/>
  <c r="W215" i="1"/>
  <c r="Z215" i="1"/>
  <c r="G215" i="1"/>
  <c r="I215" i="1" s="1"/>
  <c r="V216" i="1"/>
  <c r="X216" i="1" s="1"/>
  <c r="Y216" i="1"/>
  <c r="Z216" i="1" s="1"/>
  <c r="C215" i="1"/>
  <c r="D215" i="1"/>
  <c r="B216" i="1"/>
  <c r="L216" i="1" s="1"/>
  <c r="E216" i="1"/>
  <c r="A217" i="1"/>
  <c r="H217" i="1" s="1"/>
  <c r="AO215" i="2" l="1"/>
  <c r="C217" i="2"/>
  <c r="M216" i="2"/>
  <c r="O216" i="2"/>
  <c r="AS216" i="2" s="1"/>
  <c r="J216" i="2"/>
  <c r="F216" i="2"/>
  <c r="AJ216" i="2" s="1"/>
  <c r="K216" i="2"/>
  <c r="L216" i="2"/>
  <c r="E216" i="2"/>
  <c r="AI216" i="2" s="1"/>
  <c r="D216" i="2"/>
  <c r="AH216" i="2" s="1"/>
  <c r="N216" i="2"/>
  <c r="AR216" i="2" s="1"/>
  <c r="H216" i="2"/>
  <c r="AL216" i="2" s="1"/>
  <c r="G216" i="2"/>
  <c r="AK216" i="2" s="1"/>
  <c r="I216" i="2"/>
  <c r="AJ215" i="2"/>
  <c r="AP215" i="2"/>
  <c r="AH215" i="2"/>
  <c r="AS215" i="2"/>
  <c r="U216" i="2"/>
  <c r="AD216" i="2"/>
  <c r="S216" i="2"/>
  <c r="AC216" i="2"/>
  <c r="T216" i="2"/>
  <c r="Y216" i="2"/>
  <c r="V216" i="2"/>
  <c r="AB216" i="2"/>
  <c r="AE216" i="2"/>
  <c r="W216" i="2"/>
  <c r="Z216" i="2"/>
  <c r="R217" i="2"/>
  <c r="AA216" i="2"/>
  <c r="X216" i="2"/>
  <c r="AR215" i="2"/>
  <c r="AK215" i="2"/>
  <c r="J215" i="1"/>
  <c r="K215" i="1" s="1"/>
  <c r="O215" i="1" s="1"/>
  <c r="P215" i="1" s="1"/>
  <c r="Q215" i="1" s="1"/>
  <c r="R214" i="1"/>
  <c r="S214" i="1"/>
  <c r="W216" i="1"/>
  <c r="G216" i="1"/>
  <c r="I216" i="1" s="1"/>
  <c r="V217" i="1"/>
  <c r="Y217" i="1"/>
  <c r="Z217" i="1" s="1"/>
  <c r="X217" i="1"/>
  <c r="W217" i="1"/>
  <c r="E217" i="1"/>
  <c r="A218" i="1"/>
  <c r="H218" i="1" s="1"/>
  <c r="B217" i="1"/>
  <c r="L217" i="1" s="1"/>
  <c r="D216" i="1"/>
  <c r="C216" i="1"/>
  <c r="Z217" i="2" l="1"/>
  <c r="Y217" i="2"/>
  <c r="V217" i="2"/>
  <c r="T217" i="2"/>
  <c r="R218" i="2"/>
  <c r="S217" i="2"/>
  <c r="AC217" i="2"/>
  <c r="AE217" i="2"/>
  <c r="AD217" i="2"/>
  <c r="AB217" i="2"/>
  <c r="AA217" i="2"/>
  <c r="X217" i="2"/>
  <c r="W217" i="2"/>
  <c r="U217" i="2"/>
  <c r="AP216" i="2"/>
  <c r="AN216" i="2"/>
  <c r="AQ216" i="2"/>
  <c r="AO216" i="2"/>
  <c r="M217" i="2"/>
  <c r="L217" i="2"/>
  <c r="I217" i="2"/>
  <c r="H217" i="2"/>
  <c r="E217" i="2"/>
  <c r="AI217" i="2" s="1"/>
  <c r="D217" i="2"/>
  <c r="AH217" i="2" s="1"/>
  <c r="G217" i="2"/>
  <c r="AK217" i="2" s="1"/>
  <c r="K217" i="2"/>
  <c r="AO217" i="2" s="1"/>
  <c r="O217" i="2"/>
  <c r="AS217" i="2" s="1"/>
  <c r="J217" i="2"/>
  <c r="AN217" i="2" s="1"/>
  <c r="N217" i="2"/>
  <c r="AR217" i="2" s="1"/>
  <c r="C218" i="2"/>
  <c r="F217" i="2"/>
  <c r="AJ217" i="2" s="1"/>
  <c r="AM216" i="2"/>
  <c r="J216" i="1"/>
  <c r="K216" i="1" s="1"/>
  <c r="O216" i="1" s="1"/>
  <c r="P216" i="1" s="1"/>
  <c r="Q216" i="1" s="1"/>
  <c r="R215" i="1"/>
  <c r="S215" i="1"/>
  <c r="G217" i="1"/>
  <c r="I217" i="1" s="1"/>
  <c r="V218" i="1"/>
  <c r="Y218" i="1"/>
  <c r="Z218" i="1" s="1"/>
  <c r="X218" i="1"/>
  <c r="W218" i="1"/>
  <c r="C217" i="1"/>
  <c r="D217" i="1"/>
  <c r="E218" i="1"/>
  <c r="A219" i="1"/>
  <c r="H219" i="1" s="1"/>
  <c r="B218" i="1"/>
  <c r="L218" i="1" s="1"/>
  <c r="E218" i="2" l="1"/>
  <c r="D218" i="2"/>
  <c r="L218" i="2"/>
  <c r="K218" i="2"/>
  <c r="O218" i="2"/>
  <c r="C219" i="2"/>
  <c r="I218" i="2"/>
  <c r="AM218" i="2" s="1"/>
  <c r="H218" i="2"/>
  <c r="M218" i="2"/>
  <c r="AQ218" i="2" s="1"/>
  <c r="N218" i="2"/>
  <c r="AR218" i="2" s="1"/>
  <c r="F218" i="2"/>
  <c r="AJ218" i="2" s="1"/>
  <c r="G218" i="2"/>
  <c r="AK218" i="2" s="1"/>
  <c r="J218" i="2"/>
  <c r="AN218" i="2" s="1"/>
  <c r="AL217" i="2"/>
  <c r="AM217" i="2"/>
  <c r="AE218" i="2"/>
  <c r="AC218" i="2"/>
  <c r="Y218" i="2"/>
  <c r="X218" i="2"/>
  <c r="Z218" i="2"/>
  <c r="V218" i="2"/>
  <c r="R219" i="2"/>
  <c r="U218" i="2"/>
  <c r="AD218" i="2"/>
  <c r="AA218" i="2"/>
  <c r="AB218" i="2"/>
  <c r="T218" i="2"/>
  <c r="W218" i="2"/>
  <c r="S218" i="2"/>
  <c r="AP217" i="2"/>
  <c r="AQ217" i="2"/>
  <c r="J217" i="1"/>
  <c r="K217" i="1" s="1"/>
  <c r="O217" i="1" s="1"/>
  <c r="P217" i="1" s="1"/>
  <c r="Q217" i="1" s="1"/>
  <c r="R216" i="1"/>
  <c r="S216" i="1"/>
  <c r="G218" i="1"/>
  <c r="I218" i="1" s="1"/>
  <c r="V219" i="1"/>
  <c r="Y219" i="1"/>
  <c r="Z219" i="1" s="1"/>
  <c r="X219" i="1"/>
  <c r="W219" i="1"/>
  <c r="D218" i="1"/>
  <c r="C218" i="1"/>
  <c r="E219" i="1"/>
  <c r="A220" i="1"/>
  <c r="H220" i="1" s="1"/>
  <c r="B219" i="1"/>
  <c r="L219" i="1" s="1"/>
  <c r="R220" i="2" l="1"/>
  <c r="AB219" i="2"/>
  <c r="AD219" i="2"/>
  <c r="T219" i="2"/>
  <c r="AC219" i="2"/>
  <c r="AA219" i="2"/>
  <c r="S219" i="2"/>
  <c r="V219" i="2"/>
  <c r="U219" i="2"/>
  <c r="Z219" i="2"/>
  <c r="AE219" i="2"/>
  <c r="W219" i="2"/>
  <c r="Y219" i="2"/>
  <c r="X219" i="2"/>
  <c r="E219" i="2"/>
  <c r="AI219" i="2" s="1"/>
  <c r="D219" i="2"/>
  <c r="AH219" i="2" s="1"/>
  <c r="M219" i="2"/>
  <c r="AQ219" i="2" s="1"/>
  <c r="O219" i="2"/>
  <c r="AS219" i="2" s="1"/>
  <c r="K219" i="2"/>
  <c r="J219" i="2"/>
  <c r="H219" i="2"/>
  <c r="C220" i="2"/>
  <c r="N219" i="2"/>
  <c r="AR219" i="2" s="1"/>
  <c r="G219" i="2"/>
  <c r="AK219" i="2" s="1"/>
  <c r="L219" i="2"/>
  <c r="AP219" i="2" s="1"/>
  <c r="I219" i="2"/>
  <c r="F219" i="2"/>
  <c r="AJ219" i="2" s="1"/>
  <c r="AS218" i="2"/>
  <c r="AO218" i="2"/>
  <c r="AP218" i="2"/>
  <c r="AH218" i="2"/>
  <c r="AL218" i="2"/>
  <c r="AI218" i="2"/>
  <c r="J218" i="1"/>
  <c r="K218" i="1" s="1"/>
  <c r="O218" i="1" s="1"/>
  <c r="P218" i="1" s="1"/>
  <c r="Q218" i="1" s="1"/>
  <c r="R217" i="1"/>
  <c r="S217" i="1"/>
  <c r="G219" i="1"/>
  <c r="I219" i="1" s="1"/>
  <c r="V220" i="1"/>
  <c r="W220" i="1" s="1"/>
  <c r="Y220" i="1"/>
  <c r="Z220" i="1" s="1"/>
  <c r="X220" i="1"/>
  <c r="E220" i="1"/>
  <c r="A221" i="1"/>
  <c r="H221" i="1" s="1"/>
  <c r="B220" i="1"/>
  <c r="L220" i="1" s="1"/>
  <c r="C219" i="1"/>
  <c r="D219" i="1"/>
  <c r="AN219" i="2" l="1"/>
  <c r="K220" i="2"/>
  <c r="I220" i="2"/>
  <c r="F220" i="2"/>
  <c r="M220" i="2"/>
  <c r="D220" i="2"/>
  <c r="E220" i="2"/>
  <c r="C221" i="2"/>
  <c r="O220" i="2"/>
  <c r="AS220" i="2" s="1"/>
  <c r="J220" i="2"/>
  <c r="AN220" i="2" s="1"/>
  <c r="G220" i="2"/>
  <c r="AK220" i="2" s="1"/>
  <c r="N220" i="2"/>
  <c r="AR220" i="2" s="1"/>
  <c r="H220" i="2"/>
  <c r="AL220" i="2" s="1"/>
  <c r="L220" i="2"/>
  <c r="AP220" i="2" s="1"/>
  <c r="AL219" i="2"/>
  <c r="AO219" i="2"/>
  <c r="AM219" i="2"/>
  <c r="V220" i="2"/>
  <c r="AE220" i="2"/>
  <c r="AD220" i="2"/>
  <c r="Y220" i="2"/>
  <c r="AA220" i="2"/>
  <c r="AB220" i="2"/>
  <c r="AC220" i="2"/>
  <c r="Z220" i="2"/>
  <c r="U220" i="2"/>
  <c r="T220" i="2"/>
  <c r="X220" i="2"/>
  <c r="W220" i="2"/>
  <c r="R221" i="2"/>
  <c r="S220" i="2"/>
  <c r="J219" i="1"/>
  <c r="K219" i="1" s="1"/>
  <c r="O219" i="1" s="1"/>
  <c r="P219" i="1" s="1"/>
  <c r="Q219" i="1" s="1"/>
  <c r="R218" i="1"/>
  <c r="S218" i="1"/>
  <c r="G220" i="1"/>
  <c r="I220" i="1" s="1"/>
  <c r="V221" i="1"/>
  <c r="W221" i="1" s="1"/>
  <c r="Y221" i="1"/>
  <c r="Z221" i="1" s="1"/>
  <c r="X221" i="1"/>
  <c r="D220" i="1"/>
  <c r="C220" i="1"/>
  <c r="A222" i="1"/>
  <c r="H222" i="1" s="1"/>
  <c r="E221" i="1"/>
  <c r="B221" i="1"/>
  <c r="L221" i="1" s="1"/>
  <c r="AI220" i="2" l="1"/>
  <c r="AQ220" i="2"/>
  <c r="AJ220" i="2"/>
  <c r="T221" i="2"/>
  <c r="AA221" i="2"/>
  <c r="AB221" i="2"/>
  <c r="W221" i="2"/>
  <c r="AD221" i="2"/>
  <c r="Z221" i="2"/>
  <c r="R222" i="2"/>
  <c r="AC221" i="2"/>
  <c r="S221" i="2"/>
  <c r="AE221" i="2"/>
  <c r="X221" i="2"/>
  <c r="Y221" i="2"/>
  <c r="V221" i="2"/>
  <c r="U221" i="2"/>
  <c r="M221" i="2"/>
  <c r="N221" i="2"/>
  <c r="J221" i="2"/>
  <c r="H221" i="2"/>
  <c r="D221" i="2"/>
  <c r="F221" i="2"/>
  <c r="AJ221" i="2" s="1"/>
  <c r="C222" i="2"/>
  <c r="O221" i="2"/>
  <c r="AS221" i="2" s="1"/>
  <c r="I221" i="2"/>
  <c r="K221" i="2"/>
  <c r="AO221" i="2" s="1"/>
  <c r="L221" i="2"/>
  <c r="AP221" i="2" s="1"/>
  <c r="G221" i="2"/>
  <c r="E221" i="2"/>
  <c r="AI221" i="2" s="1"/>
  <c r="AH220" i="2"/>
  <c r="AM220" i="2"/>
  <c r="AO220" i="2"/>
  <c r="J220" i="1"/>
  <c r="K220" i="1" s="1"/>
  <c r="O220" i="1" s="1"/>
  <c r="P220" i="1" s="1"/>
  <c r="Q220" i="1" s="1"/>
  <c r="R219" i="1"/>
  <c r="S219" i="1"/>
  <c r="G221" i="1"/>
  <c r="I221" i="1" s="1"/>
  <c r="V222" i="1"/>
  <c r="Y222" i="1"/>
  <c r="W222" i="1"/>
  <c r="X222" i="1"/>
  <c r="Z222" i="1"/>
  <c r="A223" i="1"/>
  <c r="H223" i="1" s="1"/>
  <c r="E222" i="1"/>
  <c r="B222" i="1"/>
  <c r="L222" i="1" s="1"/>
  <c r="C221" i="1"/>
  <c r="D221" i="1"/>
  <c r="AH221" i="2" l="1"/>
  <c r="AR221" i="2"/>
  <c r="AK221" i="2"/>
  <c r="X222" i="2"/>
  <c r="S222" i="2"/>
  <c r="Z222" i="2"/>
  <c r="U222" i="2"/>
  <c r="V222" i="2"/>
  <c r="AA222" i="2"/>
  <c r="Y222" i="2"/>
  <c r="AE222" i="2"/>
  <c r="W222" i="2"/>
  <c r="T222" i="2"/>
  <c r="AC222" i="2"/>
  <c r="AB222" i="2"/>
  <c r="AD222" i="2"/>
  <c r="R223" i="2"/>
  <c r="G222" i="2"/>
  <c r="O222" i="2"/>
  <c r="K222" i="2"/>
  <c r="H222" i="2"/>
  <c r="D222" i="2"/>
  <c r="AH222" i="2" s="1"/>
  <c r="F222" i="2"/>
  <c r="AJ222" i="2" s="1"/>
  <c r="J222" i="2"/>
  <c r="L222" i="2"/>
  <c r="AP222" i="2" s="1"/>
  <c r="M222" i="2"/>
  <c r="C223" i="2"/>
  <c r="I222" i="2"/>
  <c r="AM222" i="2" s="1"/>
  <c r="N222" i="2"/>
  <c r="E222" i="2"/>
  <c r="AI222" i="2" s="1"/>
  <c r="AL221" i="2"/>
  <c r="AQ221" i="2"/>
  <c r="AM221" i="2"/>
  <c r="AN221" i="2"/>
  <c r="J221" i="1"/>
  <c r="K221" i="1" s="1"/>
  <c r="O221" i="1" s="1"/>
  <c r="P221" i="1" s="1"/>
  <c r="Q221" i="1" s="1"/>
  <c r="R220" i="1"/>
  <c r="S220" i="1"/>
  <c r="G222" i="1"/>
  <c r="I222" i="1" s="1"/>
  <c r="V223" i="1"/>
  <c r="X223" i="1" s="1"/>
  <c r="Y223" i="1"/>
  <c r="D222" i="1"/>
  <c r="C222" i="1"/>
  <c r="B223" i="1"/>
  <c r="L223" i="1" s="1"/>
  <c r="E223" i="1"/>
  <c r="A224" i="1"/>
  <c r="H224" i="1" s="1"/>
  <c r="AL222" i="2" l="1"/>
  <c r="AQ222" i="2"/>
  <c r="AN222" i="2"/>
  <c r="AC223" i="2"/>
  <c r="W223" i="2"/>
  <c r="Z223" i="2"/>
  <c r="V223" i="2"/>
  <c r="S223" i="2"/>
  <c r="X223" i="2"/>
  <c r="AE223" i="2"/>
  <c r="R224" i="2"/>
  <c r="AD223" i="2"/>
  <c r="AB223" i="2"/>
  <c r="U223" i="2"/>
  <c r="Y223" i="2"/>
  <c r="AA223" i="2"/>
  <c r="T223" i="2"/>
  <c r="AR222" i="2"/>
  <c r="I223" i="2"/>
  <c r="C224" i="2"/>
  <c r="G223" i="2"/>
  <c r="AK223" i="2" s="1"/>
  <c r="D223" i="2"/>
  <c r="AH223" i="2" s="1"/>
  <c r="N223" i="2"/>
  <c r="AR223" i="2" s="1"/>
  <c r="K223" i="2"/>
  <c r="AO223" i="2" s="1"/>
  <c r="J223" i="2"/>
  <c r="F223" i="2"/>
  <c r="E223" i="2"/>
  <c r="L223" i="2"/>
  <c r="O223" i="2"/>
  <c r="AS223" i="2" s="1"/>
  <c r="H223" i="2"/>
  <c r="AL223" i="2" s="1"/>
  <c r="M223" i="2"/>
  <c r="AQ223" i="2" s="1"/>
  <c r="AO222" i="2"/>
  <c r="AS222" i="2"/>
  <c r="AK222" i="2"/>
  <c r="J222" i="1"/>
  <c r="K222" i="1" s="1"/>
  <c r="O222" i="1" s="1"/>
  <c r="P222" i="1" s="1"/>
  <c r="Q222" i="1" s="1"/>
  <c r="R221" i="1"/>
  <c r="S221" i="1"/>
  <c r="W223" i="1"/>
  <c r="Z223" i="1"/>
  <c r="G223" i="1"/>
  <c r="I223" i="1" s="1"/>
  <c r="V224" i="1"/>
  <c r="Y224" i="1"/>
  <c r="Z224" i="1" s="1"/>
  <c r="X224" i="1"/>
  <c r="W224" i="1"/>
  <c r="A225" i="1"/>
  <c r="H225" i="1" s="1"/>
  <c r="E224" i="1"/>
  <c r="B224" i="1"/>
  <c r="L224" i="1" s="1"/>
  <c r="D223" i="1"/>
  <c r="C223" i="1"/>
  <c r="AJ223" i="2" l="1"/>
  <c r="AP223" i="2"/>
  <c r="AC224" i="2"/>
  <c r="V224" i="2"/>
  <c r="AD224" i="2"/>
  <c r="S224" i="2"/>
  <c r="AE224" i="2"/>
  <c r="Z224" i="2"/>
  <c r="X224" i="2"/>
  <c r="U224" i="2"/>
  <c r="AA224" i="2"/>
  <c r="R225" i="2"/>
  <c r="Y224" i="2"/>
  <c r="AB224" i="2"/>
  <c r="T224" i="2"/>
  <c r="W224" i="2"/>
  <c r="D224" i="2"/>
  <c r="O224" i="2"/>
  <c r="C225" i="2"/>
  <c r="I224" i="2"/>
  <c r="E224" i="2"/>
  <c r="N224" i="2"/>
  <c r="AR224" i="2" s="1"/>
  <c r="L224" i="2"/>
  <c r="M224" i="2"/>
  <c r="J224" i="2"/>
  <c r="G224" i="2"/>
  <c r="AK224" i="2" s="1"/>
  <c r="K224" i="2"/>
  <c r="AO224" i="2" s="1"/>
  <c r="F224" i="2"/>
  <c r="AJ224" i="2" s="1"/>
  <c r="H224" i="2"/>
  <c r="AI223" i="2"/>
  <c r="AM223" i="2"/>
  <c r="AN223" i="2"/>
  <c r="J223" i="1"/>
  <c r="K223" i="1" s="1"/>
  <c r="O223" i="1" s="1"/>
  <c r="P223" i="1" s="1"/>
  <c r="Q223" i="1" s="1"/>
  <c r="R222" i="1"/>
  <c r="S222" i="1"/>
  <c r="G224" i="1"/>
  <c r="I224" i="1" s="1"/>
  <c r="V225" i="1"/>
  <c r="W225" i="1" s="1"/>
  <c r="Y225" i="1"/>
  <c r="C224" i="1"/>
  <c r="D224" i="1"/>
  <c r="E225" i="1"/>
  <c r="A226" i="1"/>
  <c r="H226" i="1" s="1"/>
  <c r="B225" i="1"/>
  <c r="L225" i="1" s="1"/>
  <c r="Z225" i="2" l="1"/>
  <c r="AC225" i="2"/>
  <c r="AB225" i="2"/>
  <c r="Y225" i="2"/>
  <c r="AE225" i="2"/>
  <c r="AD225" i="2"/>
  <c r="U225" i="2"/>
  <c r="R226" i="2"/>
  <c r="X225" i="2"/>
  <c r="V225" i="2"/>
  <c r="AA225" i="2"/>
  <c r="W225" i="2"/>
  <c r="S225" i="2"/>
  <c r="T225" i="2"/>
  <c r="AQ224" i="2"/>
  <c r="AM224" i="2"/>
  <c r="AP224" i="2"/>
  <c r="AS224" i="2"/>
  <c r="AL224" i="2"/>
  <c r="AN224" i="2"/>
  <c r="AI224" i="2"/>
  <c r="N225" i="2"/>
  <c r="AR225" i="2" s="1"/>
  <c r="E225" i="2"/>
  <c r="J225" i="2"/>
  <c r="AN225" i="2" s="1"/>
  <c r="F225" i="2"/>
  <c r="AJ225" i="2" s="1"/>
  <c r="H225" i="2"/>
  <c r="L225" i="2"/>
  <c r="AP225" i="2" s="1"/>
  <c r="K225" i="2"/>
  <c r="AO225" i="2" s="1"/>
  <c r="G225" i="2"/>
  <c r="AK225" i="2" s="1"/>
  <c r="I225" i="2"/>
  <c r="AM225" i="2" s="1"/>
  <c r="C226" i="2"/>
  <c r="D225" i="2"/>
  <c r="AH225" i="2" s="1"/>
  <c r="M225" i="2"/>
  <c r="AQ225" i="2" s="1"/>
  <c r="O225" i="2"/>
  <c r="AH224" i="2"/>
  <c r="Z225" i="1"/>
  <c r="X225" i="1"/>
  <c r="J224" i="1"/>
  <c r="K224" i="1" s="1"/>
  <c r="O224" i="1" s="1"/>
  <c r="P224" i="1" s="1"/>
  <c r="Q224" i="1" s="1"/>
  <c r="R223" i="1"/>
  <c r="S223" i="1"/>
  <c r="G225" i="1"/>
  <c r="I225" i="1" s="1"/>
  <c r="V226" i="1"/>
  <c r="W226" i="1" s="1"/>
  <c r="Y226" i="1"/>
  <c r="Z226" i="1" s="1"/>
  <c r="X226" i="1"/>
  <c r="D225" i="1"/>
  <c r="C225" i="1"/>
  <c r="A227" i="1"/>
  <c r="H227" i="1" s="1"/>
  <c r="E226" i="1"/>
  <c r="B226" i="1"/>
  <c r="L226" i="1" s="1"/>
  <c r="AS225" i="2" l="1"/>
  <c r="AL225" i="2"/>
  <c r="AI225" i="2"/>
  <c r="K226" i="2"/>
  <c r="G226" i="2"/>
  <c r="H226" i="2"/>
  <c r="N226" i="2"/>
  <c r="M226" i="2"/>
  <c r="C227" i="2"/>
  <c r="F226" i="2"/>
  <c r="AJ226" i="2" s="1"/>
  <c r="I226" i="2"/>
  <c r="AM226" i="2" s="1"/>
  <c r="O226" i="2"/>
  <c r="AS226" i="2" s="1"/>
  <c r="L226" i="2"/>
  <c r="AP226" i="2" s="1"/>
  <c r="E226" i="2"/>
  <c r="AI226" i="2" s="1"/>
  <c r="J226" i="2"/>
  <c r="AN226" i="2" s="1"/>
  <c r="D226" i="2"/>
  <c r="AH226" i="2" s="1"/>
  <c r="AE226" i="2"/>
  <c r="AB226" i="2"/>
  <c r="X226" i="2"/>
  <c r="U226" i="2"/>
  <c r="AA226" i="2"/>
  <c r="Y226" i="2"/>
  <c r="S226" i="2"/>
  <c r="AC226" i="2"/>
  <c r="R227" i="2"/>
  <c r="Z226" i="2"/>
  <c r="AD226" i="2"/>
  <c r="W226" i="2"/>
  <c r="V226" i="2"/>
  <c r="T226" i="2"/>
  <c r="J225" i="1"/>
  <c r="K225" i="1" s="1"/>
  <c r="O225" i="1" s="1"/>
  <c r="P225" i="1" s="1"/>
  <c r="Q225" i="1" s="1"/>
  <c r="R224" i="1"/>
  <c r="S224" i="1"/>
  <c r="G226" i="1"/>
  <c r="I226" i="1" s="1"/>
  <c r="V227" i="1"/>
  <c r="X227" i="1" s="1"/>
  <c r="Y227" i="1"/>
  <c r="Z227" i="1" s="1"/>
  <c r="W227" i="1"/>
  <c r="C226" i="1"/>
  <c r="D226" i="1"/>
  <c r="A228" i="1"/>
  <c r="H228" i="1" s="1"/>
  <c r="B227" i="1"/>
  <c r="L227" i="1" s="1"/>
  <c r="E227" i="1"/>
  <c r="D227" i="2" l="1"/>
  <c r="F227" i="2"/>
  <c r="K227" i="2"/>
  <c r="N227" i="2"/>
  <c r="M227" i="2"/>
  <c r="I227" i="2"/>
  <c r="AM227" i="2" s="1"/>
  <c r="G227" i="2"/>
  <c r="AK227" i="2" s="1"/>
  <c r="C228" i="2"/>
  <c r="O227" i="2"/>
  <c r="E227" i="2"/>
  <c r="L227" i="2"/>
  <c r="AP227" i="2" s="1"/>
  <c r="J227" i="2"/>
  <c r="AN227" i="2" s="1"/>
  <c r="H227" i="2"/>
  <c r="AL227" i="2" s="1"/>
  <c r="AL226" i="2"/>
  <c r="T227" i="2"/>
  <c r="AC227" i="2"/>
  <c r="U227" i="2"/>
  <c r="S227" i="2"/>
  <c r="AA227" i="2"/>
  <c r="X227" i="2"/>
  <c r="R228" i="2"/>
  <c r="AB227" i="2"/>
  <c r="V227" i="2"/>
  <c r="AE227" i="2"/>
  <c r="Y227" i="2"/>
  <c r="AD227" i="2"/>
  <c r="Z227" i="2"/>
  <c r="W227" i="2"/>
  <c r="AK226" i="2"/>
  <c r="AQ226" i="2"/>
  <c r="AR226" i="2"/>
  <c r="AO226" i="2"/>
  <c r="J226" i="1"/>
  <c r="K226" i="1" s="1"/>
  <c r="O226" i="1" s="1"/>
  <c r="P226" i="1" s="1"/>
  <c r="Q226" i="1" s="1"/>
  <c r="R225" i="1"/>
  <c r="S225" i="1"/>
  <c r="G227" i="1"/>
  <c r="I227" i="1" s="1"/>
  <c r="V228" i="1"/>
  <c r="Y228" i="1"/>
  <c r="Z228" i="1" s="1"/>
  <c r="X228" i="1"/>
  <c r="W228" i="1"/>
  <c r="B228" i="1"/>
  <c r="L228" i="1" s="1"/>
  <c r="E228" i="1"/>
  <c r="A229" i="1"/>
  <c r="H229" i="1" s="1"/>
  <c r="C227" i="1"/>
  <c r="D227" i="1"/>
  <c r="AJ227" i="2" l="1"/>
  <c r="AS227" i="2"/>
  <c r="AE228" i="2"/>
  <c r="AD228" i="2"/>
  <c r="Z228" i="2"/>
  <c r="T228" i="2"/>
  <c r="AA228" i="2"/>
  <c r="Y228" i="2"/>
  <c r="S228" i="2"/>
  <c r="R229" i="2"/>
  <c r="AB228" i="2"/>
  <c r="V228" i="2"/>
  <c r="U228" i="2"/>
  <c r="W228" i="2"/>
  <c r="X228" i="2"/>
  <c r="AC228" i="2"/>
  <c r="AR227" i="2"/>
  <c r="AI227" i="2"/>
  <c r="H228" i="2"/>
  <c r="F228" i="2"/>
  <c r="E228" i="2"/>
  <c r="J228" i="2"/>
  <c r="M228" i="2"/>
  <c r="D228" i="2"/>
  <c r="N228" i="2"/>
  <c r="G228" i="2"/>
  <c r="I228" i="2"/>
  <c r="L228" i="2"/>
  <c r="AP228" i="2" s="1"/>
  <c r="K228" i="2"/>
  <c r="AO228" i="2" s="1"/>
  <c r="O228" i="2"/>
  <c r="C229" i="2"/>
  <c r="AQ227" i="2"/>
  <c r="AO227" i="2"/>
  <c r="AH227" i="2"/>
  <c r="J227" i="1"/>
  <c r="K227" i="1" s="1"/>
  <c r="O227" i="1" s="1"/>
  <c r="P227" i="1" s="1"/>
  <c r="Q227" i="1" s="1"/>
  <c r="R226" i="1"/>
  <c r="S226" i="1"/>
  <c r="G228" i="1"/>
  <c r="I228" i="1" s="1"/>
  <c r="V229" i="1"/>
  <c r="Y229" i="1"/>
  <c r="Z229" i="1" s="1"/>
  <c r="X229" i="1"/>
  <c r="W229" i="1"/>
  <c r="A230" i="1"/>
  <c r="H230" i="1" s="1"/>
  <c r="B229" i="1"/>
  <c r="L229" i="1" s="1"/>
  <c r="E229" i="1"/>
  <c r="D228" i="1"/>
  <c r="C228" i="1"/>
  <c r="AL228" i="2" l="1"/>
  <c r="AJ228" i="2"/>
  <c r="H229" i="2"/>
  <c r="K229" i="2"/>
  <c r="G229" i="2"/>
  <c r="AK229" i="2" s="1"/>
  <c r="F229" i="2"/>
  <c r="E229" i="2"/>
  <c r="O229" i="2"/>
  <c r="AS229" i="2" s="1"/>
  <c r="D229" i="2"/>
  <c r="J229" i="2"/>
  <c r="I229" i="2"/>
  <c r="N229" i="2"/>
  <c r="AR229" i="2" s="1"/>
  <c r="M229" i="2"/>
  <c r="AQ229" i="2" s="1"/>
  <c r="C230" i="2"/>
  <c r="L229" i="2"/>
  <c r="AP229" i="2" s="1"/>
  <c r="AK228" i="2"/>
  <c r="AS228" i="2"/>
  <c r="AM228" i="2"/>
  <c r="V229" i="2"/>
  <c r="AC229" i="2"/>
  <c r="AD229" i="2"/>
  <c r="R230" i="2"/>
  <c r="AB229" i="2"/>
  <c r="AA229" i="2"/>
  <c r="U229" i="2"/>
  <c r="T229" i="2"/>
  <c r="S229" i="2"/>
  <c r="W229" i="2"/>
  <c r="AE229" i="2"/>
  <c r="Z229" i="2"/>
  <c r="X229" i="2"/>
  <c r="Y229" i="2"/>
  <c r="AQ228" i="2"/>
  <c r="AR228" i="2"/>
  <c r="AH228" i="2"/>
  <c r="AN228" i="2"/>
  <c r="AI228" i="2"/>
  <c r="J228" i="1"/>
  <c r="K228" i="1" s="1"/>
  <c r="O228" i="1" s="1"/>
  <c r="P228" i="1" s="1"/>
  <c r="Q228" i="1" s="1"/>
  <c r="R227" i="1"/>
  <c r="S227" i="1"/>
  <c r="G229" i="1"/>
  <c r="I229" i="1" s="1"/>
  <c r="V230" i="1"/>
  <c r="Y230" i="1"/>
  <c r="X230" i="1"/>
  <c r="W230" i="1"/>
  <c r="C229" i="1"/>
  <c r="D229" i="1"/>
  <c r="A231" i="1"/>
  <c r="H231" i="1" s="1"/>
  <c r="B230" i="1"/>
  <c r="L230" i="1" s="1"/>
  <c r="E230" i="1"/>
  <c r="C231" i="2" l="1"/>
  <c r="M230" i="2"/>
  <c r="K230" i="2"/>
  <c r="J230" i="2"/>
  <c r="H230" i="2"/>
  <c r="L230" i="2"/>
  <c r="F230" i="2"/>
  <c r="O230" i="2"/>
  <c r="E230" i="2"/>
  <c r="I230" i="2"/>
  <c r="G230" i="2"/>
  <c r="D230" i="2"/>
  <c r="N230" i="2"/>
  <c r="AR230" i="2" s="1"/>
  <c r="AN229" i="2"/>
  <c r="AH229" i="2"/>
  <c r="AJ229" i="2"/>
  <c r="AM229" i="2"/>
  <c r="AI229" i="2"/>
  <c r="AD230" i="2"/>
  <c r="AE230" i="2"/>
  <c r="R231" i="2"/>
  <c r="AB230" i="2"/>
  <c r="Y230" i="2"/>
  <c r="U230" i="2"/>
  <c r="T230" i="2"/>
  <c r="AC230" i="2"/>
  <c r="Z230" i="2"/>
  <c r="V230" i="2"/>
  <c r="AA230" i="2"/>
  <c r="W230" i="2"/>
  <c r="S230" i="2"/>
  <c r="X230" i="2"/>
  <c r="AO229" i="2"/>
  <c r="AL229" i="2"/>
  <c r="J229" i="1"/>
  <c r="K229" i="1" s="1"/>
  <c r="O229" i="1" s="1"/>
  <c r="P229" i="1" s="1"/>
  <c r="Q229" i="1" s="1"/>
  <c r="Z230" i="1"/>
  <c r="R228" i="1"/>
  <c r="S228" i="1"/>
  <c r="G230" i="1"/>
  <c r="I230" i="1" s="1"/>
  <c r="V231" i="1"/>
  <c r="X231" i="1" s="1"/>
  <c r="Y231" i="1"/>
  <c r="Z231" i="1" s="1"/>
  <c r="W231" i="1"/>
  <c r="C230" i="1"/>
  <c r="D230" i="1"/>
  <c r="B231" i="1"/>
  <c r="L231" i="1" s="1"/>
  <c r="A232" i="1"/>
  <c r="H232" i="1" s="1"/>
  <c r="E231" i="1"/>
  <c r="AN230" i="2" l="1"/>
  <c r="AO230" i="2"/>
  <c r="AQ230" i="2"/>
  <c r="AL230" i="2"/>
  <c r="AH230" i="2"/>
  <c r="AM230" i="2"/>
  <c r="AS230" i="2"/>
  <c r="AJ230" i="2"/>
  <c r="Y231" i="2"/>
  <c r="W231" i="2"/>
  <c r="AB231" i="2"/>
  <c r="S231" i="2"/>
  <c r="R232" i="2"/>
  <c r="U231" i="2"/>
  <c r="AD231" i="2"/>
  <c r="AE231" i="2"/>
  <c r="AC231" i="2"/>
  <c r="T231" i="2"/>
  <c r="AA231" i="2"/>
  <c r="Z231" i="2"/>
  <c r="V231" i="2"/>
  <c r="X231" i="2"/>
  <c r="AK230" i="2"/>
  <c r="AI230" i="2"/>
  <c r="AP230" i="2"/>
  <c r="C232" i="2"/>
  <c r="N231" i="2"/>
  <c r="H231" i="2"/>
  <c r="AL231" i="2" s="1"/>
  <c r="E231" i="2"/>
  <c r="G231" i="2"/>
  <c r="AK231" i="2" s="1"/>
  <c r="K231" i="2"/>
  <c r="L231" i="2"/>
  <c r="F231" i="2"/>
  <c r="D231" i="2"/>
  <c r="M231" i="2"/>
  <c r="O231" i="2"/>
  <c r="J231" i="2"/>
  <c r="I231" i="2"/>
  <c r="AM231" i="2" s="1"/>
  <c r="J230" i="1"/>
  <c r="K230" i="1" s="1"/>
  <c r="O230" i="1" s="1"/>
  <c r="P230" i="1" s="1"/>
  <c r="Q230" i="1" s="1"/>
  <c r="R229" i="1"/>
  <c r="S229" i="1"/>
  <c r="G231" i="1"/>
  <c r="I231" i="1" s="1"/>
  <c r="V232" i="1"/>
  <c r="X232" i="1" s="1"/>
  <c r="Y232" i="1"/>
  <c r="Z232" i="1" s="1"/>
  <c r="W232" i="1"/>
  <c r="D231" i="1"/>
  <c r="C231" i="1"/>
  <c r="A233" i="1"/>
  <c r="H233" i="1" s="1"/>
  <c r="B232" i="1"/>
  <c r="L232" i="1" s="1"/>
  <c r="E232" i="1"/>
  <c r="AS231" i="2" l="1"/>
  <c r="AQ231" i="2"/>
  <c r="AH231" i="2"/>
  <c r="AJ231" i="2"/>
  <c r="AR231" i="2"/>
  <c r="AP231" i="2"/>
  <c r="K232" i="2"/>
  <c r="AO232" i="2" s="1"/>
  <c r="J232" i="2"/>
  <c r="AN232" i="2" s="1"/>
  <c r="I232" i="2"/>
  <c r="N232" i="2"/>
  <c r="AR232" i="2" s="1"/>
  <c r="C233" i="2"/>
  <c r="G232" i="2"/>
  <c r="AK232" i="2" s="1"/>
  <c r="F232" i="2"/>
  <c r="O232" i="2"/>
  <c r="E232" i="2"/>
  <c r="AI232" i="2" s="1"/>
  <c r="L232" i="2"/>
  <c r="AP232" i="2" s="1"/>
  <c r="D232" i="2"/>
  <c r="H232" i="2"/>
  <c r="M232" i="2"/>
  <c r="AO231" i="2"/>
  <c r="AI231" i="2"/>
  <c r="AC232" i="2"/>
  <c r="Y232" i="2"/>
  <c r="V232" i="2"/>
  <c r="AA232" i="2"/>
  <c r="Z232" i="2"/>
  <c r="W232" i="2"/>
  <c r="T232" i="2"/>
  <c r="R233" i="2"/>
  <c r="X232" i="2"/>
  <c r="S232" i="2"/>
  <c r="AB232" i="2"/>
  <c r="U232" i="2"/>
  <c r="AE232" i="2"/>
  <c r="AD232" i="2"/>
  <c r="AN231" i="2"/>
  <c r="J231" i="1"/>
  <c r="K231" i="1" s="1"/>
  <c r="O231" i="1" s="1"/>
  <c r="P231" i="1" s="1"/>
  <c r="Q231" i="1" s="1"/>
  <c r="R230" i="1"/>
  <c r="S230" i="1"/>
  <c r="G232" i="1"/>
  <c r="I232" i="1" s="1"/>
  <c r="V233" i="1"/>
  <c r="Y233" i="1"/>
  <c r="Z233" i="1" s="1"/>
  <c r="X233" i="1"/>
  <c r="W233" i="1"/>
  <c r="D232" i="1"/>
  <c r="C232" i="1"/>
  <c r="B233" i="1"/>
  <c r="L233" i="1" s="1"/>
  <c r="A234" i="1"/>
  <c r="H234" i="1" s="1"/>
  <c r="E233" i="1"/>
  <c r="AQ232" i="2" l="1"/>
  <c r="AL232" i="2"/>
  <c r="AH232" i="2"/>
  <c r="AS232" i="2"/>
  <c r="AJ232" i="2"/>
  <c r="F233" i="2"/>
  <c r="C234" i="2"/>
  <c r="H233" i="2"/>
  <c r="E233" i="2"/>
  <c r="AI233" i="2" s="1"/>
  <c r="K233" i="2"/>
  <c r="L233" i="2"/>
  <c r="M233" i="2"/>
  <c r="AQ233" i="2" s="1"/>
  <c r="N233" i="2"/>
  <c r="I233" i="2"/>
  <c r="AM233" i="2" s="1"/>
  <c r="J233" i="2"/>
  <c r="AN233" i="2" s="1"/>
  <c r="O233" i="2"/>
  <c r="AS233" i="2" s="1"/>
  <c r="G233" i="2"/>
  <c r="AK233" i="2" s="1"/>
  <c r="D233" i="2"/>
  <c r="R234" i="2"/>
  <c r="AD233" i="2"/>
  <c r="AE233" i="2"/>
  <c r="T233" i="2"/>
  <c r="Y233" i="2"/>
  <c r="X233" i="2"/>
  <c r="AB233" i="2"/>
  <c r="S233" i="2"/>
  <c r="W233" i="2"/>
  <c r="Z233" i="2"/>
  <c r="V233" i="2"/>
  <c r="U233" i="2"/>
  <c r="AC233" i="2"/>
  <c r="AA233" i="2"/>
  <c r="AM232" i="2"/>
  <c r="J232" i="1"/>
  <c r="K232" i="1" s="1"/>
  <c r="O232" i="1" s="1"/>
  <c r="P232" i="1" s="1"/>
  <c r="Q232" i="1" s="1"/>
  <c r="R231" i="1"/>
  <c r="S231" i="1"/>
  <c r="G233" i="1"/>
  <c r="I233" i="1" s="1"/>
  <c r="V234" i="1"/>
  <c r="Y234" i="1"/>
  <c r="Z234" i="1" s="1"/>
  <c r="W234" i="1"/>
  <c r="X234" i="1"/>
  <c r="E234" i="1"/>
  <c r="A235" i="1"/>
  <c r="H235" i="1" s="1"/>
  <c r="B234" i="1"/>
  <c r="L234" i="1" s="1"/>
  <c r="D233" i="1"/>
  <c r="C233" i="1"/>
  <c r="AH233" i="2" l="1"/>
  <c r="Z234" i="2"/>
  <c r="W234" i="2"/>
  <c r="AA234" i="2"/>
  <c r="V234" i="2"/>
  <c r="U234" i="2"/>
  <c r="S234" i="2"/>
  <c r="X234" i="2"/>
  <c r="T234" i="2"/>
  <c r="Y234" i="2"/>
  <c r="AD234" i="2"/>
  <c r="AC234" i="2"/>
  <c r="AE234" i="2"/>
  <c r="AB234" i="2"/>
  <c r="R235" i="2"/>
  <c r="AR233" i="2"/>
  <c r="AL233" i="2"/>
  <c r="AP233" i="2"/>
  <c r="AO233" i="2"/>
  <c r="H234" i="2"/>
  <c r="AL234" i="2" s="1"/>
  <c r="I234" i="2"/>
  <c r="C235" i="2"/>
  <c r="N234" i="2"/>
  <c r="G234" i="2"/>
  <c r="AK234" i="2" s="1"/>
  <c r="D234" i="2"/>
  <c r="AH234" i="2" s="1"/>
  <c r="M234" i="2"/>
  <c r="F234" i="2"/>
  <c r="AJ234" i="2" s="1"/>
  <c r="E234" i="2"/>
  <c r="AI234" i="2" s="1"/>
  <c r="L234" i="2"/>
  <c r="AP234" i="2" s="1"/>
  <c r="K234" i="2"/>
  <c r="AO234" i="2" s="1"/>
  <c r="J234" i="2"/>
  <c r="AN234" i="2" s="1"/>
  <c r="O234" i="2"/>
  <c r="AS234" i="2" s="1"/>
  <c r="AJ233" i="2"/>
  <c r="J233" i="1"/>
  <c r="K233" i="1" s="1"/>
  <c r="O233" i="1" s="1"/>
  <c r="P233" i="1" s="1"/>
  <c r="Q233" i="1" s="1"/>
  <c r="R232" i="1"/>
  <c r="S232" i="1"/>
  <c r="G234" i="1"/>
  <c r="I234" i="1" s="1"/>
  <c r="V235" i="1"/>
  <c r="X235" i="1" s="1"/>
  <c r="Y235" i="1"/>
  <c r="Z235" i="1" s="1"/>
  <c r="A236" i="1"/>
  <c r="H236" i="1" s="1"/>
  <c r="B235" i="1"/>
  <c r="L235" i="1" s="1"/>
  <c r="E235" i="1"/>
  <c r="D234" i="1"/>
  <c r="C234" i="1"/>
  <c r="Z235" i="2" l="1"/>
  <c r="AD235" i="2"/>
  <c r="AC235" i="2"/>
  <c r="Y235" i="2"/>
  <c r="AA235" i="2"/>
  <c r="S235" i="2"/>
  <c r="AB235" i="2"/>
  <c r="R236" i="2"/>
  <c r="X235" i="2"/>
  <c r="AE235" i="2"/>
  <c r="W235" i="2"/>
  <c r="V235" i="2"/>
  <c r="U235" i="2"/>
  <c r="T235" i="2"/>
  <c r="AQ234" i="2"/>
  <c r="AR234" i="2"/>
  <c r="AM234" i="2"/>
  <c r="I235" i="2"/>
  <c r="G235" i="2"/>
  <c r="H235" i="2"/>
  <c r="E235" i="2"/>
  <c r="N235" i="2"/>
  <c r="AR235" i="2" s="1"/>
  <c r="C236" i="2"/>
  <c r="D235" i="2"/>
  <c r="AH235" i="2" s="1"/>
  <c r="K235" i="2"/>
  <c r="AO235" i="2" s="1"/>
  <c r="M235" i="2"/>
  <c r="AQ235" i="2" s="1"/>
  <c r="J235" i="2"/>
  <c r="AN235" i="2" s="1"/>
  <c r="O235" i="2"/>
  <c r="AS235" i="2" s="1"/>
  <c r="F235" i="2"/>
  <c r="AJ235" i="2" s="1"/>
  <c r="L235" i="2"/>
  <c r="AP235" i="2" s="1"/>
  <c r="J234" i="1"/>
  <c r="K234" i="1" s="1"/>
  <c r="O234" i="1" s="1"/>
  <c r="P234" i="1" s="1"/>
  <c r="Q234" i="1" s="1"/>
  <c r="R233" i="1"/>
  <c r="S233" i="1"/>
  <c r="G235" i="1"/>
  <c r="I235" i="1" s="1"/>
  <c r="W235" i="1"/>
  <c r="V236" i="1"/>
  <c r="W236" i="1" s="1"/>
  <c r="Y236" i="1"/>
  <c r="Z236" i="1" s="1"/>
  <c r="X236" i="1"/>
  <c r="D235" i="1"/>
  <c r="C235" i="1"/>
  <c r="B236" i="1"/>
  <c r="L236" i="1" s="1"/>
  <c r="E236" i="1"/>
  <c r="A237" i="1"/>
  <c r="H237" i="1" s="1"/>
  <c r="AI235" i="2" l="1"/>
  <c r="AA236" i="2"/>
  <c r="R237" i="2"/>
  <c r="X236" i="2"/>
  <c r="AD236" i="2"/>
  <c r="W236" i="2"/>
  <c r="AC236" i="2"/>
  <c r="AB236" i="2"/>
  <c r="S236" i="2"/>
  <c r="Z236" i="2"/>
  <c r="Y236" i="2"/>
  <c r="V236" i="2"/>
  <c r="U236" i="2"/>
  <c r="T236" i="2"/>
  <c r="AE236" i="2"/>
  <c r="AK235" i="2"/>
  <c r="O236" i="2"/>
  <c r="H236" i="2"/>
  <c r="F236" i="2"/>
  <c r="K236" i="2"/>
  <c r="I236" i="2"/>
  <c r="AM236" i="2" s="1"/>
  <c r="C237" i="2"/>
  <c r="E236" i="2"/>
  <c r="J236" i="2"/>
  <c r="G236" i="2"/>
  <c r="N236" i="2"/>
  <c r="AR236" i="2" s="1"/>
  <c r="L236" i="2"/>
  <c r="AP236" i="2" s="1"/>
  <c r="M236" i="2"/>
  <c r="AQ236" i="2" s="1"/>
  <c r="D236" i="2"/>
  <c r="AH236" i="2" s="1"/>
  <c r="AL235" i="2"/>
  <c r="AM235" i="2"/>
  <c r="J235" i="1"/>
  <c r="K235" i="1" s="1"/>
  <c r="O235" i="1" s="1"/>
  <c r="P235" i="1" s="1"/>
  <c r="Q235" i="1" s="1"/>
  <c r="R234" i="1"/>
  <c r="S234" i="1"/>
  <c r="G236" i="1"/>
  <c r="I236" i="1" s="1"/>
  <c r="V237" i="1"/>
  <c r="W237" i="1" s="1"/>
  <c r="Y237" i="1"/>
  <c r="Z237" i="1" s="1"/>
  <c r="E237" i="1"/>
  <c r="A238" i="1"/>
  <c r="H238" i="1" s="1"/>
  <c r="B237" i="1"/>
  <c r="L237" i="1" s="1"/>
  <c r="C236" i="1"/>
  <c r="D236" i="1"/>
  <c r="AK236" i="2" l="1"/>
  <c r="AO236" i="2"/>
  <c r="AJ236" i="2"/>
  <c r="AD237" i="2"/>
  <c r="AA237" i="2"/>
  <c r="AE237" i="2"/>
  <c r="R238" i="2"/>
  <c r="X237" i="2"/>
  <c r="V237" i="2"/>
  <c r="S237" i="2"/>
  <c r="Z237" i="2"/>
  <c r="AC237" i="2"/>
  <c r="U237" i="2"/>
  <c r="T237" i="2"/>
  <c r="Y237" i="2"/>
  <c r="W237" i="2"/>
  <c r="AB237" i="2"/>
  <c r="AI236" i="2"/>
  <c r="K237" i="2"/>
  <c r="I237" i="2"/>
  <c r="N237" i="2"/>
  <c r="M237" i="2"/>
  <c r="AQ237" i="2" s="1"/>
  <c r="E237" i="2"/>
  <c r="O237" i="2"/>
  <c r="AS237" i="2" s="1"/>
  <c r="H237" i="2"/>
  <c r="D237" i="2"/>
  <c r="AH237" i="2" s="1"/>
  <c r="C238" i="2"/>
  <c r="J237" i="2"/>
  <c r="AN237" i="2" s="1"/>
  <c r="G237" i="2"/>
  <c r="AK237" i="2" s="1"/>
  <c r="F237" i="2"/>
  <c r="AJ237" i="2" s="1"/>
  <c r="L237" i="2"/>
  <c r="AP237" i="2" s="1"/>
  <c r="AL236" i="2"/>
  <c r="AN236" i="2"/>
  <c r="AS236" i="2"/>
  <c r="J236" i="1"/>
  <c r="K236" i="1" s="1"/>
  <c r="O236" i="1" s="1"/>
  <c r="P236" i="1" s="1"/>
  <c r="Q236" i="1" s="1"/>
  <c r="X237" i="1"/>
  <c r="R235" i="1"/>
  <c r="S235" i="1"/>
  <c r="G237" i="1"/>
  <c r="I237" i="1" s="1"/>
  <c r="V238" i="1"/>
  <c r="X238" i="1" s="1"/>
  <c r="Y238" i="1"/>
  <c r="W238" i="1"/>
  <c r="B238" i="1"/>
  <c r="L238" i="1" s="1"/>
  <c r="A239" i="1"/>
  <c r="H239" i="1" s="1"/>
  <c r="E238" i="1"/>
  <c r="C237" i="1"/>
  <c r="D237" i="1"/>
  <c r="C239" i="2" l="1"/>
  <c r="K238" i="2"/>
  <c r="N238" i="2"/>
  <c r="AR238" i="2" s="1"/>
  <c r="M238" i="2"/>
  <c r="AQ238" i="2" s="1"/>
  <c r="O238" i="2"/>
  <c r="I238" i="2"/>
  <c r="J238" i="2"/>
  <c r="AN238" i="2" s="1"/>
  <c r="H238" i="2"/>
  <c r="AL238" i="2" s="1"/>
  <c r="E238" i="2"/>
  <c r="F238" i="2"/>
  <c r="AJ238" i="2" s="1"/>
  <c r="G238" i="2"/>
  <c r="D238" i="2"/>
  <c r="AH238" i="2" s="1"/>
  <c r="L238" i="2"/>
  <c r="AP238" i="2" s="1"/>
  <c r="AR237" i="2"/>
  <c r="AL237" i="2"/>
  <c r="AO237" i="2"/>
  <c r="AI237" i="2"/>
  <c r="AB238" i="2"/>
  <c r="AC238" i="2"/>
  <c r="Y238" i="2"/>
  <c r="W238" i="2"/>
  <c r="U238" i="2"/>
  <c r="Z238" i="2"/>
  <c r="AD238" i="2"/>
  <c r="AA238" i="2"/>
  <c r="S238" i="2"/>
  <c r="R239" i="2"/>
  <c r="X238" i="2"/>
  <c r="T238" i="2"/>
  <c r="V238" i="2"/>
  <c r="AE238" i="2"/>
  <c r="AM237" i="2"/>
  <c r="Z238" i="1"/>
  <c r="J237" i="1"/>
  <c r="K237" i="1" s="1"/>
  <c r="O237" i="1" s="1"/>
  <c r="P237" i="1" s="1"/>
  <c r="Q237" i="1" s="1"/>
  <c r="R236" i="1"/>
  <c r="S236" i="1"/>
  <c r="G238" i="1"/>
  <c r="I238" i="1" s="1"/>
  <c r="V239" i="1"/>
  <c r="Y239" i="1"/>
  <c r="Z239" i="1" s="1"/>
  <c r="X239" i="1"/>
  <c r="W239" i="1"/>
  <c r="E239" i="1"/>
  <c r="B239" i="1"/>
  <c r="L239" i="1" s="1"/>
  <c r="A240" i="1"/>
  <c r="H240" i="1" s="1"/>
  <c r="D238" i="1"/>
  <c r="C238" i="1"/>
  <c r="AK238" i="2" l="1"/>
  <c r="AS238" i="2"/>
  <c r="AO238" i="2"/>
  <c r="AA239" i="2"/>
  <c r="S239" i="2"/>
  <c r="U239" i="2"/>
  <c r="T239" i="2"/>
  <c r="AC239" i="2"/>
  <c r="AB239" i="2"/>
  <c r="Z239" i="2"/>
  <c r="Y239" i="2"/>
  <c r="X239" i="2"/>
  <c r="W239" i="2"/>
  <c r="R240" i="2"/>
  <c r="AE239" i="2"/>
  <c r="AD239" i="2"/>
  <c r="V239" i="2"/>
  <c r="AI238" i="2"/>
  <c r="AM238" i="2"/>
  <c r="O239" i="2"/>
  <c r="H239" i="2"/>
  <c r="G239" i="2"/>
  <c r="AK239" i="2" s="1"/>
  <c r="C240" i="2"/>
  <c r="I239" i="2"/>
  <c r="K239" i="2"/>
  <c r="E239" i="2"/>
  <c r="AI239" i="2" s="1"/>
  <c r="J239" i="2"/>
  <c r="AN239" i="2" s="1"/>
  <c r="F239" i="2"/>
  <c r="AJ239" i="2" s="1"/>
  <c r="L239" i="2"/>
  <c r="AP239" i="2" s="1"/>
  <c r="M239" i="2"/>
  <c r="AQ239" i="2" s="1"/>
  <c r="N239" i="2"/>
  <c r="AR239" i="2" s="1"/>
  <c r="D239" i="2"/>
  <c r="AH239" i="2" s="1"/>
  <c r="J238" i="1"/>
  <c r="K238" i="1" s="1"/>
  <c r="O238" i="1" s="1"/>
  <c r="P238" i="1" s="1"/>
  <c r="Q238" i="1" s="1"/>
  <c r="R237" i="1"/>
  <c r="S237" i="1"/>
  <c r="G239" i="1"/>
  <c r="I239" i="1" s="1"/>
  <c r="V240" i="1"/>
  <c r="Y240" i="1"/>
  <c r="X240" i="1"/>
  <c r="W240" i="1"/>
  <c r="Z240" i="1"/>
  <c r="C239" i="1"/>
  <c r="D239" i="1"/>
  <c r="A241" i="1"/>
  <c r="H241" i="1" s="1"/>
  <c r="E240" i="1"/>
  <c r="B240" i="1"/>
  <c r="L240" i="1" s="1"/>
  <c r="V240" i="2" l="1"/>
  <c r="AD240" i="2"/>
  <c r="AA240" i="2"/>
  <c r="Y240" i="2"/>
  <c r="T240" i="2"/>
  <c r="S240" i="2"/>
  <c r="AC240" i="2"/>
  <c r="R241" i="2"/>
  <c r="AE240" i="2"/>
  <c r="Z240" i="2"/>
  <c r="U240" i="2"/>
  <c r="W240" i="2"/>
  <c r="AB240" i="2"/>
  <c r="X240" i="2"/>
  <c r="AM239" i="2"/>
  <c r="AL239" i="2"/>
  <c r="AO239" i="2"/>
  <c r="F240" i="2"/>
  <c r="E240" i="2"/>
  <c r="H240" i="2"/>
  <c r="L240" i="2"/>
  <c r="AP240" i="2" s="1"/>
  <c r="J240" i="2"/>
  <c r="AN240" i="2" s="1"/>
  <c r="N240" i="2"/>
  <c r="AR240" i="2" s="1"/>
  <c r="C241" i="2"/>
  <c r="I240" i="2"/>
  <c r="O240" i="2"/>
  <c r="AS240" i="2" s="1"/>
  <c r="M240" i="2"/>
  <c r="AQ240" i="2" s="1"/>
  <c r="D240" i="2"/>
  <c r="AH240" i="2" s="1"/>
  <c r="K240" i="2"/>
  <c r="AO240" i="2" s="1"/>
  <c r="G240" i="2"/>
  <c r="AK240" i="2" s="1"/>
  <c r="AS239" i="2"/>
  <c r="J239" i="1"/>
  <c r="K239" i="1" s="1"/>
  <c r="O239" i="1" s="1"/>
  <c r="P239" i="1" s="1"/>
  <c r="Q239" i="1" s="1"/>
  <c r="R238" i="1"/>
  <c r="S238" i="1"/>
  <c r="G240" i="1"/>
  <c r="I240" i="1" s="1"/>
  <c r="V241" i="1"/>
  <c r="X241" i="1" s="1"/>
  <c r="Y241" i="1"/>
  <c r="Z241" i="1" s="1"/>
  <c r="E241" i="1"/>
  <c r="A242" i="1"/>
  <c r="H242" i="1" s="1"/>
  <c r="B241" i="1"/>
  <c r="L241" i="1" s="1"/>
  <c r="C240" i="1"/>
  <c r="D240" i="1"/>
  <c r="C242" i="2" l="1"/>
  <c r="M241" i="2"/>
  <c r="L241" i="2"/>
  <c r="K241" i="2"/>
  <c r="AO241" i="2" s="1"/>
  <c r="I241" i="2"/>
  <c r="F241" i="2"/>
  <c r="AJ241" i="2" s="1"/>
  <c r="D241" i="2"/>
  <c r="E241" i="2"/>
  <c r="AI241" i="2" s="1"/>
  <c r="G241" i="2"/>
  <c r="J241" i="2"/>
  <c r="AN241" i="2" s="1"/>
  <c r="H241" i="2"/>
  <c r="N241" i="2"/>
  <c r="AR241" i="2" s="1"/>
  <c r="O241" i="2"/>
  <c r="AS241" i="2" s="1"/>
  <c r="AM240" i="2"/>
  <c r="AL240" i="2"/>
  <c r="R242" i="2"/>
  <c r="AD241" i="2"/>
  <c r="AE241" i="2"/>
  <c r="Z241" i="2"/>
  <c r="U241" i="2"/>
  <c r="T241" i="2"/>
  <c r="AC241" i="2"/>
  <c r="AB241" i="2"/>
  <c r="Y241" i="2"/>
  <c r="AA241" i="2"/>
  <c r="X241" i="2"/>
  <c r="V241" i="2"/>
  <c r="W241" i="2"/>
  <c r="S241" i="2"/>
  <c r="AI240" i="2"/>
  <c r="AJ240" i="2"/>
  <c r="J240" i="1"/>
  <c r="K240" i="1" s="1"/>
  <c r="O240" i="1" s="1"/>
  <c r="P240" i="1" s="1"/>
  <c r="Q240" i="1" s="1"/>
  <c r="R239" i="1"/>
  <c r="S239" i="1"/>
  <c r="G241" i="1"/>
  <c r="I241" i="1" s="1"/>
  <c r="W241" i="1"/>
  <c r="V242" i="1"/>
  <c r="W242" i="1" s="1"/>
  <c r="Y242" i="1"/>
  <c r="X242" i="1"/>
  <c r="D241" i="1"/>
  <c r="C241" i="1"/>
  <c r="B242" i="1"/>
  <c r="L242" i="1" s="1"/>
  <c r="E242" i="1"/>
  <c r="A243" i="1"/>
  <c r="H243" i="1" s="1"/>
  <c r="AL241" i="2" l="1"/>
  <c r="AB242" i="2"/>
  <c r="X242" i="2"/>
  <c r="R243" i="2"/>
  <c r="Y242" i="2"/>
  <c r="AD242" i="2"/>
  <c r="V242" i="2"/>
  <c r="T242" i="2"/>
  <c r="S242" i="2"/>
  <c r="AA242" i="2"/>
  <c r="AE242" i="2"/>
  <c r="AC242" i="2"/>
  <c r="Z242" i="2"/>
  <c r="U242" i="2"/>
  <c r="W242" i="2"/>
  <c r="AM241" i="2"/>
  <c r="AQ241" i="2"/>
  <c r="AK241" i="2"/>
  <c r="AH241" i="2"/>
  <c r="AP241" i="2"/>
  <c r="G242" i="2"/>
  <c r="N242" i="2"/>
  <c r="C243" i="2"/>
  <c r="D242" i="2"/>
  <c r="AH242" i="2" s="1"/>
  <c r="I242" i="2"/>
  <c r="AM242" i="2" s="1"/>
  <c r="F242" i="2"/>
  <c r="M242" i="2"/>
  <c r="AQ242" i="2" s="1"/>
  <c r="L242" i="2"/>
  <c r="AP242" i="2" s="1"/>
  <c r="J242" i="2"/>
  <c r="AN242" i="2" s="1"/>
  <c r="E242" i="2"/>
  <c r="AI242" i="2" s="1"/>
  <c r="O242" i="2"/>
  <c r="AS242" i="2" s="1"/>
  <c r="K242" i="2"/>
  <c r="AO242" i="2" s="1"/>
  <c r="H242" i="2"/>
  <c r="Z242" i="1"/>
  <c r="J241" i="1"/>
  <c r="K241" i="1" s="1"/>
  <c r="O241" i="1" s="1"/>
  <c r="P241" i="1" s="1"/>
  <c r="Q241" i="1" s="1"/>
  <c r="R240" i="1"/>
  <c r="S240" i="1"/>
  <c r="G242" i="1"/>
  <c r="I242" i="1" s="1"/>
  <c r="V243" i="1"/>
  <c r="W243" i="1" s="1"/>
  <c r="Y243" i="1"/>
  <c r="Z243" i="1" s="1"/>
  <c r="X243" i="1"/>
  <c r="E243" i="1"/>
  <c r="A244" i="1"/>
  <c r="H244" i="1" s="1"/>
  <c r="B243" i="1"/>
  <c r="L243" i="1" s="1"/>
  <c r="C242" i="1"/>
  <c r="D242" i="1"/>
  <c r="AL242" i="2" l="1"/>
  <c r="AJ242" i="2"/>
  <c r="I243" i="2"/>
  <c r="F243" i="2"/>
  <c r="O243" i="2"/>
  <c r="AS243" i="2" s="1"/>
  <c r="C244" i="2"/>
  <c r="H243" i="2"/>
  <c r="AL243" i="2" s="1"/>
  <c r="D243" i="2"/>
  <c r="AH243" i="2" s="1"/>
  <c r="E243" i="2"/>
  <c r="M243" i="2"/>
  <c r="AQ243" i="2" s="1"/>
  <c r="N243" i="2"/>
  <c r="AR243" i="2" s="1"/>
  <c r="G243" i="2"/>
  <c r="AK243" i="2" s="1"/>
  <c r="K243" i="2"/>
  <c r="AO243" i="2" s="1"/>
  <c r="J243" i="2"/>
  <c r="AN243" i="2" s="1"/>
  <c r="L243" i="2"/>
  <c r="AP243" i="2" s="1"/>
  <c r="AK242" i="2"/>
  <c r="AR242" i="2"/>
  <c r="Z243" i="2"/>
  <c r="AE243" i="2"/>
  <c r="AD243" i="2"/>
  <c r="W243" i="2"/>
  <c r="S243" i="2"/>
  <c r="Y243" i="2"/>
  <c r="X243" i="2"/>
  <c r="AC243" i="2"/>
  <c r="AB243" i="2"/>
  <c r="AA243" i="2"/>
  <c r="V243" i="2"/>
  <c r="T243" i="2"/>
  <c r="U243" i="2"/>
  <c r="R244" i="2"/>
  <c r="J242" i="1"/>
  <c r="K242" i="1" s="1"/>
  <c r="O242" i="1" s="1"/>
  <c r="P242" i="1" s="1"/>
  <c r="Q242" i="1" s="1"/>
  <c r="R241" i="1"/>
  <c r="S241" i="1"/>
  <c r="G243" i="1"/>
  <c r="I243" i="1" s="1"/>
  <c r="V244" i="1"/>
  <c r="X244" i="1" s="1"/>
  <c r="Y244" i="1"/>
  <c r="C243" i="1"/>
  <c r="D243" i="1"/>
  <c r="E244" i="1"/>
  <c r="B244" i="1"/>
  <c r="L244" i="1" s="1"/>
  <c r="A245" i="1"/>
  <c r="H245" i="1" s="1"/>
  <c r="AD244" i="2" l="1"/>
  <c r="AB244" i="2"/>
  <c r="T244" i="2"/>
  <c r="AE244" i="2"/>
  <c r="AA244" i="2"/>
  <c r="Z244" i="2"/>
  <c r="V244" i="2"/>
  <c r="X244" i="2"/>
  <c r="W244" i="2"/>
  <c r="S244" i="2"/>
  <c r="R245" i="2"/>
  <c r="Y244" i="2"/>
  <c r="AC244" i="2"/>
  <c r="U244" i="2"/>
  <c r="AM243" i="2"/>
  <c r="AI243" i="2"/>
  <c r="O244" i="2"/>
  <c r="AS244" i="2" s="1"/>
  <c r="M244" i="2"/>
  <c r="AQ244" i="2" s="1"/>
  <c r="K244" i="2"/>
  <c r="N244" i="2"/>
  <c r="C245" i="2"/>
  <c r="J244" i="2"/>
  <c r="D244" i="2"/>
  <c r="H244" i="2"/>
  <c r="AL244" i="2" s="1"/>
  <c r="F244" i="2"/>
  <c r="E244" i="2"/>
  <c r="AI244" i="2" s="1"/>
  <c r="I244" i="2"/>
  <c r="AM244" i="2" s="1"/>
  <c r="G244" i="2"/>
  <c r="AK244" i="2" s="1"/>
  <c r="L244" i="2"/>
  <c r="AP244" i="2" s="1"/>
  <c r="AJ243" i="2"/>
  <c r="W244" i="1"/>
  <c r="Z244" i="1"/>
  <c r="J243" i="1"/>
  <c r="K243" i="1" s="1"/>
  <c r="O243" i="1" s="1"/>
  <c r="P243" i="1" s="1"/>
  <c r="Q243" i="1" s="1"/>
  <c r="R242" i="1"/>
  <c r="S242" i="1"/>
  <c r="G244" i="1"/>
  <c r="I244" i="1" s="1"/>
  <c r="V245" i="1"/>
  <c r="X245" i="1" s="1"/>
  <c r="Y245" i="1"/>
  <c r="Z245" i="1" s="1"/>
  <c r="D244" i="1"/>
  <c r="C244" i="1"/>
  <c r="A246" i="1"/>
  <c r="H246" i="1" s="1"/>
  <c r="B245" i="1"/>
  <c r="L245" i="1" s="1"/>
  <c r="E245" i="1"/>
  <c r="AO244" i="2" l="1"/>
  <c r="AH244" i="2"/>
  <c r="W245" i="2"/>
  <c r="S245" i="2"/>
  <c r="AC245" i="2"/>
  <c r="Y245" i="2"/>
  <c r="AA245" i="2"/>
  <c r="X245" i="2"/>
  <c r="T245" i="2"/>
  <c r="AE245" i="2"/>
  <c r="AB245" i="2"/>
  <c r="Z245" i="2"/>
  <c r="V245" i="2"/>
  <c r="U245" i="2"/>
  <c r="AD245" i="2"/>
  <c r="R246" i="2"/>
  <c r="AJ244" i="2"/>
  <c r="AN244" i="2"/>
  <c r="C246" i="2"/>
  <c r="E245" i="2"/>
  <c r="F245" i="2"/>
  <c r="L245" i="2"/>
  <c r="AP245" i="2" s="1"/>
  <c r="G245" i="2"/>
  <c r="M245" i="2"/>
  <c r="N245" i="2"/>
  <c r="AR245" i="2" s="1"/>
  <c r="D245" i="2"/>
  <c r="AH245" i="2" s="1"/>
  <c r="K245" i="2"/>
  <c r="AO245" i="2" s="1"/>
  <c r="I245" i="2"/>
  <c r="AM245" i="2" s="1"/>
  <c r="O245" i="2"/>
  <c r="AS245" i="2" s="1"/>
  <c r="J245" i="2"/>
  <c r="AN245" i="2" s="1"/>
  <c r="H245" i="2"/>
  <c r="AL245" i="2" s="1"/>
  <c r="AR244" i="2"/>
  <c r="J244" i="1"/>
  <c r="K244" i="1" s="1"/>
  <c r="O244" i="1" s="1"/>
  <c r="P244" i="1" s="1"/>
  <c r="Q244" i="1" s="1"/>
  <c r="R243" i="1"/>
  <c r="S243" i="1"/>
  <c r="W245" i="1"/>
  <c r="G245" i="1"/>
  <c r="I245" i="1" s="1"/>
  <c r="V246" i="1"/>
  <c r="X246" i="1" s="1"/>
  <c r="Y246" i="1"/>
  <c r="D245" i="1"/>
  <c r="C245" i="1"/>
  <c r="E246" i="1"/>
  <c r="A247" i="1"/>
  <c r="H247" i="1" s="1"/>
  <c r="B246" i="1"/>
  <c r="L246" i="1" s="1"/>
  <c r="AA246" i="2" l="1"/>
  <c r="W246" i="2"/>
  <c r="V246" i="2"/>
  <c r="AB246" i="2"/>
  <c r="Z246" i="2"/>
  <c r="AE246" i="2"/>
  <c r="AD246" i="2"/>
  <c r="U246" i="2"/>
  <c r="Y246" i="2"/>
  <c r="AC246" i="2"/>
  <c r="R247" i="2"/>
  <c r="S246" i="2"/>
  <c r="T246" i="2"/>
  <c r="X246" i="2"/>
  <c r="AQ245" i="2"/>
  <c r="AJ245" i="2"/>
  <c r="AI245" i="2"/>
  <c r="C247" i="2"/>
  <c r="J246" i="2"/>
  <c r="F246" i="2"/>
  <c r="N246" i="2"/>
  <c r="I246" i="2"/>
  <c r="H246" i="2"/>
  <c r="AL246" i="2" s="1"/>
  <c r="K246" i="2"/>
  <c r="AO246" i="2" s="1"/>
  <c r="M246" i="2"/>
  <c r="AQ246" i="2" s="1"/>
  <c r="G246" i="2"/>
  <c r="AK246" i="2" s="1"/>
  <c r="E246" i="2"/>
  <c r="AI246" i="2" s="1"/>
  <c r="O246" i="2"/>
  <c r="AS246" i="2" s="1"/>
  <c r="L246" i="2"/>
  <c r="AP246" i="2" s="1"/>
  <c r="D246" i="2"/>
  <c r="AH246" i="2" s="1"/>
  <c r="AK245" i="2"/>
  <c r="W246" i="1"/>
  <c r="Z246" i="1"/>
  <c r="J245" i="1"/>
  <c r="K245" i="1" s="1"/>
  <c r="O245" i="1" s="1"/>
  <c r="P245" i="1" s="1"/>
  <c r="Q245" i="1" s="1"/>
  <c r="R244" i="1"/>
  <c r="S244" i="1"/>
  <c r="G246" i="1"/>
  <c r="I246" i="1" s="1"/>
  <c r="V247" i="1"/>
  <c r="X247" i="1" s="1"/>
  <c r="Y247" i="1"/>
  <c r="D246" i="1"/>
  <c r="C246" i="1"/>
  <c r="E247" i="1"/>
  <c r="B247" i="1"/>
  <c r="L247" i="1" s="1"/>
  <c r="A248" i="1"/>
  <c r="H248" i="1" s="1"/>
  <c r="AM246" i="2" l="1"/>
  <c r="W247" i="2"/>
  <c r="V247" i="2"/>
  <c r="U247" i="2"/>
  <c r="AE247" i="2"/>
  <c r="AB247" i="2"/>
  <c r="S247" i="2"/>
  <c r="AC247" i="2"/>
  <c r="Z247" i="2"/>
  <c r="Y247" i="2"/>
  <c r="T247" i="2"/>
  <c r="R248" i="2"/>
  <c r="X247" i="2"/>
  <c r="AD247" i="2"/>
  <c r="AA247" i="2"/>
  <c r="AJ246" i="2"/>
  <c r="AN246" i="2"/>
  <c r="N247" i="2"/>
  <c r="M247" i="2"/>
  <c r="C248" i="2"/>
  <c r="O247" i="2"/>
  <c r="L247" i="2"/>
  <c r="H247" i="2"/>
  <c r="AL247" i="2" s="1"/>
  <c r="G247" i="2"/>
  <c r="AK247" i="2" s="1"/>
  <c r="F247" i="2"/>
  <c r="AJ247" i="2" s="1"/>
  <c r="I247" i="2"/>
  <c r="AM247" i="2" s="1"/>
  <c r="E247" i="2"/>
  <c r="AI247" i="2" s="1"/>
  <c r="D247" i="2"/>
  <c r="AH247" i="2" s="1"/>
  <c r="K247" i="2"/>
  <c r="AO247" i="2" s="1"/>
  <c r="J247" i="2"/>
  <c r="AN247" i="2" s="1"/>
  <c r="AR246" i="2"/>
  <c r="Z247" i="1"/>
  <c r="W247" i="1"/>
  <c r="J246" i="1"/>
  <c r="K246" i="1" s="1"/>
  <c r="O246" i="1" s="1"/>
  <c r="P246" i="1" s="1"/>
  <c r="Q246" i="1" s="1"/>
  <c r="R245" i="1"/>
  <c r="S245" i="1"/>
  <c r="G247" i="1"/>
  <c r="I247" i="1" s="1"/>
  <c r="V248" i="1"/>
  <c r="X248" i="1" s="1"/>
  <c r="Y248" i="1"/>
  <c r="B248" i="1"/>
  <c r="L248" i="1" s="1"/>
  <c r="E248" i="1"/>
  <c r="A249" i="1"/>
  <c r="H249" i="1" s="1"/>
  <c r="C247" i="1"/>
  <c r="D247" i="1"/>
  <c r="AQ247" i="2" l="1"/>
  <c r="AP247" i="2"/>
  <c r="H248" i="2"/>
  <c r="F248" i="2"/>
  <c r="O248" i="2"/>
  <c r="AS248" i="2" s="1"/>
  <c r="C249" i="2"/>
  <c r="G248" i="2"/>
  <c r="AK248" i="2" s="1"/>
  <c r="E248" i="2"/>
  <c r="AI248" i="2" s="1"/>
  <c r="N248" i="2"/>
  <c r="AR248" i="2" s="1"/>
  <c r="M248" i="2"/>
  <c r="AQ248" i="2" s="1"/>
  <c r="J248" i="2"/>
  <c r="AN248" i="2" s="1"/>
  <c r="D248" i="2"/>
  <c r="AH248" i="2" s="1"/>
  <c r="I248" i="2"/>
  <c r="L248" i="2"/>
  <c r="AP248" i="2" s="1"/>
  <c r="K248" i="2"/>
  <c r="AO248" i="2" s="1"/>
  <c r="X248" i="2"/>
  <c r="R249" i="2"/>
  <c r="AD248" i="2"/>
  <c r="AB248" i="2"/>
  <c r="T248" i="2"/>
  <c r="Y248" i="2"/>
  <c r="W248" i="2"/>
  <c r="V248" i="2"/>
  <c r="U248" i="2"/>
  <c r="AA248" i="2"/>
  <c r="AC248" i="2"/>
  <c r="S248" i="2"/>
  <c r="AE248" i="2"/>
  <c r="Z248" i="2"/>
  <c r="AS247" i="2"/>
  <c r="AR247" i="2"/>
  <c r="J247" i="1"/>
  <c r="K247" i="1" s="1"/>
  <c r="O247" i="1" s="1"/>
  <c r="P247" i="1" s="1"/>
  <c r="Q247" i="1" s="1"/>
  <c r="R246" i="1"/>
  <c r="S246" i="1"/>
  <c r="W248" i="1"/>
  <c r="Z248" i="1"/>
  <c r="G248" i="1"/>
  <c r="I248" i="1" s="1"/>
  <c r="V249" i="1"/>
  <c r="W249" i="1" s="1"/>
  <c r="Y249" i="1"/>
  <c r="B249" i="1"/>
  <c r="L249" i="1" s="1"/>
  <c r="E249" i="1"/>
  <c r="A250" i="1"/>
  <c r="H250" i="1" s="1"/>
  <c r="D248" i="1"/>
  <c r="C248" i="1"/>
  <c r="AA249" i="2" l="1"/>
  <c r="X249" i="2"/>
  <c r="R250" i="2"/>
  <c r="U249" i="2"/>
  <c r="AE249" i="2"/>
  <c r="AC249" i="2"/>
  <c r="AB249" i="2"/>
  <c r="Z249" i="2"/>
  <c r="AD249" i="2"/>
  <c r="T249" i="2"/>
  <c r="V249" i="2"/>
  <c r="S249" i="2"/>
  <c r="W249" i="2"/>
  <c r="Y249" i="2"/>
  <c r="AM248" i="2"/>
  <c r="AJ248" i="2"/>
  <c r="I249" i="2"/>
  <c r="C250" i="2"/>
  <c r="H249" i="2"/>
  <c r="G249" i="2"/>
  <c r="K249" i="2"/>
  <c r="O249" i="2"/>
  <c r="M249" i="2"/>
  <c r="AQ249" i="2" s="1"/>
  <c r="F249" i="2"/>
  <c r="AJ249" i="2" s="1"/>
  <c r="N249" i="2"/>
  <c r="AR249" i="2" s="1"/>
  <c r="L249" i="2"/>
  <c r="AP249" i="2" s="1"/>
  <c r="D249" i="2"/>
  <c r="E249" i="2"/>
  <c r="AI249" i="2" s="1"/>
  <c r="J249" i="2"/>
  <c r="AN249" i="2" s="1"/>
  <c r="AL248" i="2"/>
  <c r="J248" i="1"/>
  <c r="K248" i="1" s="1"/>
  <c r="O248" i="1" s="1"/>
  <c r="P248" i="1" s="1"/>
  <c r="Q248" i="1" s="1"/>
  <c r="R247" i="1"/>
  <c r="S247" i="1"/>
  <c r="G249" i="1"/>
  <c r="I249" i="1" s="1"/>
  <c r="Z249" i="1"/>
  <c r="X249" i="1"/>
  <c r="V250" i="1"/>
  <c r="W250" i="1" s="1"/>
  <c r="Y250" i="1"/>
  <c r="E250" i="1"/>
  <c r="A251" i="1"/>
  <c r="H251" i="1" s="1"/>
  <c r="B250" i="1"/>
  <c r="L250" i="1" s="1"/>
  <c r="D249" i="1"/>
  <c r="C249" i="1"/>
  <c r="AK249" i="2" l="1"/>
  <c r="AH249" i="2"/>
  <c r="AS249" i="2"/>
  <c r="AO249" i="2"/>
  <c r="AL249" i="2"/>
  <c r="R251" i="2"/>
  <c r="AC250" i="2"/>
  <c r="AA250" i="2"/>
  <c r="Z250" i="2"/>
  <c r="X250" i="2"/>
  <c r="W250" i="2"/>
  <c r="AE250" i="2"/>
  <c r="AD250" i="2"/>
  <c r="V250" i="2"/>
  <c r="AB250" i="2"/>
  <c r="Y250" i="2"/>
  <c r="T250" i="2"/>
  <c r="U250" i="2"/>
  <c r="S250" i="2"/>
  <c r="E250" i="2"/>
  <c r="AI250" i="2" s="1"/>
  <c r="J250" i="2"/>
  <c r="H250" i="2"/>
  <c r="C251" i="2"/>
  <c r="L250" i="2"/>
  <c r="AP250" i="2" s="1"/>
  <c r="K250" i="2"/>
  <c r="AO250" i="2" s="1"/>
  <c r="O250" i="2"/>
  <c r="I250" i="2"/>
  <c r="AM250" i="2" s="1"/>
  <c r="N250" i="2"/>
  <c r="AR250" i="2" s="1"/>
  <c r="D250" i="2"/>
  <c r="AH250" i="2" s="1"/>
  <c r="G250" i="2"/>
  <c r="AK250" i="2" s="1"/>
  <c r="F250" i="2"/>
  <c r="AJ250" i="2" s="1"/>
  <c r="M250" i="2"/>
  <c r="AQ250" i="2" s="1"/>
  <c r="AM249" i="2"/>
  <c r="J249" i="1"/>
  <c r="K249" i="1" s="1"/>
  <c r="O249" i="1" s="1"/>
  <c r="P249" i="1" s="1"/>
  <c r="Q249" i="1" s="1"/>
  <c r="R248" i="1"/>
  <c r="S248" i="1"/>
  <c r="G250" i="1"/>
  <c r="I250" i="1" s="1"/>
  <c r="X250" i="1"/>
  <c r="Z250" i="1"/>
  <c r="V251" i="1"/>
  <c r="W251" i="1" s="1"/>
  <c r="Y251" i="1"/>
  <c r="C250" i="1"/>
  <c r="D250" i="1"/>
  <c r="B251" i="1"/>
  <c r="L251" i="1" s="1"/>
  <c r="E251" i="1"/>
  <c r="A252" i="1"/>
  <c r="H252" i="1" s="1"/>
  <c r="AS250" i="2" l="1"/>
  <c r="J251" i="2"/>
  <c r="L251" i="2"/>
  <c r="C252" i="2"/>
  <c r="D251" i="2"/>
  <c r="AH251" i="2" s="1"/>
  <c r="H251" i="2"/>
  <c r="M251" i="2"/>
  <c r="K251" i="2"/>
  <c r="O251" i="2"/>
  <c r="AS251" i="2" s="1"/>
  <c r="E251" i="2"/>
  <c r="AI251" i="2" s="1"/>
  <c r="N251" i="2"/>
  <c r="AR251" i="2" s="1"/>
  <c r="I251" i="2"/>
  <c r="AM251" i="2" s="1"/>
  <c r="F251" i="2"/>
  <c r="AJ251" i="2" s="1"/>
  <c r="G251" i="2"/>
  <c r="AK251" i="2" s="1"/>
  <c r="AN250" i="2"/>
  <c r="AL250" i="2"/>
  <c r="Z251" i="2"/>
  <c r="Y251" i="2"/>
  <c r="U251" i="2"/>
  <c r="R252" i="2"/>
  <c r="S251" i="2"/>
  <c r="T251" i="2"/>
  <c r="AE251" i="2"/>
  <c r="AC251" i="2"/>
  <c r="AD251" i="2"/>
  <c r="V251" i="2"/>
  <c r="AA251" i="2"/>
  <c r="AB251" i="2"/>
  <c r="X251" i="2"/>
  <c r="W251" i="2"/>
  <c r="J250" i="1"/>
  <c r="K250" i="1" s="1"/>
  <c r="O250" i="1" s="1"/>
  <c r="P250" i="1" s="1"/>
  <c r="Q250" i="1" s="1"/>
  <c r="R249" i="1"/>
  <c r="S249" i="1"/>
  <c r="X251" i="1"/>
  <c r="Z251" i="1"/>
  <c r="G251" i="1"/>
  <c r="I251" i="1" s="1"/>
  <c r="V252" i="1"/>
  <c r="W252" i="1" s="1"/>
  <c r="Y252" i="1"/>
  <c r="E252" i="1"/>
  <c r="A253" i="1"/>
  <c r="H253" i="1" s="1"/>
  <c r="B252" i="1"/>
  <c r="L252" i="1" s="1"/>
  <c r="C251" i="1"/>
  <c r="D251" i="1"/>
  <c r="AO251" i="2" l="1"/>
  <c r="AE252" i="2"/>
  <c r="AB252" i="2"/>
  <c r="V252" i="2"/>
  <c r="AC252" i="2"/>
  <c r="X252" i="2"/>
  <c r="AD252" i="2"/>
  <c r="T252" i="2"/>
  <c r="S252" i="2"/>
  <c r="R253" i="2"/>
  <c r="AA252" i="2"/>
  <c r="Y252" i="2"/>
  <c r="Z252" i="2"/>
  <c r="U252" i="2"/>
  <c r="W252" i="2"/>
  <c r="N252" i="2"/>
  <c r="AR252" i="2" s="1"/>
  <c r="L252" i="2"/>
  <c r="K252" i="2"/>
  <c r="O252" i="2"/>
  <c r="M252" i="2"/>
  <c r="AQ252" i="2" s="1"/>
  <c r="E252" i="2"/>
  <c r="G252" i="2"/>
  <c r="AK252" i="2" s="1"/>
  <c r="I252" i="2"/>
  <c r="AM252" i="2" s="1"/>
  <c r="H252" i="2"/>
  <c r="F252" i="2"/>
  <c r="D252" i="2"/>
  <c r="AH252" i="2" s="1"/>
  <c r="J252" i="2"/>
  <c r="C253" i="2"/>
  <c r="AQ251" i="2"/>
  <c r="AP251" i="2"/>
  <c r="AL251" i="2"/>
  <c r="AN251" i="2"/>
  <c r="Z252" i="1"/>
  <c r="J251" i="1"/>
  <c r="K251" i="1" s="1"/>
  <c r="O251" i="1" s="1"/>
  <c r="P251" i="1" s="1"/>
  <c r="Q251" i="1" s="1"/>
  <c r="R250" i="1"/>
  <c r="S250" i="1"/>
  <c r="X252" i="1"/>
  <c r="G252" i="1"/>
  <c r="I252" i="1" s="1"/>
  <c r="V253" i="1"/>
  <c r="Y253" i="1"/>
  <c r="Z253" i="1" s="1"/>
  <c r="X253" i="1"/>
  <c r="W253" i="1"/>
  <c r="D252" i="1"/>
  <c r="C252" i="1"/>
  <c r="B253" i="1"/>
  <c r="L253" i="1" s="1"/>
  <c r="A254" i="1"/>
  <c r="H254" i="1" s="1"/>
  <c r="E253" i="1"/>
  <c r="AL252" i="2" l="1"/>
  <c r="AJ252" i="2"/>
  <c r="E253" i="2"/>
  <c r="L253" i="2"/>
  <c r="AP253" i="2" s="1"/>
  <c r="H253" i="2"/>
  <c r="F253" i="2"/>
  <c r="D253" i="2"/>
  <c r="K253" i="2"/>
  <c r="AO253" i="2" s="1"/>
  <c r="J253" i="2"/>
  <c r="AN253" i="2" s="1"/>
  <c r="N253" i="2"/>
  <c r="AR253" i="2" s="1"/>
  <c r="O253" i="2"/>
  <c r="AS253" i="2" s="1"/>
  <c r="C254" i="2"/>
  <c r="G253" i="2"/>
  <c r="AK253" i="2" s="1"/>
  <c r="M253" i="2"/>
  <c r="AQ253" i="2" s="1"/>
  <c r="I253" i="2"/>
  <c r="AM253" i="2" s="1"/>
  <c r="AN252" i="2"/>
  <c r="W253" i="2"/>
  <c r="AE253" i="2"/>
  <c r="AA253" i="2"/>
  <c r="Y253" i="2"/>
  <c r="X253" i="2"/>
  <c r="AC253" i="2"/>
  <c r="Z253" i="2"/>
  <c r="V253" i="2"/>
  <c r="AD253" i="2"/>
  <c r="U253" i="2"/>
  <c r="AB253" i="2"/>
  <c r="S253" i="2"/>
  <c r="R254" i="2"/>
  <c r="T253" i="2"/>
  <c r="AI252" i="2"/>
  <c r="AS252" i="2"/>
  <c r="AO252" i="2"/>
  <c r="AP252" i="2"/>
  <c r="J252" i="1"/>
  <c r="K252" i="1" s="1"/>
  <c r="O252" i="1" s="1"/>
  <c r="P252" i="1" s="1"/>
  <c r="Q252" i="1" s="1"/>
  <c r="R251" i="1"/>
  <c r="S251" i="1"/>
  <c r="G253" i="1"/>
  <c r="I253" i="1" s="1"/>
  <c r="V254" i="1"/>
  <c r="W254" i="1" s="1"/>
  <c r="Y254" i="1"/>
  <c r="X254" i="1"/>
  <c r="B254" i="1"/>
  <c r="L254" i="1" s="1"/>
  <c r="E254" i="1"/>
  <c r="A255" i="1"/>
  <c r="H255" i="1" s="1"/>
  <c r="D253" i="1"/>
  <c r="C253" i="1"/>
  <c r="AH253" i="2" l="1"/>
  <c r="L254" i="2"/>
  <c r="H254" i="2"/>
  <c r="C255" i="2"/>
  <c r="I254" i="2"/>
  <c r="AM254" i="2" s="1"/>
  <c r="M254" i="2"/>
  <c r="K254" i="2"/>
  <c r="E254" i="2"/>
  <c r="N254" i="2"/>
  <c r="AR254" i="2" s="1"/>
  <c r="J254" i="2"/>
  <c r="AN254" i="2" s="1"/>
  <c r="F254" i="2"/>
  <c r="AJ254" i="2" s="1"/>
  <c r="D254" i="2"/>
  <c r="AH254" i="2" s="1"/>
  <c r="O254" i="2"/>
  <c r="AS254" i="2" s="1"/>
  <c r="G254" i="2"/>
  <c r="AK254" i="2" s="1"/>
  <c r="AL253" i="2"/>
  <c r="AB254" i="2"/>
  <c r="AD254" i="2"/>
  <c r="AC254" i="2"/>
  <c r="X254" i="2"/>
  <c r="Y254" i="2"/>
  <c r="S254" i="2"/>
  <c r="V254" i="2"/>
  <c r="R255" i="2"/>
  <c r="AA254" i="2"/>
  <c r="AE254" i="2"/>
  <c r="Z254" i="2"/>
  <c r="U254" i="2"/>
  <c r="T254" i="2"/>
  <c r="W254" i="2"/>
  <c r="AJ253" i="2"/>
  <c r="AI253" i="2"/>
  <c r="Z254" i="1"/>
  <c r="J253" i="1"/>
  <c r="K253" i="1" s="1"/>
  <c r="O253" i="1" s="1"/>
  <c r="P253" i="1" s="1"/>
  <c r="Q253" i="1" s="1"/>
  <c r="R252" i="1"/>
  <c r="S252" i="1"/>
  <c r="G254" i="1"/>
  <c r="I254" i="1" s="1"/>
  <c r="V255" i="1"/>
  <c r="Y255" i="1"/>
  <c r="X255" i="1"/>
  <c r="W255" i="1"/>
  <c r="B255" i="1"/>
  <c r="L255" i="1" s="1"/>
  <c r="A256" i="1"/>
  <c r="H256" i="1" s="1"/>
  <c r="E255" i="1"/>
  <c r="C254" i="1"/>
  <c r="D254" i="1"/>
  <c r="AO254" i="2" l="1"/>
  <c r="AI254" i="2"/>
  <c r="AA255" i="2"/>
  <c r="Y255" i="2"/>
  <c r="AD255" i="2"/>
  <c r="S255" i="2"/>
  <c r="Z255" i="2"/>
  <c r="W255" i="2"/>
  <c r="T255" i="2"/>
  <c r="AE255" i="2"/>
  <c r="AB255" i="2"/>
  <c r="X255" i="2"/>
  <c r="V255" i="2"/>
  <c r="R256" i="2"/>
  <c r="U255" i="2"/>
  <c r="AC255" i="2"/>
  <c r="C256" i="2"/>
  <c r="F255" i="2"/>
  <c r="D255" i="2"/>
  <c r="G255" i="2"/>
  <c r="E255" i="2"/>
  <c r="O255" i="2"/>
  <c r="AS255" i="2" s="1"/>
  <c r="N255" i="2"/>
  <c r="M255" i="2"/>
  <c r="L255" i="2"/>
  <c r="AP255" i="2" s="1"/>
  <c r="J255" i="2"/>
  <c r="AN255" i="2" s="1"/>
  <c r="K255" i="2"/>
  <c r="AO255" i="2" s="1"/>
  <c r="I255" i="2"/>
  <c r="AM255" i="2" s="1"/>
  <c r="H255" i="2"/>
  <c r="AL255" i="2" s="1"/>
  <c r="AQ254" i="2"/>
  <c r="AL254" i="2"/>
  <c r="AP254" i="2"/>
  <c r="J254" i="1"/>
  <c r="K254" i="1" s="1"/>
  <c r="O254" i="1" s="1"/>
  <c r="P254" i="1" s="1"/>
  <c r="Q254" i="1" s="1"/>
  <c r="R253" i="1"/>
  <c r="S253" i="1"/>
  <c r="Z255" i="1"/>
  <c r="G255" i="1"/>
  <c r="I255" i="1" s="1"/>
  <c r="V256" i="1"/>
  <c r="X256" i="1" s="1"/>
  <c r="Y256" i="1"/>
  <c r="Z256" i="1" s="1"/>
  <c r="W256" i="1"/>
  <c r="A257" i="1"/>
  <c r="H257" i="1" s="1"/>
  <c r="E256" i="1"/>
  <c r="B256" i="1"/>
  <c r="L256" i="1" s="1"/>
  <c r="D255" i="1"/>
  <c r="C255" i="1"/>
  <c r="AQ255" i="2" l="1"/>
  <c r="AH255" i="2"/>
  <c r="Y256" i="2"/>
  <c r="W256" i="2"/>
  <c r="AC256" i="2"/>
  <c r="Z256" i="2"/>
  <c r="S256" i="2"/>
  <c r="R257" i="2"/>
  <c r="X256" i="2"/>
  <c r="V256" i="2"/>
  <c r="AE256" i="2"/>
  <c r="T256" i="2"/>
  <c r="AA256" i="2"/>
  <c r="U256" i="2"/>
  <c r="AD256" i="2"/>
  <c r="AB256" i="2"/>
  <c r="AR255" i="2"/>
  <c r="AI255" i="2"/>
  <c r="AK255" i="2"/>
  <c r="AJ255" i="2"/>
  <c r="H256" i="2"/>
  <c r="AL256" i="2" s="1"/>
  <c r="G256" i="2"/>
  <c r="D256" i="2"/>
  <c r="AH256" i="2" s="1"/>
  <c r="M256" i="2"/>
  <c r="K256" i="2"/>
  <c r="AO256" i="2" s="1"/>
  <c r="F256" i="2"/>
  <c r="J256" i="2"/>
  <c r="AN256" i="2" s="1"/>
  <c r="I256" i="2"/>
  <c r="AM256" i="2" s="1"/>
  <c r="N256" i="2"/>
  <c r="AR256" i="2" s="1"/>
  <c r="E256" i="2"/>
  <c r="AI256" i="2" s="1"/>
  <c r="C257" i="2"/>
  <c r="L256" i="2"/>
  <c r="AP256" i="2" s="1"/>
  <c r="O256" i="2"/>
  <c r="J255" i="1"/>
  <c r="K255" i="1" s="1"/>
  <c r="O255" i="1" s="1"/>
  <c r="P255" i="1" s="1"/>
  <c r="Q255" i="1" s="1"/>
  <c r="R254" i="1"/>
  <c r="S254" i="1"/>
  <c r="G256" i="1"/>
  <c r="I256" i="1" s="1"/>
  <c r="V257" i="1"/>
  <c r="W257" i="1" s="1"/>
  <c r="Y257" i="1"/>
  <c r="D256" i="1"/>
  <c r="C256" i="1"/>
  <c r="E257" i="1"/>
  <c r="A258" i="1"/>
  <c r="H258" i="1" s="1"/>
  <c r="B257" i="1"/>
  <c r="L257" i="1" s="1"/>
  <c r="AK256" i="2" l="1"/>
  <c r="N257" i="2"/>
  <c r="C258" i="2"/>
  <c r="I257" i="2"/>
  <c r="M257" i="2"/>
  <c r="L257" i="2"/>
  <c r="D257" i="2"/>
  <c r="J257" i="2"/>
  <c r="AN257" i="2" s="1"/>
  <c r="O257" i="2"/>
  <c r="G257" i="2"/>
  <c r="H257" i="2"/>
  <c r="AL257" i="2" s="1"/>
  <c r="E257" i="2"/>
  <c r="K257" i="2"/>
  <c r="AO257" i="2" s="1"/>
  <c r="F257" i="2"/>
  <c r="AJ257" i="2" s="1"/>
  <c r="AJ256" i="2"/>
  <c r="AQ256" i="2"/>
  <c r="AD257" i="2"/>
  <c r="AC257" i="2"/>
  <c r="S257" i="2"/>
  <c r="T257" i="2"/>
  <c r="AA257" i="2"/>
  <c r="Y257" i="2"/>
  <c r="AE257" i="2"/>
  <c r="Z257" i="2"/>
  <c r="U257" i="2"/>
  <c r="W257" i="2"/>
  <c r="R258" i="2"/>
  <c r="V257" i="2"/>
  <c r="X257" i="2"/>
  <c r="AB257" i="2"/>
  <c r="AS256" i="2"/>
  <c r="X257" i="1"/>
  <c r="J256" i="1"/>
  <c r="K256" i="1" s="1"/>
  <c r="O256" i="1" s="1"/>
  <c r="P256" i="1" s="1"/>
  <c r="Q256" i="1" s="1"/>
  <c r="R255" i="1"/>
  <c r="S255" i="1"/>
  <c r="Z257" i="1"/>
  <c r="G257" i="1"/>
  <c r="I257" i="1" s="1"/>
  <c r="V258" i="1"/>
  <c r="W258" i="1" s="1"/>
  <c r="Y258" i="1"/>
  <c r="Z258" i="1" s="1"/>
  <c r="X258" i="1"/>
  <c r="D257" i="1"/>
  <c r="C257" i="1"/>
  <c r="A259" i="1"/>
  <c r="H259" i="1" s="1"/>
  <c r="E258" i="1"/>
  <c r="B258" i="1"/>
  <c r="L258" i="1" s="1"/>
  <c r="AQ257" i="2" l="1"/>
  <c r="AM257" i="2"/>
  <c r="AR257" i="2"/>
  <c r="D258" i="2"/>
  <c r="O258" i="2"/>
  <c r="AS258" i="2" s="1"/>
  <c r="L258" i="2"/>
  <c r="AP258" i="2" s="1"/>
  <c r="M258" i="2"/>
  <c r="AQ258" i="2" s="1"/>
  <c r="E258" i="2"/>
  <c r="C259" i="2"/>
  <c r="K258" i="2"/>
  <c r="N258" i="2"/>
  <c r="AR258" i="2" s="1"/>
  <c r="J258" i="2"/>
  <c r="AN258" i="2" s="1"/>
  <c r="I258" i="2"/>
  <c r="G258" i="2"/>
  <c r="AK258" i="2" s="1"/>
  <c r="F258" i="2"/>
  <c r="AJ258" i="2" s="1"/>
  <c r="H258" i="2"/>
  <c r="AL258" i="2" s="1"/>
  <c r="AI257" i="2"/>
  <c r="T258" i="2"/>
  <c r="AB258" i="2"/>
  <c r="AD258" i="2"/>
  <c r="U258" i="2"/>
  <c r="W258" i="2"/>
  <c r="V258" i="2"/>
  <c r="Y258" i="2"/>
  <c r="AE258" i="2"/>
  <c r="AA258" i="2"/>
  <c r="Z258" i="2"/>
  <c r="AC258" i="2"/>
  <c r="S258" i="2"/>
  <c r="X258" i="2"/>
  <c r="R259" i="2"/>
  <c r="AK257" i="2"/>
  <c r="AS257" i="2"/>
  <c r="AH257" i="2"/>
  <c r="AP257" i="2"/>
  <c r="J257" i="1"/>
  <c r="K257" i="1" s="1"/>
  <c r="O257" i="1" s="1"/>
  <c r="P257" i="1" s="1"/>
  <c r="Q257" i="1" s="1"/>
  <c r="R256" i="1"/>
  <c r="S256" i="1"/>
  <c r="G258" i="1"/>
  <c r="I258" i="1" s="1"/>
  <c r="V259" i="1"/>
  <c r="Y259" i="1"/>
  <c r="Z259" i="1" s="1"/>
  <c r="X259" i="1"/>
  <c r="W259" i="1"/>
  <c r="C258" i="1"/>
  <c r="D258" i="1"/>
  <c r="A260" i="1"/>
  <c r="H260" i="1" s="1"/>
  <c r="E259" i="1"/>
  <c r="B259" i="1"/>
  <c r="L259" i="1" s="1"/>
  <c r="T259" i="2" l="1"/>
  <c r="V259" i="2"/>
  <c r="AD259" i="2"/>
  <c r="AE259" i="2"/>
  <c r="R260" i="2"/>
  <c r="AA259" i="2"/>
  <c r="AC259" i="2"/>
  <c r="Z259" i="2"/>
  <c r="Y259" i="2"/>
  <c r="X259" i="2"/>
  <c r="W259" i="2"/>
  <c r="U259" i="2"/>
  <c r="S259" i="2"/>
  <c r="AB259" i="2"/>
  <c r="AM258" i="2"/>
  <c r="AO258" i="2"/>
  <c r="H259" i="2"/>
  <c r="E259" i="2"/>
  <c r="AI259" i="2" s="1"/>
  <c r="D259" i="2"/>
  <c r="N259" i="2"/>
  <c r="K259" i="2"/>
  <c r="M259" i="2"/>
  <c r="O259" i="2"/>
  <c r="AS259" i="2" s="1"/>
  <c r="F259" i="2"/>
  <c r="J259" i="2"/>
  <c r="AN259" i="2" s="1"/>
  <c r="C260" i="2"/>
  <c r="I259" i="2"/>
  <c r="AM259" i="2" s="1"/>
  <c r="L259" i="2"/>
  <c r="AP259" i="2" s="1"/>
  <c r="G259" i="2"/>
  <c r="AK259" i="2" s="1"/>
  <c r="AI258" i="2"/>
  <c r="AH258" i="2"/>
  <c r="J258" i="1"/>
  <c r="K258" i="1" s="1"/>
  <c r="O258" i="1" s="1"/>
  <c r="P258" i="1" s="1"/>
  <c r="Q258" i="1" s="1"/>
  <c r="R257" i="1"/>
  <c r="S257" i="1"/>
  <c r="G259" i="1"/>
  <c r="I259" i="1" s="1"/>
  <c r="V260" i="1"/>
  <c r="Y260" i="1"/>
  <c r="W260" i="1"/>
  <c r="X260" i="1"/>
  <c r="Z260" i="1"/>
  <c r="C259" i="1"/>
  <c r="D259" i="1"/>
  <c r="A261" i="1"/>
  <c r="H261" i="1" s="1"/>
  <c r="B260" i="1"/>
  <c r="L260" i="1" s="1"/>
  <c r="E260" i="1"/>
  <c r="I260" i="2" l="1"/>
  <c r="F260" i="2"/>
  <c r="N260" i="2"/>
  <c r="AR260" i="2" s="1"/>
  <c r="K260" i="2"/>
  <c r="H260" i="2"/>
  <c r="M260" i="2"/>
  <c r="L260" i="2"/>
  <c r="O260" i="2"/>
  <c r="C261" i="2"/>
  <c r="D260" i="2"/>
  <c r="AH260" i="2" s="1"/>
  <c r="J260" i="2"/>
  <c r="E260" i="2"/>
  <c r="AI260" i="2" s="1"/>
  <c r="G260" i="2"/>
  <c r="AK260" i="2" s="1"/>
  <c r="AJ259" i="2"/>
  <c r="AQ259" i="2"/>
  <c r="AO259" i="2"/>
  <c r="AC260" i="2"/>
  <c r="V260" i="2"/>
  <c r="AB260" i="2"/>
  <c r="W260" i="2"/>
  <c r="U260" i="2"/>
  <c r="R261" i="2"/>
  <c r="X260" i="2"/>
  <c r="AE260" i="2"/>
  <c r="Z260" i="2"/>
  <c r="S260" i="2"/>
  <c r="AA260" i="2"/>
  <c r="T260" i="2"/>
  <c r="AD260" i="2"/>
  <c r="Y260" i="2"/>
  <c r="AR259" i="2"/>
  <c r="AH259" i="2"/>
  <c r="AL259" i="2"/>
  <c r="J259" i="1"/>
  <c r="K259" i="1" s="1"/>
  <c r="O259" i="1" s="1"/>
  <c r="P259" i="1" s="1"/>
  <c r="Q259" i="1" s="1"/>
  <c r="R258" i="1"/>
  <c r="S258" i="1"/>
  <c r="G260" i="1"/>
  <c r="I260" i="1" s="1"/>
  <c r="V261" i="1"/>
  <c r="X261" i="1" s="1"/>
  <c r="Y261" i="1"/>
  <c r="Z261" i="1" s="1"/>
  <c r="W261" i="1"/>
  <c r="C260" i="1"/>
  <c r="D260" i="1"/>
  <c r="E261" i="1"/>
  <c r="B261" i="1"/>
  <c r="L261" i="1" s="1"/>
  <c r="A262" i="1"/>
  <c r="H262" i="1" s="1"/>
  <c r="AO260" i="2" l="1"/>
  <c r="AJ260" i="2"/>
  <c r="AP260" i="2"/>
  <c r="AN260" i="2"/>
  <c r="N261" i="2"/>
  <c r="E261" i="2"/>
  <c r="K261" i="2"/>
  <c r="AO261" i="2" s="1"/>
  <c r="O261" i="2"/>
  <c r="G261" i="2"/>
  <c r="AK261" i="2" s="1"/>
  <c r="I261" i="2"/>
  <c r="AM261" i="2" s="1"/>
  <c r="F261" i="2"/>
  <c r="AJ261" i="2" s="1"/>
  <c r="D261" i="2"/>
  <c r="AH261" i="2" s="1"/>
  <c r="C262" i="2"/>
  <c r="L261" i="2"/>
  <c r="AP261" i="2" s="1"/>
  <c r="J261" i="2"/>
  <c r="AN261" i="2" s="1"/>
  <c r="H261" i="2"/>
  <c r="AL261" i="2" s="1"/>
  <c r="M261" i="2"/>
  <c r="AQ261" i="2" s="1"/>
  <c r="AB261" i="2"/>
  <c r="V261" i="2"/>
  <c r="X261" i="2"/>
  <c r="W261" i="2"/>
  <c r="Z261" i="2"/>
  <c r="R262" i="2"/>
  <c r="U261" i="2"/>
  <c r="Y261" i="2"/>
  <c r="AE261" i="2"/>
  <c r="AA261" i="2"/>
  <c r="AC261" i="2"/>
  <c r="T261" i="2"/>
  <c r="S261" i="2"/>
  <c r="AD261" i="2"/>
  <c r="AQ260" i="2"/>
  <c r="AS260" i="2"/>
  <c r="AL260" i="2"/>
  <c r="AM260" i="2"/>
  <c r="J260" i="1"/>
  <c r="K260" i="1" s="1"/>
  <c r="O260" i="1" s="1"/>
  <c r="P260" i="1" s="1"/>
  <c r="Q260" i="1" s="1"/>
  <c r="R259" i="1"/>
  <c r="S259" i="1"/>
  <c r="G261" i="1"/>
  <c r="I261" i="1" s="1"/>
  <c r="V262" i="1"/>
  <c r="W262" i="1" s="1"/>
  <c r="Y262" i="1"/>
  <c r="A263" i="1"/>
  <c r="H263" i="1" s="1"/>
  <c r="B262" i="1"/>
  <c r="L262" i="1" s="1"/>
  <c r="E262" i="1"/>
  <c r="C261" i="1"/>
  <c r="D261" i="1"/>
  <c r="AI261" i="2" l="1"/>
  <c r="AS261" i="2"/>
  <c r="Y262" i="2"/>
  <c r="W262" i="2"/>
  <c r="AB262" i="2"/>
  <c r="Z262" i="2"/>
  <c r="U262" i="2"/>
  <c r="V262" i="2"/>
  <c r="AE262" i="2"/>
  <c r="S262" i="2"/>
  <c r="AC262" i="2"/>
  <c r="R263" i="2"/>
  <c r="T262" i="2"/>
  <c r="AD262" i="2"/>
  <c r="AA262" i="2"/>
  <c r="X262" i="2"/>
  <c r="AR261" i="2"/>
  <c r="M262" i="2"/>
  <c r="E262" i="2"/>
  <c r="C263" i="2"/>
  <c r="J262" i="2"/>
  <c r="AN262" i="2" s="1"/>
  <c r="O262" i="2"/>
  <c r="N262" i="2"/>
  <c r="L262" i="2"/>
  <c r="G262" i="2"/>
  <c r="AK262" i="2" s="1"/>
  <c r="I262" i="2"/>
  <c r="H262" i="2"/>
  <c r="AL262" i="2" s="1"/>
  <c r="D262" i="2"/>
  <c r="AH262" i="2" s="1"/>
  <c r="F262" i="2"/>
  <c r="AJ262" i="2" s="1"/>
  <c r="K262" i="2"/>
  <c r="AO262" i="2" s="1"/>
  <c r="J261" i="1"/>
  <c r="K261" i="1" s="1"/>
  <c r="O261" i="1" s="1"/>
  <c r="P261" i="1" s="1"/>
  <c r="Q261" i="1" s="1"/>
  <c r="R260" i="1"/>
  <c r="S260" i="1"/>
  <c r="Z262" i="1"/>
  <c r="X262" i="1"/>
  <c r="G262" i="1"/>
  <c r="I262" i="1" s="1"/>
  <c r="V263" i="1"/>
  <c r="X263" i="1" s="1"/>
  <c r="Y263" i="1"/>
  <c r="Z263" i="1" s="1"/>
  <c r="C262" i="1"/>
  <c r="D262" i="1"/>
  <c r="A264" i="1"/>
  <c r="H264" i="1" s="1"/>
  <c r="B263" i="1"/>
  <c r="L263" i="1" s="1"/>
  <c r="E263" i="1"/>
  <c r="AQ262" i="2" l="1"/>
  <c r="AM262" i="2"/>
  <c r="AR262" i="2"/>
  <c r="AS262" i="2"/>
  <c r="S263" i="2"/>
  <c r="Y263" i="2"/>
  <c r="W263" i="2"/>
  <c r="T263" i="2"/>
  <c r="AB263" i="2"/>
  <c r="AD263" i="2"/>
  <c r="Z263" i="2"/>
  <c r="V263" i="2"/>
  <c r="U263" i="2"/>
  <c r="AA263" i="2"/>
  <c r="X263" i="2"/>
  <c r="AC263" i="2"/>
  <c r="R264" i="2"/>
  <c r="AE263" i="2"/>
  <c r="AI262" i="2"/>
  <c r="AP262" i="2"/>
  <c r="C264" i="2"/>
  <c r="M263" i="2"/>
  <c r="F263" i="2"/>
  <c r="L263" i="2"/>
  <c r="K263" i="2"/>
  <c r="G263" i="2"/>
  <c r="AK263" i="2" s="1"/>
  <c r="H263" i="2"/>
  <c r="AL263" i="2" s="1"/>
  <c r="E263" i="2"/>
  <c r="AI263" i="2" s="1"/>
  <c r="D263" i="2"/>
  <c r="AH263" i="2" s="1"/>
  <c r="N263" i="2"/>
  <c r="J263" i="2"/>
  <c r="AN263" i="2" s="1"/>
  <c r="O263" i="2"/>
  <c r="AS263" i="2" s="1"/>
  <c r="I263" i="2"/>
  <c r="W263" i="1"/>
  <c r="J262" i="1"/>
  <c r="K262" i="1" s="1"/>
  <c r="O262" i="1" s="1"/>
  <c r="P262" i="1" s="1"/>
  <c r="Q262" i="1" s="1"/>
  <c r="R261" i="1"/>
  <c r="S261" i="1"/>
  <c r="G263" i="1"/>
  <c r="I263" i="1" s="1"/>
  <c r="V264" i="1"/>
  <c r="Y264" i="1"/>
  <c r="Z264" i="1" s="1"/>
  <c r="W264" i="1"/>
  <c r="X264" i="1"/>
  <c r="C263" i="1"/>
  <c r="D263" i="1"/>
  <c r="B264" i="1"/>
  <c r="L264" i="1" s="1"/>
  <c r="E264" i="1"/>
  <c r="A265" i="1"/>
  <c r="H265" i="1" s="1"/>
  <c r="AM263" i="2" l="1"/>
  <c r="AP263" i="2"/>
  <c r="AJ263" i="2"/>
  <c r="X264" i="2"/>
  <c r="W264" i="2"/>
  <c r="T264" i="2"/>
  <c r="U264" i="2"/>
  <c r="Y264" i="2"/>
  <c r="AC264" i="2"/>
  <c r="AB264" i="2"/>
  <c r="AA264" i="2"/>
  <c r="V264" i="2"/>
  <c r="AE264" i="2"/>
  <c r="AD264" i="2"/>
  <c r="S264" i="2"/>
  <c r="Z264" i="2"/>
  <c r="R265" i="2"/>
  <c r="AR263" i="2"/>
  <c r="AO263" i="2"/>
  <c r="AQ263" i="2"/>
  <c r="H264" i="2"/>
  <c r="AL264" i="2" s="1"/>
  <c r="F264" i="2"/>
  <c r="AJ264" i="2" s="1"/>
  <c r="E264" i="2"/>
  <c r="AI264" i="2" s="1"/>
  <c r="D264" i="2"/>
  <c r="L264" i="2"/>
  <c r="AP264" i="2" s="1"/>
  <c r="C265" i="2"/>
  <c r="G264" i="2"/>
  <c r="AK264" i="2" s="1"/>
  <c r="K264" i="2"/>
  <c r="J264" i="2"/>
  <c r="AN264" i="2" s="1"/>
  <c r="I264" i="2"/>
  <c r="AM264" i="2" s="1"/>
  <c r="M264" i="2"/>
  <c r="AQ264" i="2" s="1"/>
  <c r="O264" i="2"/>
  <c r="AS264" i="2" s="1"/>
  <c r="N264" i="2"/>
  <c r="J263" i="1"/>
  <c r="K263" i="1" s="1"/>
  <c r="O263" i="1" s="1"/>
  <c r="P263" i="1" s="1"/>
  <c r="Q263" i="1" s="1"/>
  <c r="R262" i="1"/>
  <c r="S262" i="1"/>
  <c r="G264" i="1"/>
  <c r="I264" i="1" s="1"/>
  <c r="V265" i="1"/>
  <c r="X265" i="1" s="1"/>
  <c r="Y265" i="1"/>
  <c r="Z265" i="1" s="1"/>
  <c r="W265" i="1"/>
  <c r="A266" i="1"/>
  <c r="H266" i="1" s="1"/>
  <c r="E265" i="1"/>
  <c r="B265" i="1"/>
  <c r="L265" i="1" s="1"/>
  <c r="C264" i="1"/>
  <c r="D264" i="1"/>
  <c r="AR264" i="2" l="1"/>
  <c r="AD265" i="2"/>
  <c r="R266" i="2"/>
  <c r="U265" i="2"/>
  <c r="AC265" i="2"/>
  <c r="Z265" i="2"/>
  <c r="T265" i="2"/>
  <c r="S265" i="2"/>
  <c r="AB265" i="2"/>
  <c r="W265" i="2"/>
  <c r="V265" i="2"/>
  <c r="AE265" i="2"/>
  <c r="AA265" i="2"/>
  <c r="Y265" i="2"/>
  <c r="X265" i="2"/>
  <c r="L265" i="2"/>
  <c r="AP265" i="2" s="1"/>
  <c r="F265" i="2"/>
  <c r="H265" i="2"/>
  <c r="N265" i="2"/>
  <c r="I265" i="2"/>
  <c r="G265" i="2"/>
  <c r="M265" i="2"/>
  <c r="E265" i="2"/>
  <c r="AI265" i="2" s="1"/>
  <c r="D265" i="2"/>
  <c r="AH265" i="2" s="1"/>
  <c r="O265" i="2"/>
  <c r="AS265" i="2" s="1"/>
  <c r="C266" i="2"/>
  <c r="J265" i="2"/>
  <c r="K265" i="2"/>
  <c r="AO265" i="2" s="1"/>
  <c r="AH264" i="2"/>
  <c r="AO264" i="2"/>
  <c r="J264" i="1"/>
  <c r="K264" i="1" s="1"/>
  <c r="O264" i="1" s="1"/>
  <c r="P264" i="1" s="1"/>
  <c r="Q264" i="1" s="1"/>
  <c r="R263" i="1"/>
  <c r="S263" i="1"/>
  <c r="G265" i="1"/>
  <c r="I265" i="1" s="1"/>
  <c r="V266" i="1"/>
  <c r="Y266" i="1"/>
  <c r="Z266" i="1" s="1"/>
  <c r="X266" i="1"/>
  <c r="W266" i="1"/>
  <c r="D265" i="1"/>
  <c r="C265" i="1"/>
  <c r="E266" i="1"/>
  <c r="B266" i="1"/>
  <c r="L266" i="1" s="1"/>
  <c r="A267" i="1"/>
  <c r="H267" i="1" s="1"/>
  <c r="AJ265" i="2" l="1"/>
  <c r="AN265" i="2"/>
  <c r="D266" i="2"/>
  <c r="H266" i="2"/>
  <c r="L266" i="2"/>
  <c r="O266" i="2"/>
  <c r="K266" i="2"/>
  <c r="AO266" i="2" s="1"/>
  <c r="E266" i="2"/>
  <c r="AI266" i="2" s="1"/>
  <c r="J266" i="2"/>
  <c r="F266" i="2"/>
  <c r="AJ266" i="2" s="1"/>
  <c r="C267" i="2"/>
  <c r="I266" i="2"/>
  <c r="AM266" i="2" s="1"/>
  <c r="G266" i="2"/>
  <c r="AK266" i="2" s="1"/>
  <c r="N266" i="2"/>
  <c r="AR266" i="2" s="1"/>
  <c r="M266" i="2"/>
  <c r="AQ266" i="2" s="1"/>
  <c r="AK265" i="2"/>
  <c r="AR265" i="2"/>
  <c r="T266" i="2"/>
  <c r="Z266" i="2"/>
  <c r="U266" i="2"/>
  <c r="S266" i="2"/>
  <c r="X266" i="2"/>
  <c r="R267" i="2"/>
  <c r="AC266" i="2"/>
  <c r="AB266" i="2"/>
  <c r="W266" i="2"/>
  <c r="AA266" i="2"/>
  <c r="Y266" i="2"/>
  <c r="AE266" i="2"/>
  <c r="V266" i="2"/>
  <c r="AD266" i="2"/>
  <c r="AQ265" i="2"/>
  <c r="AM265" i="2"/>
  <c r="AL265" i="2"/>
  <c r="J265" i="1"/>
  <c r="K265" i="1" s="1"/>
  <c r="O265" i="1" s="1"/>
  <c r="P265" i="1" s="1"/>
  <c r="Q265" i="1" s="1"/>
  <c r="R264" i="1"/>
  <c r="S264" i="1"/>
  <c r="G266" i="1"/>
  <c r="I266" i="1" s="1"/>
  <c r="V267" i="1"/>
  <c r="Y267" i="1"/>
  <c r="Z267" i="1" s="1"/>
  <c r="W267" i="1"/>
  <c r="X267" i="1"/>
  <c r="A268" i="1"/>
  <c r="H268" i="1" s="1"/>
  <c r="E267" i="1"/>
  <c r="B267" i="1"/>
  <c r="L267" i="1" s="1"/>
  <c r="D266" i="1"/>
  <c r="C266" i="1"/>
  <c r="H267" i="2" l="1"/>
  <c r="E267" i="2"/>
  <c r="G267" i="2"/>
  <c r="C268" i="2"/>
  <c r="K267" i="2"/>
  <c r="AO267" i="2" s="1"/>
  <c r="N267" i="2"/>
  <c r="M267" i="2"/>
  <c r="I267" i="2"/>
  <c r="AM267" i="2" s="1"/>
  <c r="F267" i="2"/>
  <c r="D267" i="2"/>
  <c r="L267" i="2"/>
  <c r="O267" i="2"/>
  <c r="AS267" i="2" s="1"/>
  <c r="J267" i="2"/>
  <c r="AN267" i="2" s="1"/>
  <c r="AN266" i="2"/>
  <c r="AP266" i="2"/>
  <c r="AA267" i="2"/>
  <c r="Z267" i="2"/>
  <c r="Y267" i="2"/>
  <c r="AD267" i="2"/>
  <c r="X267" i="2"/>
  <c r="R268" i="2"/>
  <c r="W267" i="2"/>
  <c r="V267" i="2"/>
  <c r="AE267" i="2"/>
  <c r="AC267" i="2"/>
  <c r="U267" i="2"/>
  <c r="T267" i="2"/>
  <c r="S267" i="2"/>
  <c r="AB267" i="2"/>
  <c r="AS266" i="2"/>
  <c r="AH266" i="2"/>
  <c r="AL266" i="2"/>
  <c r="J266" i="1"/>
  <c r="K266" i="1" s="1"/>
  <c r="O266" i="1" s="1"/>
  <c r="P266" i="1" s="1"/>
  <c r="Q266" i="1" s="1"/>
  <c r="R265" i="1"/>
  <c r="S265" i="1"/>
  <c r="G267" i="1"/>
  <c r="I267" i="1" s="1"/>
  <c r="V268" i="1"/>
  <c r="Y268" i="1"/>
  <c r="Z268" i="1" s="1"/>
  <c r="X268" i="1"/>
  <c r="W268" i="1"/>
  <c r="D267" i="1"/>
  <c r="C267" i="1"/>
  <c r="B268" i="1"/>
  <c r="L268" i="1" s="1"/>
  <c r="A269" i="1"/>
  <c r="H269" i="1" s="1"/>
  <c r="E268" i="1"/>
  <c r="AH267" i="2" l="1"/>
  <c r="AR267" i="2"/>
  <c r="AJ267" i="2"/>
  <c r="AQ267" i="2"/>
  <c r="AB268" i="2"/>
  <c r="S268" i="2"/>
  <c r="V268" i="2"/>
  <c r="AD268" i="2"/>
  <c r="AE268" i="2"/>
  <c r="AC268" i="2"/>
  <c r="AA268" i="2"/>
  <c r="U268" i="2"/>
  <c r="R269" i="2"/>
  <c r="Y268" i="2"/>
  <c r="X268" i="2"/>
  <c r="Z268" i="2"/>
  <c r="W268" i="2"/>
  <c r="T268" i="2"/>
  <c r="AK267" i="2"/>
  <c r="AP267" i="2"/>
  <c r="E268" i="2"/>
  <c r="O268" i="2"/>
  <c r="H268" i="2"/>
  <c r="F268" i="2"/>
  <c r="N268" i="2"/>
  <c r="K268" i="2"/>
  <c r="C269" i="2"/>
  <c r="L268" i="2"/>
  <c r="AP268" i="2" s="1"/>
  <c r="M268" i="2"/>
  <c r="AQ268" i="2" s="1"/>
  <c r="I268" i="2"/>
  <c r="AM268" i="2" s="1"/>
  <c r="G268" i="2"/>
  <c r="AK268" i="2" s="1"/>
  <c r="D268" i="2"/>
  <c r="AH268" i="2" s="1"/>
  <c r="J268" i="2"/>
  <c r="AI267" i="2"/>
  <c r="AL267" i="2"/>
  <c r="J267" i="1"/>
  <c r="K267" i="1" s="1"/>
  <c r="O267" i="1" s="1"/>
  <c r="P267" i="1" s="1"/>
  <c r="Q267" i="1" s="1"/>
  <c r="R266" i="1"/>
  <c r="S266" i="1"/>
  <c r="G268" i="1"/>
  <c r="I268" i="1" s="1"/>
  <c r="V269" i="1"/>
  <c r="X269" i="1" s="1"/>
  <c r="Y269" i="1"/>
  <c r="W269" i="1"/>
  <c r="E269" i="1"/>
  <c r="A270" i="1"/>
  <c r="H270" i="1" s="1"/>
  <c r="B269" i="1"/>
  <c r="L269" i="1" s="1"/>
  <c r="C268" i="1"/>
  <c r="D268" i="1"/>
  <c r="AN268" i="2" l="1"/>
  <c r="C270" i="2"/>
  <c r="F269" i="2"/>
  <c r="J269" i="2"/>
  <c r="O269" i="2"/>
  <c r="AS269" i="2" s="1"/>
  <c r="N269" i="2"/>
  <c r="K269" i="2"/>
  <c r="E269" i="2"/>
  <c r="D269" i="2"/>
  <c r="AH269" i="2" s="1"/>
  <c r="I269" i="2"/>
  <c r="AM269" i="2" s="1"/>
  <c r="H269" i="2"/>
  <c r="AL269" i="2" s="1"/>
  <c r="M269" i="2"/>
  <c r="AQ269" i="2" s="1"/>
  <c r="L269" i="2"/>
  <c r="AP269" i="2" s="1"/>
  <c r="G269" i="2"/>
  <c r="AK269" i="2" s="1"/>
  <c r="AL268" i="2"/>
  <c r="AJ268" i="2"/>
  <c r="T269" i="2"/>
  <c r="U269" i="2"/>
  <c r="AB269" i="2"/>
  <c r="AD269" i="2"/>
  <c r="S269" i="2"/>
  <c r="W269" i="2"/>
  <c r="X269" i="2"/>
  <c r="AE269" i="2"/>
  <c r="AC269" i="2"/>
  <c r="AA269" i="2"/>
  <c r="Y269" i="2"/>
  <c r="V269" i="2"/>
  <c r="R270" i="2"/>
  <c r="Z269" i="2"/>
  <c r="AO268" i="2"/>
  <c r="AR268" i="2"/>
  <c r="AS268" i="2"/>
  <c r="AI268" i="2"/>
  <c r="Z269" i="1"/>
  <c r="J268" i="1"/>
  <c r="K268" i="1" s="1"/>
  <c r="O268" i="1" s="1"/>
  <c r="P268" i="1" s="1"/>
  <c r="Q268" i="1" s="1"/>
  <c r="R267" i="1"/>
  <c r="S267" i="1"/>
  <c r="G269" i="1"/>
  <c r="I269" i="1" s="1"/>
  <c r="V270" i="1"/>
  <c r="Y270" i="1"/>
  <c r="W270" i="1"/>
  <c r="X270" i="1"/>
  <c r="Z270" i="1"/>
  <c r="C269" i="1"/>
  <c r="D269" i="1"/>
  <c r="A271" i="1"/>
  <c r="H271" i="1" s="1"/>
  <c r="E270" i="1"/>
  <c r="B270" i="1"/>
  <c r="L270" i="1" s="1"/>
  <c r="AR269" i="2" l="1"/>
  <c r="AI269" i="2"/>
  <c r="AN269" i="2"/>
  <c r="AA270" i="2"/>
  <c r="AC270" i="2"/>
  <c r="X270" i="2"/>
  <c r="Z270" i="2"/>
  <c r="AD270" i="2"/>
  <c r="R271" i="2"/>
  <c r="AB270" i="2"/>
  <c r="AE270" i="2"/>
  <c r="Y270" i="2"/>
  <c r="U270" i="2"/>
  <c r="V270" i="2"/>
  <c r="S270" i="2"/>
  <c r="W270" i="2"/>
  <c r="T270" i="2"/>
  <c r="AO269" i="2"/>
  <c r="AJ269" i="2"/>
  <c r="K270" i="2"/>
  <c r="I270" i="2"/>
  <c r="AM270" i="2" s="1"/>
  <c r="H270" i="2"/>
  <c r="F270" i="2"/>
  <c r="O270" i="2"/>
  <c r="AS270" i="2" s="1"/>
  <c r="J270" i="2"/>
  <c r="D270" i="2"/>
  <c r="M270" i="2"/>
  <c r="AQ270" i="2" s="1"/>
  <c r="G270" i="2"/>
  <c r="E270" i="2"/>
  <c r="L270" i="2"/>
  <c r="AP270" i="2" s="1"/>
  <c r="C271" i="2"/>
  <c r="N270" i="2"/>
  <c r="AR270" i="2" s="1"/>
  <c r="J269" i="1"/>
  <c r="K269" i="1" s="1"/>
  <c r="O269" i="1" s="1"/>
  <c r="P269" i="1" s="1"/>
  <c r="Q269" i="1" s="1"/>
  <c r="R268" i="1"/>
  <c r="S268" i="1"/>
  <c r="G270" i="1"/>
  <c r="I270" i="1" s="1"/>
  <c r="V271" i="1"/>
  <c r="Y271" i="1"/>
  <c r="Z271" i="1" s="1"/>
  <c r="X271" i="1"/>
  <c r="W271" i="1"/>
  <c r="B271" i="1"/>
  <c r="L271" i="1" s="1"/>
  <c r="E271" i="1"/>
  <c r="A272" i="1"/>
  <c r="H272" i="1" s="1"/>
  <c r="C270" i="1"/>
  <c r="D270" i="1"/>
  <c r="AK270" i="2" l="1"/>
  <c r="AL270" i="2"/>
  <c r="M271" i="2"/>
  <c r="F271" i="2"/>
  <c r="K271" i="2"/>
  <c r="G271" i="2"/>
  <c r="L271" i="2"/>
  <c r="C272" i="2"/>
  <c r="I271" i="2"/>
  <c r="H271" i="2"/>
  <c r="E271" i="2"/>
  <c r="AI271" i="2" s="1"/>
  <c r="O271" i="2"/>
  <c r="AS271" i="2" s="1"/>
  <c r="D271" i="2"/>
  <c r="AH271" i="2" s="1"/>
  <c r="J271" i="2"/>
  <c r="AN271" i="2" s="1"/>
  <c r="N271" i="2"/>
  <c r="AR271" i="2" s="1"/>
  <c r="AI270" i="2"/>
  <c r="AH270" i="2"/>
  <c r="AN270" i="2"/>
  <c r="T271" i="2"/>
  <c r="S271" i="2"/>
  <c r="Z271" i="2"/>
  <c r="V271" i="2"/>
  <c r="AC271" i="2"/>
  <c r="Y271" i="2"/>
  <c r="AB271" i="2"/>
  <c r="AE271" i="2"/>
  <c r="AD271" i="2"/>
  <c r="AA271" i="2"/>
  <c r="R272" i="2"/>
  <c r="W271" i="2"/>
  <c r="U271" i="2"/>
  <c r="X271" i="2"/>
  <c r="AJ270" i="2"/>
  <c r="AO270" i="2"/>
  <c r="J270" i="1"/>
  <c r="K270" i="1" s="1"/>
  <c r="O270" i="1" s="1"/>
  <c r="P270" i="1" s="1"/>
  <c r="Q270" i="1" s="1"/>
  <c r="R269" i="1"/>
  <c r="S269" i="1"/>
  <c r="G271" i="1"/>
  <c r="I271" i="1" s="1"/>
  <c r="V272" i="1"/>
  <c r="Y272" i="1"/>
  <c r="Z272" i="1" s="1"/>
  <c r="X272" i="1"/>
  <c r="W272" i="1"/>
  <c r="E272" i="1"/>
  <c r="B272" i="1"/>
  <c r="L272" i="1" s="1"/>
  <c r="A273" i="1"/>
  <c r="H273" i="1" s="1"/>
  <c r="D271" i="1"/>
  <c r="C271" i="1"/>
  <c r="AM271" i="2" l="1"/>
  <c r="E272" i="2"/>
  <c r="O272" i="2"/>
  <c r="H272" i="2"/>
  <c r="D272" i="2"/>
  <c r="M272" i="2"/>
  <c r="I272" i="2"/>
  <c r="AM272" i="2" s="1"/>
  <c r="K272" i="2"/>
  <c r="AO272" i="2" s="1"/>
  <c r="G272" i="2"/>
  <c r="N272" i="2"/>
  <c r="C273" i="2"/>
  <c r="F272" i="2"/>
  <c r="L272" i="2"/>
  <c r="AP272" i="2" s="1"/>
  <c r="J272" i="2"/>
  <c r="AN272" i="2" s="1"/>
  <c r="AL271" i="2"/>
  <c r="AP271" i="2"/>
  <c r="AK271" i="2"/>
  <c r="AO271" i="2"/>
  <c r="AQ271" i="2"/>
  <c r="Z272" i="2"/>
  <c r="Y272" i="2"/>
  <c r="X272" i="2"/>
  <c r="R273" i="2"/>
  <c r="AB272" i="2"/>
  <c r="W272" i="2"/>
  <c r="AC272" i="2"/>
  <c r="AA272" i="2"/>
  <c r="V272" i="2"/>
  <c r="U272" i="2"/>
  <c r="T272" i="2"/>
  <c r="AE272" i="2"/>
  <c r="S272" i="2"/>
  <c r="AD272" i="2"/>
  <c r="AJ271" i="2"/>
  <c r="J271" i="1"/>
  <c r="K271" i="1" s="1"/>
  <c r="O271" i="1" s="1"/>
  <c r="P271" i="1" s="1"/>
  <c r="Q271" i="1" s="1"/>
  <c r="R270" i="1"/>
  <c r="S270" i="1"/>
  <c r="G272" i="1"/>
  <c r="I272" i="1" s="1"/>
  <c r="V273" i="1"/>
  <c r="X273" i="1" s="1"/>
  <c r="Y273" i="1"/>
  <c r="Z273" i="1" s="1"/>
  <c r="W273" i="1"/>
  <c r="D272" i="1"/>
  <c r="C272" i="1"/>
  <c r="E273" i="1"/>
  <c r="B273" i="1"/>
  <c r="L273" i="1" s="1"/>
  <c r="A274" i="1"/>
  <c r="H274" i="1" s="1"/>
  <c r="AS272" i="2" l="1"/>
  <c r="F273" i="2"/>
  <c r="I273" i="2"/>
  <c r="N273" i="2"/>
  <c r="M273" i="2"/>
  <c r="K273" i="2"/>
  <c r="AO273" i="2" s="1"/>
  <c r="C274" i="2"/>
  <c r="L273" i="2"/>
  <c r="J273" i="2"/>
  <c r="AN273" i="2" s="1"/>
  <c r="O273" i="2"/>
  <c r="AS273" i="2" s="1"/>
  <c r="E273" i="2"/>
  <c r="AI273" i="2" s="1"/>
  <c r="G273" i="2"/>
  <c r="AK273" i="2" s="1"/>
  <c r="D273" i="2"/>
  <c r="AH273" i="2" s="1"/>
  <c r="H273" i="2"/>
  <c r="AL273" i="2" s="1"/>
  <c r="AK272" i="2"/>
  <c r="AJ272" i="2"/>
  <c r="AR272" i="2"/>
  <c r="AE273" i="2"/>
  <c r="AD273" i="2"/>
  <c r="Z273" i="2"/>
  <c r="T273" i="2"/>
  <c r="S273" i="2"/>
  <c r="AC273" i="2"/>
  <c r="AB273" i="2"/>
  <c r="Y273" i="2"/>
  <c r="AA273" i="2"/>
  <c r="R274" i="2"/>
  <c r="U273" i="2"/>
  <c r="V273" i="2"/>
  <c r="W273" i="2"/>
  <c r="X273" i="2"/>
  <c r="AQ272" i="2"/>
  <c r="AH272" i="2"/>
  <c r="AL272" i="2"/>
  <c r="AI272" i="2"/>
  <c r="J272" i="1"/>
  <c r="K272" i="1" s="1"/>
  <c r="O272" i="1" s="1"/>
  <c r="P272" i="1" s="1"/>
  <c r="Q272" i="1" s="1"/>
  <c r="R271" i="1"/>
  <c r="S271" i="1"/>
  <c r="G273" i="1"/>
  <c r="I273" i="1" s="1"/>
  <c r="V274" i="1"/>
  <c r="X274" i="1" s="1"/>
  <c r="Y274" i="1"/>
  <c r="B274" i="1"/>
  <c r="L274" i="1" s="1"/>
  <c r="A275" i="1"/>
  <c r="H275" i="1" s="1"/>
  <c r="E274" i="1"/>
  <c r="D273" i="1"/>
  <c r="C273" i="1"/>
  <c r="F274" i="2" l="1"/>
  <c r="E274" i="2"/>
  <c r="K274" i="2"/>
  <c r="D274" i="2"/>
  <c r="AH274" i="2" s="1"/>
  <c r="C275" i="2"/>
  <c r="N274" i="2"/>
  <c r="H274" i="2"/>
  <c r="AL274" i="2" s="1"/>
  <c r="G274" i="2"/>
  <c r="AK274" i="2" s="1"/>
  <c r="L274" i="2"/>
  <c r="O274" i="2"/>
  <c r="M274" i="2"/>
  <c r="AQ274" i="2" s="1"/>
  <c r="J274" i="2"/>
  <c r="AN274" i="2" s="1"/>
  <c r="I274" i="2"/>
  <c r="AM274" i="2" s="1"/>
  <c r="AR273" i="2"/>
  <c r="AM273" i="2"/>
  <c r="U274" i="2"/>
  <c r="W274" i="2"/>
  <c r="T274" i="2"/>
  <c r="S274" i="2"/>
  <c r="X274" i="2"/>
  <c r="R275" i="2"/>
  <c r="AB274" i="2"/>
  <c r="V274" i="2"/>
  <c r="Y274" i="2"/>
  <c r="AE274" i="2"/>
  <c r="AD274" i="2"/>
  <c r="AC274" i="2"/>
  <c r="AA274" i="2"/>
  <c r="Z274" i="2"/>
  <c r="AP273" i="2"/>
  <c r="AQ273" i="2"/>
  <c r="AJ273" i="2"/>
  <c r="J273" i="1"/>
  <c r="K273" i="1" s="1"/>
  <c r="O273" i="1" s="1"/>
  <c r="P273" i="1" s="1"/>
  <c r="Q273" i="1" s="1"/>
  <c r="R272" i="1"/>
  <c r="S272" i="1"/>
  <c r="G274" i="1"/>
  <c r="I274" i="1" s="1"/>
  <c r="V275" i="1"/>
  <c r="Y275" i="1"/>
  <c r="Z275" i="1" s="1"/>
  <c r="W274" i="1"/>
  <c r="Z274" i="1"/>
  <c r="X275" i="1"/>
  <c r="W275" i="1"/>
  <c r="A276" i="1"/>
  <c r="H276" i="1" s="1"/>
  <c r="E275" i="1"/>
  <c r="B275" i="1"/>
  <c r="L275" i="1" s="1"/>
  <c r="C274" i="1"/>
  <c r="D274" i="1"/>
  <c r="AS274" i="2" l="1"/>
  <c r="AR274" i="2"/>
  <c r="AP274" i="2"/>
  <c r="W275" i="2"/>
  <c r="V275" i="2"/>
  <c r="S275" i="2"/>
  <c r="AB275" i="2"/>
  <c r="T275" i="2"/>
  <c r="AA275" i="2"/>
  <c r="Y275" i="2"/>
  <c r="Z275" i="2"/>
  <c r="AD275" i="2"/>
  <c r="AC275" i="2"/>
  <c r="AE275" i="2"/>
  <c r="X275" i="2"/>
  <c r="U275" i="2"/>
  <c r="R276" i="2"/>
  <c r="M275" i="2"/>
  <c r="D275" i="2"/>
  <c r="G275" i="2"/>
  <c r="E275" i="2"/>
  <c r="AI275" i="2" s="1"/>
  <c r="L275" i="2"/>
  <c r="O275" i="2"/>
  <c r="F275" i="2"/>
  <c r="J275" i="2"/>
  <c r="AN275" i="2" s="1"/>
  <c r="I275" i="2"/>
  <c r="N275" i="2"/>
  <c r="AR275" i="2" s="1"/>
  <c r="H275" i="2"/>
  <c r="AL275" i="2" s="1"/>
  <c r="C276" i="2"/>
  <c r="K275" i="2"/>
  <c r="AO275" i="2" s="1"/>
  <c r="AO274" i="2"/>
  <c r="AI274" i="2"/>
  <c r="AJ274" i="2"/>
  <c r="J274" i="1"/>
  <c r="K274" i="1" s="1"/>
  <c r="O274" i="1" s="1"/>
  <c r="P274" i="1" s="1"/>
  <c r="Q274" i="1" s="1"/>
  <c r="R273" i="1"/>
  <c r="S273" i="1"/>
  <c r="G275" i="1"/>
  <c r="I275" i="1" s="1"/>
  <c r="V276" i="1"/>
  <c r="Y276" i="1"/>
  <c r="Z276" i="1" s="1"/>
  <c r="X276" i="1"/>
  <c r="W276" i="1"/>
  <c r="D275" i="1"/>
  <c r="C275" i="1"/>
  <c r="E276" i="1"/>
  <c r="B276" i="1"/>
  <c r="L276" i="1" s="1"/>
  <c r="A277" i="1"/>
  <c r="H277" i="1" s="1"/>
  <c r="AP275" i="2" l="1"/>
  <c r="AK275" i="2"/>
  <c r="AM275" i="2"/>
  <c r="AJ275" i="2"/>
  <c r="AH275" i="2"/>
  <c r="N276" i="2"/>
  <c r="H276" i="2"/>
  <c r="G276" i="2"/>
  <c r="F276" i="2"/>
  <c r="L276" i="2"/>
  <c r="AP276" i="2" s="1"/>
  <c r="K276" i="2"/>
  <c r="AO276" i="2" s="1"/>
  <c r="M276" i="2"/>
  <c r="AQ276" i="2" s="1"/>
  <c r="O276" i="2"/>
  <c r="AS276" i="2" s="1"/>
  <c r="I276" i="2"/>
  <c r="AM276" i="2" s="1"/>
  <c r="D276" i="2"/>
  <c r="AH276" i="2" s="1"/>
  <c r="J276" i="2"/>
  <c r="AN276" i="2" s="1"/>
  <c r="E276" i="2"/>
  <c r="C277" i="2"/>
  <c r="AS275" i="2"/>
  <c r="AQ275" i="2"/>
  <c r="AB276" i="2"/>
  <c r="AD276" i="2"/>
  <c r="Z276" i="2"/>
  <c r="S276" i="2"/>
  <c r="W276" i="2"/>
  <c r="AA276" i="2"/>
  <c r="Y276" i="2"/>
  <c r="U276" i="2"/>
  <c r="T276" i="2"/>
  <c r="V276" i="2"/>
  <c r="AE276" i="2"/>
  <c r="AC276" i="2"/>
  <c r="R277" i="2"/>
  <c r="X276" i="2"/>
  <c r="J275" i="1"/>
  <c r="K275" i="1" s="1"/>
  <c r="O275" i="1" s="1"/>
  <c r="P275" i="1" s="1"/>
  <c r="Q275" i="1" s="1"/>
  <c r="R274" i="1"/>
  <c r="S274" i="1"/>
  <c r="G276" i="1"/>
  <c r="I276" i="1" s="1"/>
  <c r="V277" i="1"/>
  <c r="Y277" i="1"/>
  <c r="Z277" i="1" s="1"/>
  <c r="X277" i="1"/>
  <c r="W277" i="1"/>
  <c r="B277" i="1"/>
  <c r="L277" i="1" s="1"/>
  <c r="A278" i="1"/>
  <c r="H278" i="1" s="1"/>
  <c r="E277" i="1"/>
  <c r="D276" i="1"/>
  <c r="C276" i="1"/>
  <c r="AJ276" i="2" l="1"/>
  <c r="AR276" i="2"/>
  <c r="E277" i="2"/>
  <c r="M277" i="2"/>
  <c r="K277" i="2"/>
  <c r="I277" i="2"/>
  <c r="N277" i="2"/>
  <c r="G277" i="2"/>
  <c r="AK277" i="2" s="1"/>
  <c r="F277" i="2"/>
  <c r="D277" i="2"/>
  <c r="AH277" i="2" s="1"/>
  <c r="L277" i="2"/>
  <c r="H277" i="2"/>
  <c r="AL277" i="2" s="1"/>
  <c r="C278" i="2"/>
  <c r="J277" i="2"/>
  <c r="AN277" i="2" s="1"/>
  <c r="O277" i="2"/>
  <c r="AS277" i="2" s="1"/>
  <c r="AK276" i="2"/>
  <c r="AL276" i="2"/>
  <c r="V277" i="2"/>
  <c r="S277" i="2"/>
  <c r="R278" i="2"/>
  <c r="AE277" i="2"/>
  <c r="AD277" i="2"/>
  <c r="Y277" i="2"/>
  <c r="T277" i="2"/>
  <c r="AC277" i="2"/>
  <c r="AB277" i="2"/>
  <c r="X277" i="2"/>
  <c r="W277" i="2"/>
  <c r="U277" i="2"/>
  <c r="Z277" i="2"/>
  <c r="AA277" i="2"/>
  <c r="AI276" i="2"/>
  <c r="J276" i="1"/>
  <c r="K276" i="1" s="1"/>
  <c r="O276" i="1" s="1"/>
  <c r="P276" i="1" s="1"/>
  <c r="Q276" i="1" s="1"/>
  <c r="R275" i="1"/>
  <c r="S275" i="1"/>
  <c r="G277" i="1"/>
  <c r="I277" i="1" s="1"/>
  <c r="V278" i="1"/>
  <c r="W278" i="1" s="1"/>
  <c r="Y278" i="1"/>
  <c r="A279" i="1"/>
  <c r="H279" i="1" s="1"/>
  <c r="B278" i="1"/>
  <c r="L278" i="1" s="1"/>
  <c r="E278" i="1"/>
  <c r="D277" i="1"/>
  <c r="C277" i="1"/>
  <c r="AJ277" i="2" l="1"/>
  <c r="J278" i="2"/>
  <c r="H278" i="2"/>
  <c r="G278" i="2"/>
  <c r="N278" i="2"/>
  <c r="M278" i="2"/>
  <c r="O278" i="2"/>
  <c r="AS278" i="2" s="1"/>
  <c r="AS11" i="2" s="1"/>
  <c r="AS10" i="2" s="1"/>
  <c r="F278" i="2"/>
  <c r="AJ278" i="2" s="1"/>
  <c r="AJ11" i="2" s="1"/>
  <c r="AJ10" i="2" s="1"/>
  <c r="L278" i="2"/>
  <c r="AP278" i="2" s="1"/>
  <c r="K278" i="2"/>
  <c r="AO278" i="2" s="1"/>
  <c r="I278" i="2"/>
  <c r="AM278" i="2" s="1"/>
  <c r="E278" i="2"/>
  <c r="AI278" i="2" s="1"/>
  <c r="AI11" i="2" s="1"/>
  <c r="AI10" i="2" s="1"/>
  <c r="D278" i="2"/>
  <c r="AH278" i="2" s="1"/>
  <c r="AH11" i="2" s="1"/>
  <c r="AH10" i="2" s="1"/>
  <c r="AP277" i="2"/>
  <c r="AM277" i="2"/>
  <c r="AB278" i="2"/>
  <c r="AA278" i="2"/>
  <c r="Y278" i="2"/>
  <c r="X278" i="2"/>
  <c r="S278" i="2"/>
  <c r="AD278" i="2"/>
  <c r="Z278" i="2"/>
  <c r="AE278" i="2"/>
  <c r="V278" i="2"/>
  <c r="U278" i="2"/>
  <c r="T278" i="2"/>
  <c r="W278" i="2"/>
  <c r="AC278" i="2"/>
  <c r="AR277" i="2"/>
  <c r="AO277" i="2"/>
  <c r="AQ277" i="2"/>
  <c r="AI277" i="2"/>
  <c r="J277" i="1"/>
  <c r="K277" i="1" s="1"/>
  <c r="O277" i="1" s="1"/>
  <c r="P277" i="1" s="1"/>
  <c r="Q277" i="1" s="1"/>
  <c r="R276" i="1"/>
  <c r="S276" i="1"/>
  <c r="X278" i="1"/>
  <c r="Z278" i="1"/>
  <c r="G278" i="1"/>
  <c r="I278" i="1" s="1"/>
  <c r="V279" i="1"/>
  <c r="Y279" i="1"/>
  <c r="Z279" i="1" s="1"/>
  <c r="X279" i="1"/>
  <c r="W279" i="1"/>
  <c r="D278" i="1"/>
  <c r="C278" i="1"/>
  <c r="E279" i="1"/>
  <c r="A280" i="1"/>
  <c r="H280" i="1" s="1"/>
  <c r="B279" i="1"/>
  <c r="L279" i="1" s="1"/>
  <c r="AM11" i="2" l="1"/>
  <c r="AM10" i="2" s="1"/>
  <c r="AP11" i="2"/>
  <c r="AP10" i="2" s="1"/>
  <c r="AO11" i="2"/>
  <c r="AO10" i="2" s="1"/>
  <c r="AN278" i="2"/>
  <c r="AN11" i="2" s="1"/>
  <c r="AN10" i="2" s="1"/>
  <c r="AQ278" i="2"/>
  <c r="AQ11" i="2" s="1"/>
  <c r="AQ10" i="2" s="1"/>
  <c r="AR278" i="2"/>
  <c r="AR11" i="2" s="1"/>
  <c r="AR10" i="2" s="1"/>
  <c r="AL278" i="2"/>
  <c r="AL11" i="2" s="1"/>
  <c r="AL10" i="2" s="1"/>
  <c r="AK278" i="2"/>
  <c r="AK11" i="2" s="1"/>
  <c r="AK10" i="2" s="1"/>
  <c r="J278" i="1"/>
  <c r="K278" i="1" s="1"/>
  <c r="O278" i="1" s="1"/>
  <c r="P278" i="1" s="1"/>
  <c r="Q278" i="1" s="1"/>
  <c r="R277" i="1"/>
  <c r="S277" i="1"/>
  <c r="G279" i="1"/>
  <c r="I279" i="1" s="1"/>
  <c r="V280" i="1"/>
  <c r="W280" i="1" s="1"/>
  <c r="Y280" i="1"/>
  <c r="E280" i="1"/>
  <c r="B280" i="1"/>
  <c r="L280" i="1" s="1"/>
  <c r="A281" i="1"/>
  <c r="H281" i="1" s="1"/>
  <c r="C279" i="1"/>
  <c r="D279" i="1"/>
  <c r="BB7" i="2" l="1" a="1"/>
  <c r="BB7" i="2" s="1"/>
  <c r="AY16" i="2"/>
  <c r="BB16" i="2" s="1"/>
  <c r="AY17" i="2"/>
  <c r="BB17" i="2" s="1"/>
  <c r="AY18" i="2"/>
  <c r="BB18" i="2" s="1"/>
  <c r="AY19" i="2"/>
  <c r="BB19" i="2" s="1"/>
  <c r="AY20" i="2"/>
  <c r="BB20" i="2" s="1"/>
  <c r="AY21" i="2"/>
  <c r="BB21" i="2" s="1"/>
  <c r="AY22" i="2"/>
  <c r="BB22" i="2" s="1"/>
  <c r="AY23" i="2"/>
  <c r="BB23" i="2" s="1"/>
  <c r="AY24" i="2"/>
  <c r="BB24" i="2" s="1"/>
  <c r="AY25" i="2"/>
  <c r="BB25" i="2" s="1"/>
  <c r="AY26" i="2"/>
  <c r="BB26" i="2" s="1"/>
  <c r="AY27" i="2"/>
  <c r="BB27" i="2" s="1"/>
  <c r="AY28" i="2"/>
  <c r="BB28" i="2" s="1"/>
  <c r="AY32" i="2"/>
  <c r="BB32" i="2" s="1"/>
  <c r="AY33" i="2"/>
  <c r="BB33" i="2" s="1"/>
  <c r="AY34" i="2"/>
  <c r="BB34" i="2" s="1"/>
  <c r="AY35" i="2"/>
  <c r="BB35" i="2" s="1"/>
  <c r="AY36" i="2"/>
  <c r="BB36" i="2" s="1"/>
  <c r="AY37" i="2"/>
  <c r="BB37" i="2" s="1"/>
  <c r="AY38" i="2"/>
  <c r="BB38" i="2" s="1"/>
  <c r="AY39" i="2"/>
  <c r="BB39" i="2" s="1"/>
  <c r="AY40" i="2"/>
  <c r="BB40" i="2" s="1"/>
  <c r="AY41" i="2"/>
  <c r="BB41" i="2" s="1"/>
  <c r="AY42" i="2"/>
  <c r="BB42" i="2" s="1"/>
  <c r="AY43" i="2"/>
  <c r="BB43" i="2" s="1"/>
  <c r="AY44" i="2"/>
  <c r="BB44" i="2" s="1"/>
  <c r="AY48" i="2"/>
  <c r="BB48" i="2" s="1"/>
  <c r="AY49" i="2"/>
  <c r="BB49" i="2" s="1"/>
  <c r="AY50" i="2"/>
  <c r="BB50" i="2" s="1"/>
  <c r="AY51" i="2"/>
  <c r="BB51" i="2" s="1"/>
  <c r="AY52" i="2"/>
  <c r="BB52" i="2" s="1"/>
  <c r="AY53" i="2"/>
  <c r="BB53" i="2" s="1"/>
  <c r="AY54" i="2"/>
  <c r="BB54" i="2" s="1"/>
  <c r="AY55" i="2"/>
  <c r="BB55" i="2" s="1"/>
  <c r="AY56" i="2"/>
  <c r="BB56" i="2" s="1"/>
  <c r="AY57" i="2"/>
  <c r="BB57" i="2" s="1"/>
  <c r="AY58" i="2"/>
  <c r="BB58" i="2" s="1"/>
  <c r="AY59" i="2"/>
  <c r="BB59" i="2" s="1"/>
  <c r="AY60" i="2"/>
  <c r="BB60" i="2" s="1"/>
  <c r="AY64" i="2"/>
  <c r="BB64" i="2" s="1"/>
  <c r="AY65" i="2"/>
  <c r="BB65" i="2" s="1"/>
  <c r="AY66" i="2"/>
  <c r="BB66" i="2" s="1"/>
  <c r="AY67" i="2"/>
  <c r="BB67" i="2" s="1"/>
  <c r="AY68" i="2"/>
  <c r="BB68" i="2" s="1"/>
  <c r="AY69" i="2"/>
  <c r="BB69" i="2" s="1"/>
  <c r="AY70" i="2"/>
  <c r="BB70" i="2" s="1"/>
  <c r="AY71" i="2"/>
  <c r="BB71" i="2" s="1"/>
  <c r="AY72" i="2"/>
  <c r="BB72" i="2" s="1"/>
  <c r="AY73" i="2"/>
  <c r="BB73" i="2" s="1"/>
  <c r="AY74" i="2"/>
  <c r="BB74" i="2" s="1"/>
  <c r="AY75" i="2"/>
  <c r="BB75" i="2" s="1"/>
  <c r="AY76" i="2"/>
  <c r="BB76" i="2" s="1"/>
  <c r="AY80" i="2"/>
  <c r="BB80" i="2" s="1"/>
  <c r="AY81" i="2"/>
  <c r="BB81" i="2" s="1"/>
  <c r="AY82" i="2"/>
  <c r="BB82" i="2" s="1"/>
  <c r="AY83" i="2"/>
  <c r="BB83" i="2" s="1"/>
  <c r="AY84" i="2"/>
  <c r="BB84" i="2" s="1"/>
  <c r="AY85" i="2"/>
  <c r="BB85" i="2" s="1"/>
  <c r="AY86" i="2"/>
  <c r="BB86" i="2" s="1"/>
  <c r="AY87" i="2"/>
  <c r="BB87" i="2" s="1"/>
  <c r="AY88" i="2"/>
  <c r="BB88" i="2" s="1"/>
  <c r="AY89" i="2"/>
  <c r="BB89" i="2" s="1"/>
  <c r="AY90" i="2"/>
  <c r="BB90" i="2" s="1"/>
  <c r="AY91" i="2"/>
  <c r="BB91" i="2" s="1"/>
  <c r="AY92" i="2"/>
  <c r="BB92" i="2" s="1"/>
  <c r="AY96" i="2"/>
  <c r="BB96" i="2" s="1"/>
  <c r="AY97" i="2"/>
  <c r="BB97" i="2" s="1"/>
  <c r="AY98" i="2"/>
  <c r="BB98" i="2" s="1"/>
  <c r="AY99" i="2"/>
  <c r="BB99" i="2" s="1"/>
  <c r="AY100" i="2"/>
  <c r="BB100" i="2" s="1"/>
  <c r="AY101" i="2"/>
  <c r="BB101" i="2" s="1"/>
  <c r="AY102" i="2"/>
  <c r="BB102" i="2" s="1"/>
  <c r="AY103" i="2"/>
  <c r="BB103" i="2" s="1"/>
  <c r="AY104" i="2"/>
  <c r="BB104" i="2" s="1"/>
  <c r="AY105" i="2"/>
  <c r="BB105" i="2" s="1"/>
  <c r="AY106" i="2"/>
  <c r="BB106" i="2" s="1"/>
  <c r="AY107" i="2"/>
  <c r="BB107" i="2" s="1"/>
  <c r="AY108" i="2"/>
  <c r="BB108" i="2" s="1"/>
  <c r="AY112" i="2"/>
  <c r="BB112" i="2" s="1"/>
  <c r="AY113" i="2"/>
  <c r="BB113" i="2" s="1"/>
  <c r="AY114" i="2"/>
  <c r="BB114" i="2" s="1"/>
  <c r="AY115" i="2"/>
  <c r="BB115" i="2" s="1"/>
  <c r="AY116" i="2"/>
  <c r="BB116" i="2" s="1"/>
  <c r="AY117" i="2"/>
  <c r="BB117" i="2" s="1"/>
  <c r="AY118" i="2"/>
  <c r="BB118" i="2" s="1"/>
  <c r="AY119" i="2"/>
  <c r="BB119" i="2" s="1"/>
  <c r="AY120" i="2"/>
  <c r="BB120" i="2" s="1"/>
  <c r="AY121" i="2"/>
  <c r="BB121" i="2" s="1"/>
  <c r="AY122" i="2"/>
  <c r="BB122" i="2" s="1"/>
  <c r="AY123" i="2"/>
  <c r="BB123" i="2" s="1"/>
  <c r="AY124" i="2"/>
  <c r="BB124" i="2" s="1"/>
  <c r="AY128" i="2"/>
  <c r="BB128" i="2" s="1"/>
  <c r="AY129" i="2"/>
  <c r="BB129" i="2" s="1"/>
  <c r="AY130" i="2"/>
  <c r="BB130" i="2" s="1"/>
  <c r="AY131" i="2"/>
  <c r="BB131" i="2" s="1"/>
  <c r="AY132" i="2"/>
  <c r="BB132" i="2" s="1"/>
  <c r="AY133" i="2"/>
  <c r="BB133" i="2" s="1"/>
  <c r="AY134" i="2"/>
  <c r="BB134" i="2" s="1"/>
  <c r="AY135" i="2"/>
  <c r="BB135" i="2" s="1"/>
  <c r="AY136" i="2"/>
  <c r="BB136" i="2" s="1"/>
  <c r="AY137" i="2"/>
  <c r="BB137" i="2" s="1"/>
  <c r="AY138" i="2"/>
  <c r="BB138" i="2" s="1"/>
  <c r="AY139" i="2"/>
  <c r="BB139" i="2" s="1"/>
  <c r="AY140" i="2"/>
  <c r="BB140" i="2" s="1"/>
  <c r="AY144" i="2"/>
  <c r="BB144" i="2" s="1"/>
  <c r="AY145" i="2"/>
  <c r="BB145" i="2" s="1"/>
  <c r="AY146" i="2"/>
  <c r="BB146" i="2" s="1"/>
  <c r="AY147" i="2"/>
  <c r="BB147" i="2" s="1"/>
  <c r="AY148" i="2"/>
  <c r="BB148" i="2" s="1"/>
  <c r="AY149" i="2"/>
  <c r="BB149" i="2" s="1"/>
  <c r="AY150" i="2"/>
  <c r="BB150" i="2" s="1"/>
  <c r="AY151" i="2"/>
  <c r="BB151" i="2" s="1"/>
  <c r="AY152" i="2"/>
  <c r="BB152" i="2" s="1"/>
  <c r="AY153" i="2"/>
  <c r="BB153" i="2" s="1"/>
  <c r="AY154" i="2"/>
  <c r="BB154" i="2" s="1"/>
  <c r="AY155" i="2"/>
  <c r="BB155" i="2" s="1"/>
  <c r="AY156" i="2"/>
  <c r="BB156" i="2" s="1"/>
  <c r="AY160" i="2"/>
  <c r="BB160" i="2" s="1"/>
  <c r="AY161" i="2"/>
  <c r="BB161" i="2" s="1"/>
  <c r="AY162" i="2"/>
  <c r="BB162" i="2" s="1"/>
  <c r="AY163" i="2"/>
  <c r="BB163" i="2" s="1"/>
  <c r="AY164" i="2"/>
  <c r="BB164" i="2" s="1"/>
  <c r="AY165" i="2"/>
  <c r="BB165" i="2" s="1"/>
  <c r="AY166" i="2"/>
  <c r="BB166" i="2" s="1"/>
  <c r="AY167" i="2"/>
  <c r="BB167" i="2" s="1"/>
  <c r="AY168" i="2"/>
  <c r="BB168" i="2" s="1"/>
  <c r="AY169" i="2"/>
  <c r="BB169" i="2" s="1"/>
  <c r="AY170" i="2"/>
  <c r="BB170" i="2" s="1"/>
  <c r="AY171" i="2"/>
  <c r="BB171" i="2" s="1"/>
  <c r="AY172" i="2"/>
  <c r="BB172" i="2" s="1"/>
  <c r="AY176" i="2"/>
  <c r="BB176" i="2" s="1"/>
  <c r="AY177" i="2"/>
  <c r="BB177" i="2" s="1"/>
  <c r="AY178" i="2"/>
  <c r="BB178" i="2" s="1"/>
  <c r="AY179" i="2"/>
  <c r="BB179" i="2" s="1"/>
  <c r="AY180" i="2"/>
  <c r="BB180" i="2" s="1"/>
  <c r="AY181" i="2"/>
  <c r="BB181" i="2" s="1"/>
  <c r="AY182" i="2"/>
  <c r="BB182" i="2" s="1"/>
  <c r="AY183" i="2"/>
  <c r="BB183" i="2" s="1"/>
  <c r="AY184" i="2"/>
  <c r="BB184" i="2" s="1"/>
  <c r="AY185" i="2"/>
  <c r="BB185" i="2" s="1"/>
  <c r="AY186" i="2"/>
  <c r="BB186" i="2" s="1"/>
  <c r="AY187" i="2"/>
  <c r="BB187" i="2" s="1"/>
  <c r="AY188" i="2"/>
  <c r="BB188" i="2" s="1"/>
  <c r="AY192" i="2"/>
  <c r="BB192" i="2" s="1"/>
  <c r="AY193" i="2"/>
  <c r="BB193" i="2" s="1"/>
  <c r="AY194" i="2"/>
  <c r="BB194" i="2" s="1"/>
  <c r="AY195" i="2"/>
  <c r="BB195" i="2" s="1"/>
  <c r="AY196" i="2"/>
  <c r="BB196" i="2" s="1"/>
  <c r="AY197" i="2"/>
  <c r="BB197" i="2" s="1"/>
  <c r="AY198" i="2"/>
  <c r="BB198" i="2" s="1"/>
  <c r="AY199" i="2"/>
  <c r="BB199" i="2" s="1"/>
  <c r="AY200" i="2"/>
  <c r="BB200" i="2" s="1"/>
  <c r="AY201" i="2"/>
  <c r="BB201" i="2" s="1"/>
  <c r="AY202" i="2"/>
  <c r="BB202" i="2" s="1"/>
  <c r="AY203" i="2"/>
  <c r="BB203" i="2" s="1"/>
  <c r="AY204" i="2"/>
  <c r="BB204" i="2" s="1"/>
  <c r="AY208" i="2"/>
  <c r="BB208" i="2" s="1"/>
  <c r="AY209" i="2"/>
  <c r="BB209" i="2" s="1"/>
  <c r="AY210" i="2"/>
  <c r="BB210" i="2" s="1"/>
  <c r="AY211" i="2"/>
  <c r="BB211" i="2" s="1"/>
  <c r="AY212" i="2"/>
  <c r="BB212" i="2" s="1"/>
  <c r="AY213" i="2"/>
  <c r="BB213" i="2" s="1"/>
  <c r="AY214" i="2"/>
  <c r="BB214" i="2" s="1"/>
  <c r="AY215" i="2"/>
  <c r="BB215" i="2" s="1"/>
  <c r="AY216" i="2"/>
  <c r="BB216" i="2" s="1"/>
  <c r="AY217" i="2"/>
  <c r="BB217" i="2" s="1"/>
  <c r="AY218" i="2"/>
  <c r="BB218" i="2" s="1"/>
  <c r="AY219" i="2"/>
  <c r="BB219" i="2" s="1"/>
  <c r="AY220" i="2"/>
  <c r="BB220" i="2" s="1"/>
  <c r="AY224" i="2"/>
  <c r="BB224" i="2" s="1"/>
  <c r="AY225" i="2"/>
  <c r="BB225" i="2" s="1"/>
  <c r="AY226" i="2"/>
  <c r="BB226" i="2" s="1"/>
  <c r="AY227" i="2"/>
  <c r="BB227" i="2" s="1"/>
  <c r="AY228" i="2"/>
  <c r="BB228" i="2" s="1"/>
  <c r="AY229" i="2"/>
  <c r="BB229" i="2" s="1"/>
  <c r="AY230" i="2"/>
  <c r="BB230" i="2" s="1"/>
  <c r="AY231" i="2"/>
  <c r="BB231" i="2" s="1"/>
  <c r="AY232" i="2"/>
  <c r="BB232" i="2" s="1"/>
  <c r="AY233" i="2"/>
  <c r="BB233" i="2" s="1"/>
  <c r="AY234" i="2"/>
  <c r="BB234" i="2" s="1"/>
  <c r="AY235" i="2"/>
  <c r="BB235" i="2" s="1"/>
  <c r="AY236" i="2"/>
  <c r="BB236" i="2" s="1"/>
  <c r="AY240" i="2"/>
  <c r="BB240" i="2" s="1"/>
  <c r="AY241" i="2"/>
  <c r="BB241" i="2" s="1"/>
  <c r="AY242" i="2"/>
  <c r="BB242" i="2" s="1"/>
  <c r="AY243" i="2"/>
  <c r="BB243" i="2" s="1"/>
  <c r="AY244" i="2"/>
  <c r="BB244" i="2" s="1"/>
  <c r="AY245" i="2"/>
  <c r="BB245" i="2" s="1"/>
  <c r="AY246" i="2"/>
  <c r="BB246" i="2" s="1"/>
  <c r="AY247" i="2"/>
  <c r="BB247" i="2" s="1"/>
  <c r="AY248" i="2"/>
  <c r="BB248" i="2" s="1"/>
  <c r="AY249" i="2"/>
  <c r="BB249" i="2" s="1"/>
  <c r="AY250" i="2"/>
  <c r="BB250" i="2" s="1"/>
  <c r="AY251" i="2"/>
  <c r="BB251" i="2" s="1"/>
  <c r="AY252" i="2"/>
  <c r="BB252" i="2" s="1"/>
  <c r="AY253" i="2"/>
  <c r="BB253" i="2" s="1"/>
  <c r="AY254" i="2"/>
  <c r="BB254" i="2" s="1"/>
  <c r="AY255" i="2"/>
  <c r="BB255" i="2" s="1"/>
  <c r="AY256" i="2"/>
  <c r="BB256" i="2" s="1"/>
  <c r="AY257" i="2"/>
  <c r="BB257" i="2" s="1"/>
  <c r="AY258" i="2"/>
  <c r="BB258" i="2" s="1"/>
  <c r="AY259" i="2"/>
  <c r="BB259" i="2" s="1"/>
  <c r="AY260" i="2"/>
  <c r="BB260" i="2" s="1"/>
  <c r="AY261" i="2"/>
  <c r="BB261" i="2" s="1"/>
  <c r="AY262" i="2"/>
  <c r="BB262" i="2" s="1"/>
  <c r="AY263" i="2"/>
  <c r="BB263" i="2" s="1"/>
  <c r="AY264" i="2"/>
  <c r="BB264" i="2" s="1"/>
  <c r="AY265" i="2"/>
  <c r="BB265" i="2" s="1"/>
  <c r="AY266" i="2"/>
  <c r="BB266" i="2" s="1"/>
  <c r="AY267" i="2"/>
  <c r="BB267" i="2" s="1"/>
  <c r="AY268" i="2"/>
  <c r="BB268" i="2" s="1"/>
  <c r="AY269" i="2"/>
  <c r="BB269" i="2" s="1"/>
  <c r="AY270" i="2"/>
  <c r="BB270" i="2" s="1"/>
  <c r="AY271" i="2"/>
  <c r="BB271" i="2" s="1"/>
  <c r="AY272" i="2"/>
  <c r="BB272" i="2" s="1"/>
  <c r="AY273" i="2"/>
  <c r="BB273" i="2" s="1"/>
  <c r="AY274" i="2"/>
  <c r="BB274" i="2" s="1"/>
  <c r="AY275" i="2"/>
  <c r="BB275" i="2" s="1"/>
  <c r="AY276" i="2"/>
  <c r="BB276" i="2" s="1"/>
  <c r="AY277" i="2"/>
  <c r="BB277" i="2" s="1"/>
  <c r="AX7" i="2" a="1"/>
  <c r="AX7" i="2" s="1"/>
  <c r="AY278" i="2"/>
  <c r="BB278" i="2" s="1"/>
  <c r="J279" i="1"/>
  <c r="K279" i="1" s="1"/>
  <c r="O279" i="1" s="1"/>
  <c r="P279" i="1" s="1"/>
  <c r="Q279" i="1" s="1"/>
  <c r="R278" i="1"/>
  <c r="S278" i="1"/>
  <c r="X280" i="1"/>
  <c r="Z280" i="1"/>
  <c r="G280" i="1"/>
  <c r="I280" i="1" s="1"/>
  <c r="V281" i="1"/>
  <c r="X281" i="1" s="1"/>
  <c r="Y281" i="1"/>
  <c r="Z281" i="1" s="1"/>
  <c r="E281" i="1"/>
  <c r="B281" i="1"/>
  <c r="L281" i="1" s="1"/>
  <c r="A282" i="1"/>
  <c r="H282" i="1" s="1"/>
  <c r="D280" i="1"/>
  <c r="C280" i="1"/>
  <c r="AY239" i="2" l="1"/>
  <c r="BB239" i="2" s="1"/>
  <c r="AY223" i="2"/>
  <c r="BB223" i="2" s="1"/>
  <c r="AY207" i="2"/>
  <c r="BB207" i="2" s="1"/>
  <c r="AY191" i="2"/>
  <c r="BB191" i="2" s="1"/>
  <c r="AY175" i="2"/>
  <c r="BB175" i="2" s="1"/>
  <c r="AY159" i="2"/>
  <c r="BB159" i="2" s="1"/>
  <c r="AY143" i="2"/>
  <c r="BB143" i="2" s="1"/>
  <c r="AY127" i="2"/>
  <c r="BB127" i="2" s="1"/>
  <c r="AY111" i="2"/>
  <c r="BB111" i="2" s="1"/>
  <c r="AY95" i="2"/>
  <c r="BB95" i="2" s="1"/>
  <c r="AY79" i="2"/>
  <c r="BB79" i="2" s="1"/>
  <c r="AY63" i="2"/>
  <c r="BB63" i="2" s="1"/>
  <c r="AY47" i="2"/>
  <c r="BB47" i="2" s="1"/>
  <c r="AY31" i="2"/>
  <c r="BB31" i="2" s="1"/>
  <c r="AY15" i="2"/>
  <c r="BB15" i="2" s="1"/>
  <c r="AY238" i="2"/>
  <c r="BB238" i="2" s="1"/>
  <c r="AY222" i="2"/>
  <c r="BB222" i="2" s="1"/>
  <c r="AY206" i="2"/>
  <c r="BB206" i="2" s="1"/>
  <c r="AY190" i="2"/>
  <c r="BB190" i="2" s="1"/>
  <c r="AY174" i="2"/>
  <c r="BB174" i="2" s="1"/>
  <c r="AY158" i="2"/>
  <c r="BB158" i="2" s="1"/>
  <c r="AY142" i="2"/>
  <c r="BB142" i="2" s="1"/>
  <c r="AY126" i="2"/>
  <c r="BB126" i="2" s="1"/>
  <c r="AY110" i="2"/>
  <c r="BB110" i="2" s="1"/>
  <c r="AY94" i="2"/>
  <c r="BB94" i="2" s="1"/>
  <c r="AY78" i="2"/>
  <c r="BB78" i="2" s="1"/>
  <c r="AY62" i="2"/>
  <c r="BB62" i="2" s="1"/>
  <c r="AY46" i="2"/>
  <c r="BB46" i="2" s="1"/>
  <c r="AY30" i="2"/>
  <c r="BB30" i="2" s="1"/>
  <c r="AY14" i="2"/>
  <c r="BB14" i="2" s="1"/>
  <c r="AY237" i="2"/>
  <c r="BB237" i="2" s="1"/>
  <c r="AY221" i="2"/>
  <c r="BB221" i="2" s="1"/>
  <c r="AY205" i="2"/>
  <c r="BB205" i="2" s="1"/>
  <c r="AY189" i="2"/>
  <c r="BB189" i="2" s="1"/>
  <c r="AY173" i="2"/>
  <c r="BB173" i="2" s="1"/>
  <c r="AY157" i="2"/>
  <c r="BB157" i="2" s="1"/>
  <c r="AY141" i="2"/>
  <c r="BB141" i="2" s="1"/>
  <c r="AY125" i="2"/>
  <c r="BB125" i="2" s="1"/>
  <c r="AY109" i="2"/>
  <c r="BB109" i="2" s="1"/>
  <c r="AY93" i="2"/>
  <c r="BB93" i="2" s="1"/>
  <c r="AY77" i="2"/>
  <c r="BB77" i="2" s="1"/>
  <c r="AY61" i="2"/>
  <c r="BB61" i="2" s="1"/>
  <c r="AY45" i="2"/>
  <c r="BB45" i="2" s="1"/>
  <c r="AY29" i="2"/>
  <c r="BB29" i="2" s="1"/>
  <c r="AZ266" i="2"/>
  <c r="BA266" i="2" s="1"/>
  <c r="AZ250" i="2"/>
  <c r="BA250" i="2" s="1"/>
  <c r="AZ234" i="2"/>
  <c r="BA234" i="2" s="1"/>
  <c r="AZ218" i="2"/>
  <c r="BA218" i="2" s="1"/>
  <c r="AZ202" i="2"/>
  <c r="BA202" i="2" s="1"/>
  <c r="AZ186" i="2"/>
  <c r="BA186" i="2" s="1"/>
  <c r="AZ170" i="2"/>
  <c r="BA170" i="2" s="1"/>
  <c r="AZ154" i="2"/>
  <c r="BA154" i="2" s="1"/>
  <c r="AZ138" i="2"/>
  <c r="BA138" i="2" s="1"/>
  <c r="AZ122" i="2"/>
  <c r="BA122" i="2" s="1"/>
  <c r="AZ106" i="2"/>
  <c r="BA106" i="2" s="1"/>
  <c r="AZ90" i="2"/>
  <c r="BA90" i="2" s="1"/>
  <c r="AZ74" i="2"/>
  <c r="BA74" i="2" s="1"/>
  <c r="AZ58" i="2"/>
  <c r="BA58" i="2" s="1"/>
  <c r="AZ42" i="2"/>
  <c r="BA42" i="2" s="1"/>
  <c r="AZ26" i="2"/>
  <c r="BA26" i="2" s="1"/>
  <c r="AZ264" i="2"/>
  <c r="BA264" i="2" s="1"/>
  <c r="AZ248" i="2"/>
  <c r="BA248" i="2" s="1"/>
  <c r="AZ232" i="2"/>
  <c r="BA232" i="2" s="1"/>
  <c r="AZ216" i="2"/>
  <c r="BA216" i="2" s="1"/>
  <c r="AZ200" i="2"/>
  <c r="BA200" i="2" s="1"/>
  <c r="AZ184" i="2"/>
  <c r="BA184" i="2" s="1"/>
  <c r="AZ168" i="2"/>
  <c r="BA168" i="2" s="1"/>
  <c r="AZ152" i="2"/>
  <c r="BA152" i="2" s="1"/>
  <c r="AZ136" i="2"/>
  <c r="BA136" i="2" s="1"/>
  <c r="AZ120" i="2"/>
  <c r="BA120" i="2" s="1"/>
  <c r="AZ104" i="2"/>
  <c r="BA104" i="2" s="1"/>
  <c r="AZ88" i="2"/>
  <c r="BA88" i="2" s="1"/>
  <c r="AZ72" i="2"/>
  <c r="BA72" i="2" s="1"/>
  <c r="AZ56" i="2"/>
  <c r="BA56" i="2" s="1"/>
  <c r="AZ40" i="2"/>
  <c r="BA40" i="2" s="1"/>
  <c r="AZ24" i="2"/>
  <c r="BA24" i="2" s="1"/>
  <c r="AZ231" i="2"/>
  <c r="BA231" i="2" s="1"/>
  <c r="AZ199" i="2"/>
  <c r="BA199" i="2" s="1"/>
  <c r="AZ167" i="2"/>
  <c r="BA167" i="2" s="1"/>
  <c r="AZ135" i="2"/>
  <c r="BA135" i="2" s="1"/>
  <c r="AZ87" i="2"/>
  <c r="BA87" i="2" s="1"/>
  <c r="AZ55" i="2"/>
  <c r="BA55" i="2" s="1"/>
  <c r="AZ23" i="2"/>
  <c r="BA23" i="2" s="1"/>
  <c r="AZ243" i="2"/>
  <c r="BA243" i="2" s="1"/>
  <c r="AZ195" i="2"/>
  <c r="BA195" i="2" s="1"/>
  <c r="AZ179" i="2"/>
  <c r="BA179" i="2" s="1"/>
  <c r="AZ263" i="2"/>
  <c r="BA263" i="2" s="1"/>
  <c r="AZ247" i="2"/>
  <c r="BA247" i="2" s="1"/>
  <c r="AZ215" i="2"/>
  <c r="BA215" i="2" s="1"/>
  <c r="AZ183" i="2"/>
  <c r="BA183" i="2" s="1"/>
  <c r="AZ151" i="2"/>
  <c r="BA151" i="2" s="1"/>
  <c r="AZ119" i="2"/>
  <c r="BA119" i="2" s="1"/>
  <c r="AZ103" i="2"/>
  <c r="BA103" i="2" s="1"/>
  <c r="AZ71" i="2"/>
  <c r="BA71" i="2" s="1"/>
  <c r="AZ39" i="2"/>
  <c r="BA39" i="2" s="1"/>
  <c r="AZ278" i="2"/>
  <c r="BA278" i="2" s="1"/>
  <c r="AZ262" i="2"/>
  <c r="BA262" i="2" s="1"/>
  <c r="AZ246" i="2"/>
  <c r="BA246" i="2" s="1"/>
  <c r="AZ230" i="2"/>
  <c r="BA230" i="2" s="1"/>
  <c r="AZ214" i="2"/>
  <c r="BA214" i="2" s="1"/>
  <c r="AZ198" i="2"/>
  <c r="BA198" i="2" s="1"/>
  <c r="AZ182" i="2"/>
  <c r="BA182" i="2" s="1"/>
  <c r="AZ166" i="2"/>
  <c r="BA166" i="2" s="1"/>
  <c r="AZ150" i="2"/>
  <c r="BA150" i="2" s="1"/>
  <c r="AZ134" i="2"/>
  <c r="BA134" i="2" s="1"/>
  <c r="AZ118" i="2"/>
  <c r="BA118" i="2" s="1"/>
  <c r="AZ102" i="2"/>
  <c r="BA102" i="2" s="1"/>
  <c r="AZ86" i="2"/>
  <c r="BA86" i="2" s="1"/>
  <c r="AZ70" i="2"/>
  <c r="BA70" i="2" s="1"/>
  <c r="AZ54" i="2"/>
  <c r="BA54" i="2" s="1"/>
  <c r="AZ38" i="2"/>
  <c r="BA38" i="2" s="1"/>
  <c r="AZ22" i="2"/>
  <c r="BA22" i="2" s="1"/>
  <c r="AZ277" i="2"/>
  <c r="BA277" i="2" s="1"/>
  <c r="AZ261" i="2"/>
  <c r="BA261" i="2" s="1"/>
  <c r="AZ245" i="2"/>
  <c r="BA245" i="2" s="1"/>
  <c r="AZ229" i="2"/>
  <c r="BA229" i="2" s="1"/>
  <c r="AZ213" i="2"/>
  <c r="BA213" i="2" s="1"/>
  <c r="AZ197" i="2"/>
  <c r="BA197" i="2" s="1"/>
  <c r="AZ181" i="2"/>
  <c r="BA181" i="2" s="1"/>
  <c r="AZ165" i="2"/>
  <c r="BA165" i="2" s="1"/>
  <c r="AZ149" i="2"/>
  <c r="BA149" i="2" s="1"/>
  <c r="AZ133" i="2"/>
  <c r="BA133" i="2" s="1"/>
  <c r="AZ117" i="2"/>
  <c r="BA117" i="2" s="1"/>
  <c r="AZ101" i="2"/>
  <c r="BA101" i="2" s="1"/>
  <c r="AZ85" i="2"/>
  <c r="BA85" i="2" s="1"/>
  <c r="AZ69" i="2"/>
  <c r="BA69" i="2" s="1"/>
  <c r="AZ53" i="2"/>
  <c r="BA53" i="2" s="1"/>
  <c r="AZ37" i="2"/>
  <c r="BA37" i="2" s="1"/>
  <c r="AZ21" i="2"/>
  <c r="BA21" i="2" s="1"/>
  <c r="AZ276" i="2"/>
  <c r="BA276" i="2" s="1"/>
  <c r="AZ260" i="2"/>
  <c r="BA260" i="2" s="1"/>
  <c r="AZ244" i="2"/>
  <c r="BA244" i="2" s="1"/>
  <c r="AZ228" i="2"/>
  <c r="BA228" i="2" s="1"/>
  <c r="AZ212" i="2"/>
  <c r="BA212" i="2" s="1"/>
  <c r="AZ196" i="2"/>
  <c r="BA196" i="2" s="1"/>
  <c r="AZ180" i="2"/>
  <c r="BA180" i="2" s="1"/>
  <c r="AZ164" i="2"/>
  <c r="BA164" i="2" s="1"/>
  <c r="AZ148" i="2"/>
  <c r="BA148" i="2" s="1"/>
  <c r="AZ132" i="2"/>
  <c r="BA132" i="2" s="1"/>
  <c r="AZ116" i="2"/>
  <c r="BA116" i="2" s="1"/>
  <c r="AZ100" i="2"/>
  <c r="BA100" i="2" s="1"/>
  <c r="AZ84" i="2"/>
  <c r="BA84" i="2" s="1"/>
  <c r="AZ68" i="2"/>
  <c r="BA68" i="2" s="1"/>
  <c r="AZ52" i="2"/>
  <c r="BA52" i="2" s="1"/>
  <c r="AZ36" i="2"/>
  <c r="BA36" i="2" s="1"/>
  <c r="AZ20" i="2"/>
  <c r="BA20" i="2" s="1"/>
  <c r="AZ275" i="2"/>
  <c r="BA275" i="2" s="1"/>
  <c r="AZ259" i="2"/>
  <c r="BA259" i="2" s="1"/>
  <c r="AZ227" i="2"/>
  <c r="BA227" i="2" s="1"/>
  <c r="AZ269" i="2"/>
  <c r="BA269" i="2" s="1"/>
  <c r="AZ239" i="2"/>
  <c r="BA239" i="2" s="1"/>
  <c r="AZ210" i="2"/>
  <c r="BA210" i="2" s="1"/>
  <c r="AZ187" i="2"/>
  <c r="BA187" i="2" s="1"/>
  <c r="AZ158" i="2"/>
  <c r="BA158" i="2" s="1"/>
  <c r="AZ130" i="2"/>
  <c r="BA130" i="2" s="1"/>
  <c r="AZ108" i="2"/>
  <c r="BA108" i="2" s="1"/>
  <c r="AZ80" i="2"/>
  <c r="BA80" i="2" s="1"/>
  <c r="AZ57" i="2"/>
  <c r="BA57" i="2" s="1"/>
  <c r="AZ30" i="2"/>
  <c r="BA30" i="2" s="1"/>
  <c r="AZ268" i="2"/>
  <c r="BA268" i="2" s="1"/>
  <c r="AZ209" i="2"/>
  <c r="BA209" i="2" s="1"/>
  <c r="AZ185" i="2"/>
  <c r="BA185" i="2" s="1"/>
  <c r="AZ157" i="2"/>
  <c r="BA157" i="2" s="1"/>
  <c r="AZ129" i="2"/>
  <c r="BA129" i="2" s="1"/>
  <c r="AZ107" i="2"/>
  <c r="BA107" i="2" s="1"/>
  <c r="AZ51" i="2"/>
  <c r="BA51" i="2" s="1"/>
  <c r="AZ207" i="2"/>
  <c r="BA207" i="2" s="1"/>
  <c r="AZ127" i="2"/>
  <c r="BA127" i="2" s="1"/>
  <c r="AZ77" i="2"/>
  <c r="BA77" i="2" s="1"/>
  <c r="AZ27" i="2"/>
  <c r="BA27" i="2" s="1"/>
  <c r="AZ226" i="2"/>
  <c r="BA226" i="2" s="1"/>
  <c r="AZ73" i="2"/>
  <c r="BA73" i="2" s="1"/>
  <c r="AZ257" i="2"/>
  <c r="BA257" i="2" s="1"/>
  <c r="AZ203" i="2"/>
  <c r="BA203" i="2" s="1"/>
  <c r="AZ267" i="2"/>
  <c r="BA267" i="2" s="1"/>
  <c r="AZ208" i="2"/>
  <c r="BA208" i="2" s="1"/>
  <c r="AZ178" i="2"/>
  <c r="BA178" i="2" s="1"/>
  <c r="AZ156" i="2"/>
  <c r="BA156" i="2" s="1"/>
  <c r="AZ128" i="2"/>
  <c r="BA128" i="2" s="1"/>
  <c r="AZ105" i="2"/>
  <c r="BA105" i="2" s="1"/>
  <c r="AZ78" i="2"/>
  <c r="AZ50" i="2"/>
  <c r="BA50" i="2" s="1"/>
  <c r="AZ28" i="2"/>
  <c r="BA28" i="2" s="1"/>
  <c r="AZ265" i="2"/>
  <c r="BA265" i="2" s="1"/>
  <c r="AZ236" i="2"/>
  <c r="BA236" i="2" s="1"/>
  <c r="AZ177" i="2"/>
  <c r="BA177" i="2" s="1"/>
  <c r="AZ155" i="2"/>
  <c r="BA155" i="2" s="1"/>
  <c r="AZ99" i="2"/>
  <c r="BA99" i="2" s="1"/>
  <c r="AZ49" i="2"/>
  <c r="BA49" i="2" s="1"/>
  <c r="AZ258" i="2"/>
  <c r="BA258" i="2" s="1"/>
  <c r="AZ235" i="2"/>
  <c r="BA235" i="2" s="1"/>
  <c r="AZ206" i="2"/>
  <c r="BA206" i="2" s="1"/>
  <c r="AZ176" i="2"/>
  <c r="BA176" i="2" s="1"/>
  <c r="AZ153" i="2"/>
  <c r="BA153" i="2" s="1"/>
  <c r="AZ126" i="2"/>
  <c r="BA126" i="2" s="1"/>
  <c r="AZ98" i="2"/>
  <c r="BA98" i="2" s="1"/>
  <c r="AZ76" i="2"/>
  <c r="BA76" i="2" s="1"/>
  <c r="AZ48" i="2"/>
  <c r="BA48" i="2" s="1"/>
  <c r="AZ25" i="2"/>
  <c r="BA25" i="2" s="1"/>
  <c r="AZ205" i="2"/>
  <c r="BA205" i="2" s="1"/>
  <c r="AZ175" i="2"/>
  <c r="BA175" i="2" s="1"/>
  <c r="AZ147" i="2"/>
  <c r="BA147" i="2" s="1"/>
  <c r="AZ97" i="2"/>
  <c r="BA97" i="2" s="1"/>
  <c r="AZ75" i="2"/>
  <c r="BA75" i="2" s="1"/>
  <c r="AZ19" i="2"/>
  <c r="BA19" i="2" s="1"/>
  <c r="AZ256" i="2"/>
  <c r="BA256" i="2" s="1"/>
  <c r="AZ204" i="2"/>
  <c r="BA204" i="2" s="1"/>
  <c r="AZ174" i="2"/>
  <c r="BA174" i="2" s="1"/>
  <c r="AZ146" i="2"/>
  <c r="BA146" i="2" s="1"/>
  <c r="AZ124" i="2"/>
  <c r="BA124" i="2" s="1"/>
  <c r="AZ173" i="2"/>
  <c r="BA173" i="2" s="1"/>
  <c r="AZ67" i="2"/>
  <c r="BA67" i="2" s="1"/>
  <c r="AZ233" i="2"/>
  <c r="BA233" i="2" s="1"/>
  <c r="AZ96" i="2"/>
  <c r="BA96" i="2" s="1"/>
  <c r="AZ255" i="2"/>
  <c r="BA255" i="2" s="1"/>
  <c r="AZ145" i="2"/>
  <c r="BA145" i="2" s="1"/>
  <c r="AZ18" i="2"/>
  <c r="BA18" i="2" s="1"/>
  <c r="AZ225" i="2"/>
  <c r="BA225" i="2" s="1"/>
  <c r="AZ123" i="2"/>
  <c r="BA123" i="2" s="1"/>
  <c r="AZ17" i="2"/>
  <c r="BA17" i="2" s="1"/>
  <c r="AZ274" i="2"/>
  <c r="BA274" i="2" s="1"/>
  <c r="AZ251" i="2"/>
  <c r="BA251" i="2" s="1"/>
  <c r="AZ192" i="2"/>
  <c r="BA192" i="2" s="1"/>
  <c r="AZ163" i="2"/>
  <c r="BA163" i="2" s="1"/>
  <c r="AZ141" i="2"/>
  <c r="BA141" i="2" s="1"/>
  <c r="AZ113" i="2"/>
  <c r="BA113" i="2" s="1"/>
  <c r="AZ91" i="2"/>
  <c r="BA91" i="2" s="1"/>
  <c r="AZ63" i="2"/>
  <c r="AZ35" i="2"/>
  <c r="BA35" i="2" s="1"/>
  <c r="AZ223" i="2"/>
  <c r="BA223" i="2" s="1"/>
  <c r="AZ162" i="2"/>
  <c r="BA162" i="2" s="1"/>
  <c r="AZ44" i="2"/>
  <c r="BA44" i="2" s="1"/>
  <c r="AZ140" i="2"/>
  <c r="BA140" i="2" s="1"/>
  <c r="AZ82" i="2"/>
  <c r="BA82" i="2" s="1"/>
  <c r="AZ16" i="2"/>
  <c r="BA16" i="2" s="1"/>
  <c r="AZ193" i="2"/>
  <c r="BA193" i="2" s="1"/>
  <c r="AZ253" i="2"/>
  <c r="BA253" i="2" s="1"/>
  <c r="AZ191" i="2"/>
  <c r="BA191" i="2" s="1"/>
  <c r="AZ66" i="2"/>
  <c r="BA66" i="2" s="1"/>
  <c r="AZ190" i="2"/>
  <c r="BA190" i="2" s="1"/>
  <c r="AZ131" i="2"/>
  <c r="BA131" i="2" s="1"/>
  <c r="AZ189" i="2"/>
  <c r="BA189" i="2" s="1"/>
  <c r="AZ242" i="2"/>
  <c r="BA242" i="2" s="1"/>
  <c r="AZ188" i="2"/>
  <c r="BA188" i="2" s="1"/>
  <c r="AZ171" i="2"/>
  <c r="BA171" i="2" s="1"/>
  <c r="AZ60" i="2"/>
  <c r="BA60" i="2" s="1"/>
  <c r="AZ222" i="2"/>
  <c r="BA222" i="2" s="1"/>
  <c r="AZ161" i="2"/>
  <c r="BA161" i="2" s="1"/>
  <c r="AZ43" i="2"/>
  <c r="BA43" i="2" s="1"/>
  <c r="AZ137" i="2"/>
  <c r="BA137" i="2" s="1"/>
  <c r="AZ252" i="2"/>
  <c r="BA252" i="2" s="1"/>
  <c r="AZ115" i="2"/>
  <c r="BA115" i="2" s="1"/>
  <c r="AZ241" i="2"/>
  <c r="BA241" i="2" s="1"/>
  <c r="AZ61" i="2"/>
  <c r="BA61" i="2" s="1"/>
  <c r="AZ240" i="2"/>
  <c r="BA240" i="2" s="1"/>
  <c r="AZ112" i="2"/>
  <c r="BA112" i="2" s="1"/>
  <c r="AZ220" i="2"/>
  <c r="BA220" i="2" s="1"/>
  <c r="AZ160" i="2"/>
  <c r="BA160" i="2" s="1"/>
  <c r="AZ41" i="2"/>
  <c r="BA41" i="2" s="1"/>
  <c r="AZ34" i="2"/>
  <c r="BA34" i="2" s="1"/>
  <c r="AZ219" i="2"/>
  <c r="BA219" i="2" s="1"/>
  <c r="AZ254" i="2"/>
  <c r="BA254" i="2" s="1"/>
  <c r="AZ81" i="2"/>
  <c r="BA81" i="2" s="1"/>
  <c r="AZ249" i="2"/>
  <c r="BA249" i="2" s="1"/>
  <c r="AZ121" i="2"/>
  <c r="BA121" i="2" s="1"/>
  <c r="AZ64" i="2"/>
  <c r="BA64" i="2" s="1"/>
  <c r="AZ169" i="2"/>
  <c r="BA169" i="2" s="1"/>
  <c r="AZ273" i="2"/>
  <c r="BA273" i="2" s="1"/>
  <c r="AZ217" i="2"/>
  <c r="BA217" i="2" s="1"/>
  <c r="AZ144" i="2"/>
  <c r="BA144" i="2" s="1"/>
  <c r="AZ92" i="2"/>
  <c r="BA92" i="2" s="1"/>
  <c r="AZ33" i="2"/>
  <c r="BA33" i="2" s="1"/>
  <c r="AZ272" i="2"/>
  <c r="BA272" i="2" s="1"/>
  <c r="AZ211" i="2"/>
  <c r="BA211" i="2" s="1"/>
  <c r="AZ89" i="2"/>
  <c r="BA89" i="2" s="1"/>
  <c r="AZ32" i="2"/>
  <c r="BA32" i="2" s="1"/>
  <c r="AZ271" i="2"/>
  <c r="BA271" i="2" s="1"/>
  <c r="AZ201" i="2"/>
  <c r="BA201" i="2" s="1"/>
  <c r="AZ142" i="2"/>
  <c r="BA142" i="2" s="1"/>
  <c r="AZ83" i="2"/>
  <c r="BA83" i="2" s="1"/>
  <c r="AZ270" i="2"/>
  <c r="BA270" i="2" s="1"/>
  <c r="AZ139" i="2"/>
  <c r="BA139" i="2" s="1"/>
  <c r="AZ65" i="2"/>
  <c r="BA65" i="2" s="1"/>
  <c r="AZ62" i="2"/>
  <c r="BA62" i="2" s="1"/>
  <c r="AZ172" i="2"/>
  <c r="BA172" i="2" s="1"/>
  <c r="AZ114" i="2"/>
  <c r="BA114" i="2" s="1"/>
  <c r="AZ224" i="2"/>
  <c r="BA224" i="2" s="1"/>
  <c r="AZ59" i="2"/>
  <c r="BA59" i="2" s="1"/>
  <c r="AZ194" i="2"/>
  <c r="BA194" i="2" s="1"/>
  <c r="AZ13" i="2"/>
  <c r="AY13" i="2"/>
  <c r="BB13" i="2" s="1"/>
  <c r="J280" i="1"/>
  <c r="K280" i="1" s="1"/>
  <c r="O280" i="1" s="1"/>
  <c r="R279" i="1"/>
  <c r="S279" i="1"/>
  <c r="G281" i="1"/>
  <c r="I281" i="1" s="1"/>
  <c r="W281" i="1"/>
  <c r="V282" i="1"/>
  <c r="Y282" i="1"/>
  <c r="Z282" i="1" s="1"/>
  <c r="X282" i="1"/>
  <c r="W282" i="1"/>
  <c r="D281" i="1"/>
  <c r="C281" i="1"/>
  <c r="E282" i="1"/>
  <c r="B282" i="1"/>
  <c r="L282" i="1" s="1"/>
  <c r="A283" i="1"/>
  <c r="H283" i="1" s="1"/>
  <c r="BA78" i="2" l="1"/>
  <c r="BA63" i="2"/>
  <c r="AZ15" i="2"/>
  <c r="BA15" i="2" s="1"/>
  <c r="AZ109" i="2"/>
  <c r="BA109" i="2" s="1"/>
  <c r="AZ46" i="2"/>
  <c r="BA46" i="2" s="1"/>
  <c r="AZ143" i="2"/>
  <c r="BA143" i="2" s="1"/>
  <c r="AZ95" i="2"/>
  <c r="BA95" i="2" s="1"/>
  <c r="AZ29" i="2"/>
  <c r="BA29" i="2" s="1"/>
  <c r="AZ93" i="2"/>
  <c r="BA93" i="2" s="1"/>
  <c r="AZ237" i="2"/>
  <c r="BA237" i="2" s="1"/>
  <c r="AZ14" i="2"/>
  <c r="BA14" i="2" s="1"/>
  <c r="AZ31" i="2"/>
  <c r="BA31" i="2" s="1"/>
  <c r="AZ159" i="2"/>
  <c r="BA159" i="2" s="1"/>
  <c r="AZ111" i="2"/>
  <c r="BA111" i="2" s="1"/>
  <c r="AZ221" i="2"/>
  <c r="BA221" i="2" s="1"/>
  <c r="AZ110" i="2"/>
  <c r="BA110" i="2" s="1"/>
  <c r="AZ47" i="2"/>
  <c r="BA47" i="2" s="1"/>
  <c r="AZ79" i="2"/>
  <c r="BA79" i="2" s="1"/>
  <c r="AZ94" i="2"/>
  <c r="BA94" i="2" s="1"/>
  <c r="AZ45" i="2"/>
  <c r="BA45" i="2" s="1"/>
  <c r="AZ125" i="2"/>
  <c r="BA125" i="2" s="1"/>
  <c r="AZ238" i="2"/>
  <c r="BA238" i="2" s="1"/>
  <c r="BA13" i="2"/>
  <c r="P280" i="1"/>
  <c r="Q280" i="1" s="1"/>
  <c r="J281" i="1"/>
  <c r="K281" i="1" s="1"/>
  <c r="O281" i="1" s="1"/>
  <c r="G282" i="1"/>
  <c r="I282" i="1" s="1"/>
  <c r="V283" i="1"/>
  <c r="Y283" i="1"/>
  <c r="W283" i="1"/>
  <c r="X283" i="1"/>
  <c r="D282" i="1"/>
  <c r="C282" i="1"/>
  <c r="E283" i="1"/>
  <c r="B283" i="1"/>
  <c r="L283" i="1" s="1"/>
  <c r="A284" i="1"/>
  <c r="H284" i="1" s="1"/>
  <c r="Z283" i="1" l="1"/>
  <c r="P281" i="1"/>
  <c r="Q281" i="1" s="1"/>
  <c r="R280" i="1"/>
  <c r="S280" i="1"/>
  <c r="J282" i="1"/>
  <c r="K282" i="1" s="1"/>
  <c r="O282" i="1" s="1"/>
  <c r="P282" i="1" s="1"/>
  <c r="Q282" i="1" s="1"/>
  <c r="G283" i="1"/>
  <c r="I283" i="1" s="1"/>
  <c r="V284" i="1"/>
  <c r="Y284" i="1"/>
  <c r="Z284" i="1" s="1"/>
  <c r="X284" i="1"/>
  <c r="W284" i="1"/>
  <c r="B284" i="1"/>
  <c r="L284" i="1" s="1"/>
  <c r="A285" i="1"/>
  <c r="H285" i="1" s="1"/>
  <c r="E284" i="1"/>
  <c r="D283" i="1"/>
  <c r="C283" i="1"/>
  <c r="R281" i="1" l="1"/>
  <c r="S281" i="1"/>
  <c r="J283" i="1"/>
  <c r="K283" i="1" s="1"/>
  <c r="O283" i="1" s="1"/>
  <c r="P283" i="1" s="1"/>
  <c r="Q283" i="1" s="1"/>
  <c r="R282" i="1"/>
  <c r="S282" i="1"/>
  <c r="G284" i="1"/>
  <c r="I284" i="1" s="1"/>
  <c r="V285" i="1"/>
  <c r="X285" i="1" s="1"/>
  <c r="Y285" i="1"/>
  <c r="Z285" i="1" s="1"/>
  <c r="A286" i="1"/>
  <c r="H286" i="1" s="1"/>
  <c r="E285" i="1"/>
  <c r="B285" i="1"/>
  <c r="L285" i="1" s="1"/>
  <c r="D284" i="1"/>
  <c r="C284" i="1"/>
  <c r="W285" i="1" l="1"/>
  <c r="J284" i="1"/>
  <c r="K284" i="1" s="1"/>
  <c r="O284" i="1" s="1"/>
  <c r="P284" i="1" s="1"/>
  <c r="Q284" i="1" s="1"/>
  <c r="R283" i="1"/>
  <c r="S283" i="1"/>
  <c r="G285" i="1"/>
  <c r="I285" i="1" s="1"/>
  <c r="V286" i="1"/>
  <c r="W286" i="1" s="1"/>
  <c r="Y286" i="1"/>
  <c r="C285" i="1"/>
  <c r="D285" i="1"/>
  <c r="A287" i="1"/>
  <c r="H287" i="1" s="1"/>
  <c r="B286" i="1"/>
  <c r="L286" i="1" s="1"/>
  <c r="E286" i="1"/>
  <c r="J285" i="1" l="1"/>
  <c r="K285" i="1" s="1"/>
  <c r="O285" i="1" s="1"/>
  <c r="P285" i="1" s="1"/>
  <c r="Q285" i="1" s="1"/>
  <c r="R284" i="1"/>
  <c r="S284" i="1"/>
  <c r="G286" i="1"/>
  <c r="I286" i="1" s="1"/>
  <c r="Z286" i="1"/>
  <c r="X286" i="1"/>
  <c r="V287" i="1"/>
  <c r="X287" i="1" s="1"/>
  <c r="Y287" i="1"/>
  <c r="D286" i="1"/>
  <c r="C286" i="1"/>
  <c r="A288" i="1"/>
  <c r="H288" i="1" s="1"/>
  <c r="B287" i="1"/>
  <c r="L287" i="1" s="1"/>
  <c r="E287" i="1"/>
  <c r="W287" i="1" l="1"/>
  <c r="Z287" i="1"/>
  <c r="J286" i="1"/>
  <c r="K286" i="1" s="1"/>
  <c r="O286" i="1" s="1"/>
  <c r="P286" i="1" s="1"/>
  <c r="Q286" i="1" s="1"/>
  <c r="R285" i="1"/>
  <c r="S285" i="1"/>
  <c r="G287" i="1"/>
  <c r="I287" i="1" s="1"/>
  <c r="V288" i="1"/>
  <c r="Y288" i="1"/>
  <c r="W288" i="1"/>
  <c r="X288" i="1"/>
  <c r="D287" i="1"/>
  <c r="C287" i="1"/>
  <c r="E288" i="1"/>
  <c r="A289" i="1"/>
  <c r="H289" i="1" s="1"/>
  <c r="B288" i="1"/>
  <c r="L288" i="1" s="1"/>
  <c r="J287" i="1" l="1"/>
  <c r="K287" i="1" s="1"/>
  <c r="O287" i="1" s="1"/>
  <c r="P287" i="1" s="1"/>
  <c r="Q287" i="1" s="1"/>
  <c r="R286" i="1"/>
  <c r="S286" i="1"/>
  <c r="G288" i="1"/>
  <c r="I288" i="1" s="1"/>
  <c r="Z288" i="1"/>
  <c r="V289" i="1"/>
  <c r="Y289" i="1"/>
  <c r="Z289" i="1" s="1"/>
  <c r="X289" i="1"/>
  <c r="W289" i="1"/>
  <c r="D288" i="1"/>
  <c r="C288" i="1"/>
  <c r="E289" i="1"/>
  <c r="B289" i="1"/>
  <c r="L289" i="1" s="1"/>
  <c r="A290" i="1"/>
  <c r="H290" i="1" s="1"/>
  <c r="J288" i="1" l="1"/>
  <c r="K288" i="1" s="1"/>
  <c r="O288" i="1" s="1"/>
  <c r="P288" i="1" s="1"/>
  <c r="Q288" i="1" s="1"/>
  <c r="R287" i="1"/>
  <c r="S287" i="1"/>
  <c r="G289" i="1"/>
  <c r="I289" i="1" s="1"/>
  <c r="V290" i="1"/>
  <c r="Y290" i="1"/>
  <c r="Z290" i="1" s="1"/>
  <c r="X290" i="1"/>
  <c r="W290" i="1"/>
  <c r="D289" i="1"/>
  <c r="C289" i="1"/>
  <c r="E290" i="1"/>
  <c r="A291" i="1"/>
  <c r="H291" i="1" s="1"/>
  <c r="B290" i="1"/>
  <c r="L290" i="1" s="1"/>
  <c r="J289" i="1" l="1"/>
  <c r="K289" i="1" s="1"/>
  <c r="O289" i="1" s="1"/>
  <c r="P289" i="1" s="1"/>
  <c r="Q289" i="1" s="1"/>
  <c r="R288" i="1"/>
  <c r="S288" i="1"/>
  <c r="G290" i="1"/>
  <c r="I290" i="1" s="1"/>
  <c r="V291" i="1"/>
  <c r="Y291" i="1"/>
  <c r="Z291" i="1" s="1"/>
  <c r="W291" i="1"/>
  <c r="X291" i="1"/>
  <c r="A292" i="1"/>
  <c r="H292" i="1" s="1"/>
  <c r="E291" i="1"/>
  <c r="B291" i="1"/>
  <c r="L291" i="1" s="1"/>
  <c r="D290" i="1"/>
  <c r="C290" i="1"/>
  <c r="J290" i="1" l="1"/>
  <c r="K290" i="1" s="1"/>
  <c r="O290" i="1" s="1"/>
  <c r="P290" i="1" s="1"/>
  <c r="Q290" i="1" s="1"/>
  <c r="R289" i="1"/>
  <c r="S289" i="1"/>
  <c r="G291" i="1"/>
  <c r="I291" i="1" s="1"/>
  <c r="V292" i="1"/>
  <c r="W292" i="1" s="1"/>
  <c r="Y292" i="1"/>
  <c r="D291" i="1"/>
  <c r="C291" i="1"/>
  <c r="B292" i="1"/>
  <c r="L292" i="1" s="1"/>
  <c r="A293" i="1"/>
  <c r="H293" i="1" s="1"/>
  <c r="E292" i="1"/>
  <c r="J291" i="1" l="1"/>
  <c r="K291" i="1" s="1"/>
  <c r="O291" i="1" s="1"/>
  <c r="P291" i="1" s="1"/>
  <c r="Q291" i="1" s="1"/>
  <c r="R290" i="1"/>
  <c r="S290" i="1"/>
  <c r="X292" i="1"/>
  <c r="Z292" i="1"/>
  <c r="G292" i="1"/>
  <c r="I292" i="1" s="1"/>
  <c r="V293" i="1"/>
  <c r="Y293" i="1"/>
  <c r="Z293" i="1" s="1"/>
  <c r="X293" i="1"/>
  <c r="W293" i="1"/>
  <c r="E293" i="1"/>
  <c r="B293" i="1"/>
  <c r="L293" i="1" s="1"/>
  <c r="A294" i="1"/>
  <c r="H294" i="1" s="1"/>
  <c r="D292" i="1"/>
  <c r="C292" i="1"/>
  <c r="J292" i="1" l="1"/>
  <c r="K292" i="1" s="1"/>
  <c r="O292" i="1" s="1"/>
  <c r="P292" i="1" s="1"/>
  <c r="Q292" i="1" s="1"/>
  <c r="R291" i="1"/>
  <c r="S291" i="1"/>
  <c r="G293" i="1"/>
  <c r="I293" i="1" s="1"/>
  <c r="V294" i="1"/>
  <c r="Y294" i="1"/>
  <c r="Z294" i="1" s="1"/>
  <c r="W294" i="1"/>
  <c r="X294" i="1"/>
  <c r="A295" i="1"/>
  <c r="H295" i="1" s="1"/>
  <c r="B294" i="1"/>
  <c r="L294" i="1" s="1"/>
  <c r="E294" i="1"/>
  <c r="C293" i="1"/>
  <c r="D293" i="1"/>
  <c r="J293" i="1" l="1"/>
  <c r="K293" i="1" s="1"/>
  <c r="O293" i="1" s="1"/>
  <c r="P293" i="1" s="1"/>
  <c r="Q293" i="1" s="1"/>
  <c r="R292" i="1"/>
  <c r="S292" i="1"/>
  <c r="G294" i="1"/>
  <c r="I294" i="1" s="1"/>
  <c r="V295" i="1"/>
  <c r="Y295" i="1"/>
  <c r="Z295" i="1" s="1"/>
  <c r="X295" i="1"/>
  <c r="W295" i="1"/>
  <c r="D294" i="1"/>
  <c r="C294" i="1"/>
  <c r="B295" i="1"/>
  <c r="L295" i="1" s="1"/>
  <c r="A296" i="1"/>
  <c r="H296" i="1" s="1"/>
  <c r="E295" i="1"/>
  <c r="J294" i="1" l="1"/>
  <c r="K294" i="1" s="1"/>
  <c r="O294" i="1" s="1"/>
  <c r="P294" i="1" s="1"/>
  <c r="Q294" i="1" s="1"/>
  <c r="R293" i="1"/>
  <c r="S293" i="1"/>
  <c r="G295" i="1"/>
  <c r="I295" i="1" s="1"/>
  <c r="V296" i="1"/>
  <c r="X296" i="1" s="1"/>
  <c r="Y296" i="1"/>
  <c r="Z296" i="1" s="1"/>
  <c r="A297" i="1"/>
  <c r="H297" i="1" s="1"/>
  <c r="B296" i="1"/>
  <c r="L296" i="1" s="1"/>
  <c r="E296" i="1"/>
  <c r="C295" i="1"/>
  <c r="D295" i="1"/>
  <c r="J295" i="1" l="1"/>
  <c r="K295" i="1" s="1"/>
  <c r="O295" i="1" s="1"/>
  <c r="P295" i="1" s="1"/>
  <c r="Q295" i="1" s="1"/>
  <c r="R294" i="1"/>
  <c r="S294" i="1"/>
  <c r="G296" i="1"/>
  <c r="I296" i="1" s="1"/>
  <c r="W296" i="1"/>
  <c r="V297" i="1"/>
  <c r="X297" i="1" s="1"/>
  <c r="Y297" i="1"/>
  <c r="Z297" i="1" s="1"/>
  <c r="W297" i="1"/>
  <c r="D296" i="1"/>
  <c r="C296" i="1"/>
  <c r="E297" i="1"/>
  <c r="A298" i="1"/>
  <c r="H298" i="1" s="1"/>
  <c r="B297" i="1"/>
  <c r="L297" i="1" s="1"/>
  <c r="J296" i="1" l="1"/>
  <c r="K296" i="1" s="1"/>
  <c r="O296" i="1" s="1"/>
  <c r="P296" i="1" s="1"/>
  <c r="Q296" i="1" s="1"/>
  <c r="R295" i="1"/>
  <c r="S295" i="1"/>
  <c r="G297" i="1"/>
  <c r="I297" i="1" s="1"/>
  <c r="V298" i="1"/>
  <c r="Y298" i="1"/>
  <c r="Z298" i="1" s="1"/>
  <c r="X298" i="1"/>
  <c r="W298" i="1"/>
  <c r="D297" i="1"/>
  <c r="C297" i="1"/>
  <c r="A299" i="1"/>
  <c r="H299" i="1" s="1"/>
  <c r="E298" i="1"/>
  <c r="B298" i="1"/>
  <c r="L298" i="1" s="1"/>
  <c r="J297" i="1" l="1"/>
  <c r="K297" i="1" s="1"/>
  <c r="O297" i="1" s="1"/>
  <c r="P297" i="1" s="1"/>
  <c r="Q297" i="1" s="1"/>
  <c r="R296" i="1"/>
  <c r="S296" i="1"/>
  <c r="G298" i="1"/>
  <c r="I298" i="1" s="1"/>
  <c r="V299" i="1"/>
  <c r="W299" i="1" s="1"/>
  <c r="Y299" i="1"/>
  <c r="Z299" i="1" s="1"/>
  <c r="C298" i="1"/>
  <c r="D298" i="1"/>
  <c r="A300" i="1"/>
  <c r="H300" i="1" s="1"/>
  <c r="B299" i="1"/>
  <c r="L299" i="1" s="1"/>
  <c r="E299" i="1"/>
  <c r="J298" i="1" l="1"/>
  <c r="K298" i="1" s="1"/>
  <c r="O298" i="1" s="1"/>
  <c r="P298" i="1" s="1"/>
  <c r="Q298" i="1" s="1"/>
  <c r="R297" i="1"/>
  <c r="S297" i="1"/>
  <c r="X299" i="1"/>
  <c r="G299" i="1"/>
  <c r="I299" i="1" s="1"/>
  <c r="V300" i="1"/>
  <c r="X300" i="1" s="1"/>
  <c r="Y300" i="1"/>
  <c r="C299" i="1"/>
  <c r="D299" i="1"/>
  <c r="B300" i="1"/>
  <c r="L300" i="1" s="1"/>
  <c r="E300" i="1"/>
  <c r="A301" i="1"/>
  <c r="H301" i="1" s="1"/>
  <c r="J299" i="1" l="1"/>
  <c r="K299" i="1" s="1"/>
  <c r="O299" i="1" s="1"/>
  <c r="P299" i="1" s="1"/>
  <c r="Q299" i="1" s="1"/>
  <c r="R298" i="1"/>
  <c r="S298" i="1"/>
  <c r="Z300" i="1"/>
  <c r="W300" i="1"/>
  <c r="G300" i="1"/>
  <c r="I300" i="1" s="1"/>
  <c r="V301" i="1"/>
  <c r="X301" i="1" s="1"/>
  <c r="Y301" i="1"/>
  <c r="B301" i="1"/>
  <c r="L301" i="1" s="1"/>
  <c r="A302" i="1"/>
  <c r="H302" i="1" s="1"/>
  <c r="E301" i="1"/>
  <c r="D300" i="1"/>
  <c r="C300" i="1"/>
  <c r="J300" i="1" l="1"/>
  <c r="K300" i="1" s="1"/>
  <c r="O300" i="1" s="1"/>
  <c r="P300" i="1" s="1"/>
  <c r="Q300" i="1" s="1"/>
  <c r="R299" i="1"/>
  <c r="S299" i="1"/>
  <c r="G301" i="1"/>
  <c r="I301" i="1" s="1"/>
  <c r="W301" i="1"/>
  <c r="Z301" i="1"/>
  <c r="V302" i="1"/>
  <c r="Y302" i="1"/>
  <c r="Z302" i="1" s="1"/>
  <c r="X302" i="1"/>
  <c r="W302" i="1"/>
  <c r="A303" i="1"/>
  <c r="H303" i="1" s="1"/>
  <c r="E302" i="1"/>
  <c r="B302" i="1"/>
  <c r="L302" i="1" s="1"/>
  <c r="D301" i="1"/>
  <c r="C301" i="1"/>
  <c r="J301" i="1" l="1"/>
  <c r="K301" i="1" s="1"/>
  <c r="O301" i="1" s="1"/>
  <c r="P301" i="1" s="1"/>
  <c r="Q301" i="1" s="1"/>
  <c r="R300" i="1"/>
  <c r="S300" i="1"/>
  <c r="G302" i="1"/>
  <c r="I302" i="1" s="1"/>
  <c r="V303" i="1"/>
  <c r="X303" i="1" s="1"/>
  <c r="Y303" i="1"/>
  <c r="C302" i="1"/>
  <c r="D302" i="1"/>
  <c r="B303" i="1"/>
  <c r="L303" i="1" s="1"/>
  <c r="E303" i="1"/>
  <c r="A304" i="1"/>
  <c r="H304" i="1" s="1"/>
  <c r="Z303" i="1" l="1"/>
  <c r="J302" i="1"/>
  <c r="K302" i="1" s="1"/>
  <c r="O302" i="1" s="1"/>
  <c r="P302" i="1" s="1"/>
  <c r="Q302" i="1" s="1"/>
  <c r="R301" i="1"/>
  <c r="S301" i="1"/>
  <c r="W303" i="1"/>
  <c r="G303" i="1"/>
  <c r="I303" i="1" s="1"/>
  <c r="V304" i="1"/>
  <c r="W304" i="1" s="1"/>
  <c r="Y304" i="1"/>
  <c r="D303" i="1"/>
  <c r="C303" i="1"/>
  <c r="A305" i="1"/>
  <c r="H305" i="1" s="1"/>
  <c r="E304" i="1"/>
  <c r="B304" i="1"/>
  <c r="L304" i="1" s="1"/>
  <c r="Z304" i="1" l="1"/>
  <c r="X304" i="1"/>
  <c r="J303" i="1"/>
  <c r="K303" i="1" s="1"/>
  <c r="O303" i="1" s="1"/>
  <c r="P303" i="1" s="1"/>
  <c r="Q303" i="1" s="1"/>
  <c r="R302" i="1"/>
  <c r="S302" i="1"/>
  <c r="G304" i="1"/>
  <c r="I304" i="1" s="1"/>
  <c r="V305" i="1"/>
  <c r="W305" i="1" s="1"/>
  <c r="Y305" i="1"/>
  <c r="Z305" i="1" s="1"/>
  <c r="D304" i="1"/>
  <c r="C304" i="1"/>
  <c r="E305" i="1"/>
  <c r="A306" i="1"/>
  <c r="H306" i="1" s="1"/>
  <c r="B305" i="1"/>
  <c r="L305" i="1" s="1"/>
  <c r="J304" i="1" l="1"/>
  <c r="K304" i="1" s="1"/>
  <c r="O304" i="1" s="1"/>
  <c r="P304" i="1" s="1"/>
  <c r="Q304" i="1" s="1"/>
  <c r="R303" i="1"/>
  <c r="S303" i="1"/>
  <c r="G305" i="1"/>
  <c r="I305" i="1" s="1"/>
  <c r="X305" i="1"/>
  <c r="V306" i="1"/>
  <c r="W306" i="1" s="1"/>
  <c r="Y306" i="1"/>
  <c r="X306" i="1"/>
  <c r="A307" i="1"/>
  <c r="H307" i="1" s="1"/>
  <c r="B306" i="1"/>
  <c r="L306" i="1" s="1"/>
  <c r="E306" i="1"/>
  <c r="C305" i="1"/>
  <c r="D305" i="1"/>
  <c r="Z306" i="1" l="1"/>
  <c r="J305" i="1"/>
  <c r="K305" i="1" s="1"/>
  <c r="O305" i="1" s="1"/>
  <c r="P305" i="1" s="1"/>
  <c r="Q305" i="1" s="1"/>
  <c r="R304" i="1"/>
  <c r="S304" i="1"/>
  <c r="G306" i="1"/>
  <c r="I306" i="1" s="1"/>
  <c r="V307" i="1"/>
  <c r="Y307" i="1"/>
  <c r="X307" i="1"/>
  <c r="W307" i="1"/>
  <c r="C306" i="1"/>
  <c r="D306" i="1"/>
  <c r="A308" i="1"/>
  <c r="H308" i="1" s="1"/>
  <c r="E307" i="1"/>
  <c r="B307" i="1"/>
  <c r="L307" i="1" s="1"/>
  <c r="Z307" i="1" l="1"/>
  <c r="J306" i="1"/>
  <c r="K306" i="1" s="1"/>
  <c r="O306" i="1" s="1"/>
  <c r="P306" i="1" s="1"/>
  <c r="Q306" i="1" s="1"/>
  <c r="R305" i="1"/>
  <c r="S305" i="1"/>
  <c r="G307" i="1"/>
  <c r="I307" i="1" s="1"/>
  <c r="V308" i="1"/>
  <c r="W308" i="1" s="1"/>
  <c r="Y308" i="1"/>
  <c r="C307" i="1"/>
  <c r="D307" i="1"/>
  <c r="B308" i="1"/>
  <c r="L308" i="1" s="1"/>
  <c r="A309" i="1"/>
  <c r="H309" i="1" s="1"/>
  <c r="E308" i="1"/>
  <c r="X308" i="1" l="1"/>
  <c r="Z308" i="1"/>
  <c r="J307" i="1"/>
  <c r="K307" i="1" s="1"/>
  <c r="O307" i="1" s="1"/>
  <c r="P307" i="1" s="1"/>
  <c r="Q307" i="1" s="1"/>
  <c r="R306" i="1"/>
  <c r="S306" i="1"/>
  <c r="G308" i="1"/>
  <c r="I308" i="1" s="1"/>
  <c r="V309" i="1"/>
  <c r="X309" i="1" s="1"/>
  <c r="Y309" i="1"/>
  <c r="Z309" i="1" s="1"/>
  <c r="A310" i="1"/>
  <c r="H310" i="1" s="1"/>
  <c r="B309" i="1"/>
  <c r="L309" i="1" s="1"/>
  <c r="E309" i="1"/>
  <c r="D308" i="1"/>
  <c r="C308" i="1"/>
  <c r="J308" i="1" l="1"/>
  <c r="K308" i="1" s="1"/>
  <c r="O308" i="1" s="1"/>
  <c r="P308" i="1" s="1"/>
  <c r="Q308" i="1" s="1"/>
  <c r="R307" i="1"/>
  <c r="S307" i="1"/>
  <c r="W309" i="1"/>
  <c r="G309" i="1"/>
  <c r="I309" i="1" s="1"/>
  <c r="V310" i="1"/>
  <c r="X310" i="1" s="1"/>
  <c r="Y310" i="1"/>
  <c r="Z310" i="1" s="1"/>
  <c r="W310" i="1"/>
  <c r="C309" i="1"/>
  <c r="D309" i="1"/>
  <c r="A311" i="1"/>
  <c r="H311" i="1" s="1"/>
  <c r="B310" i="1"/>
  <c r="L310" i="1" s="1"/>
  <c r="E310" i="1"/>
  <c r="J309" i="1" l="1"/>
  <c r="K309" i="1" s="1"/>
  <c r="O309" i="1" s="1"/>
  <c r="P309" i="1" s="1"/>
  <c r="Q309" i="1" s="1"/>
  <c r="R308" i="1"/>
  <c r="S308" i="1"/>
  <c r="G310" i="1"/>
  <c r="I310" i="1" s="1"/>
  <c r="V311" i="1"/>
  <c r="W311" i="1" s="1"/>
  <c r="Y311" i="1"/>
  <c r="B311" i="1"/>
  <c r="L311" i="1" s="1"/>
  <c r="E311" i="1"/>
  <c r="A312" i="1"/>
  <c r="H312" i="1" s="1"/>
  <c r="D310" i="1"/>
  <c r="C310" i="1"/>
  <c r="J310" i="1" l="1"/>
  <c r="K310" i="1" s="1"/>
  <c r="O310" i="1" s="1"/>
  <c r="P310" i="1" s="1"/>
  <c r="Q310" i="1" s="1"/>
  <c r="R309" i="1"/>
  <c r="S309" i="1"/>
  <c r="G311" i="1"/>
  <c r="I311" i="1" s="1"/>
  <c r="X311" i="1"/>
  <c r="V312" i="1"/>
  <c r="W312" i="1" s="1"/>
  <c r="Y312" i="1"/>
  <c r="Z311" i="1"/>
  <c r="A313" i="1"/>
  <c r="H313" i="1" s="1"/>
  <c r="E312" i="1"/>
  <c r="B312" i="1"/>
  <c r="L312" i="1" s="1"/>
  <c r="D311" i="1"/>
  <c r="C311" i="1"/>
  <c r="Z312" i="1" l="1"/>
  <c r="X312" i="1"/>
  <c r="J311" i="1"/>
  <c r="K311" i="1" s="1"/>
  <c r="O311" i="1" s="1"/>
  <c r="P311" i="1" s="1"/>
  <c r="Q311" i="1" s="1"/>
  <c r="R310" i="1"/>
  <c r="S310" i="1"/>
  <c r="G312" i="1"/>
  <c r="I312" i="1" s="1"/>
  <c r="V313" i="1"/>
  <c r="X313" i="1" s="1"/>
  <c r="Y313" i="1"/>
  <c r="W313" i="1"/>
  <c r="D312" i="1"/>
  <c r="C312" i="1"/>
  <c r="B313" i="1"/>
  <c r="L313" i="1" s="1"/>
  <c r="E313" i="1"/>
  <c r="A314" i="1"/>
  <c r="H314" i="1" s="1"/>
  <c r="Z313" i="1" l="1"/>
  <c r="J312" i="1"/>
  <c r="K312" i="1" s="1"/>
  <c r="O312" i="1" s="1"/>
  <c r="P312" i="1" s="1"/>
  <c r="Q312" i="1" s="1"/>
  <c r="R311" i="1"/>
  <c r="S311" i="1"/>
  <c r="G313" i="1"/>
  <c r="I313" i="1" s="1"/>
  <c r="V314" i="1"/>
  <c r="Y314" i="1"/>
  <c r="Z314" i="1" s="1"/>
  <c r="X314" i="1"/>
  <c r="W314" i="1"/>
  <c r="A315" i="1"/>
  <c r="H315" i="1" s="1"/>
  <c r="B314" i="1"/>
  <c r="L314" i="1" s="1"/>
  <c r="E314" i="1"/>
  <c r="D313" i="1"/>
  <c r="C313" i="1"/>
  <c r="J313" i="1" l="1"/>
  <c r="K313" i="1" s="1"/>
  <c r="O313" i="1" s="1"/>
  <c r="P313" i="1" s="1"/>
  <c r="Q313" i="1" s="1"/>
  <c r="R312" i="1"/>
  <c r="S312" i="1"/>
  <c r="G314" i="1"/>
  <c r="I314" i="1" s="1"/>
  <c r="V315" i="1"/>
  <c r="Y315" i="1"/>
  <c r="Z315" i="1" s="1"/>
  <c r="X315" i="1"/>
  <c r="W315" i="1"/>
  <c r="D314" i="1"/>
  <c r="C314" i="1"/>
  <c r="A316" i="1"/>
  <c r="H316" i="1" s="1"/>
  <c r="B315" i="1"/>
  <c r="L315" i="1" s="1"/>
  <c r="E315" i="1"/>
  <c r="J314" i="1" l="1"/>
  <c r="K314" i="1" s="1"/>
  <c r="O314" i="1" s="1"/>
  <c r="P314" i="1" s="1"/>
  <c r="Q314" i="1" s="1"/>
  <c r="R313" i="1"/>
  <c r="S313" i="1"/>
  <c r="G315" i="1"/>
  <c r="I315" i="1" s="1"/>
  <c r="V316" i="1"/>
  <c r="X316" i="1" s="1"/>
  <c r="Y316" i="1"/>
  <c r="Z316" i="1" s="1"/>
  <c r="W316" i="1"/>
  <c r="C315" i="1"/>
  <c r="D315" i="1"/>
  <c r="B316" i="1"/>
  <c r="L316" i="1" s="1"/>
  <c r="E316" i="1"/>
  <c r="A317" i="1"/>
  <c r="H317" i="1" s="1"/>
  <c r="J315" i="1" l="1"/>
  <c r="K315" i="1" s="1"/>
  <c r="O315" i="1" s="1"/>
  <c r="P315" i="1" s="1"/>
  <c r="Q315" i="1" s="1"/>
  <c r="R314" i="1"/>
  <c r="S314" i="1"/>
  <c r="G316" i="1"/>
  <c r="I316" i="1" s="1"/>
  <c r="V317" i="1"/>
  <c r="Y317" i="1"/>
  <c r="Z317" i="1" s="1"/>
  <c r="W317" i="1"/>
  <c r="X317" i="1"/>
  <c r="E317" i="1"/>
  <c r="B317" i="1"/>
  <c r="L317" i="1" s="1"/>
  <c r="A318" i="1"/>
  <c r="H318" i="1" s="1"/>
  <c r="C316" i="1"/>
  <c r="D316" i="1"/>
  <c r="J316" i="1" l="1"/>
  <c r="K316" i="1" s="1"/>
  <c r="O316" i="1" s="1"/>
  <c r="P316" i="1" s="1"/>
  <c r="Q316" i="1" s="1"/>
  <c r="R315" i="1"/>
  <c r="S315" i="1"/>
  <c r="G317" i="1"/>
  <c r="I317" i="1" s="1"/>
  <c r="V318" i="1"/>
  <c r="W318" i="1" s="1"/>
  <c r="Y318" i="1"/>
  <c r="X318" i="1"/>
  <c r="A319" i="1"/>
  <c r="H319" i="1" s="1"/>
  <c r="E318" i="1"/>
  <c r="B318" i="1"/>
  <c r="L318" i="1" s="1"/>
  <c r="D317" i="1"/>
  <c r="C317" i="1"/>
  <c r="Z318" i="1" l="1"/>
  <c r="J317" i="1"/>
  <c r="K317" i="1" s="1"/>
  <c r="O317" i="1" s="1"/>
  <c r="P317" i="1" s="1"/>
  <c r="Q317" i="1" s="1"/>
  <c r="R316" i="1"/>
  <c r="S316" i="1"/>
  <c r="G318" i="1"/>
  <c r="I318" i="1" s="1"/>
  <c r="V319" i="1"/>
  <c r="Y319" i="1"/>
  <c r="Z319" i="1" s="1"/>
  <c r="X319" i="1"/>
  <c r="W319" i="1"/>
  <c r="D318" i="1"/>
  <c r="C318" i="1"/>
  <c r="B319" i="1"/>
  <c r="L319" i="1" s="1"/>
  <c r="A320" i="1"/>
  <c r="H320" i="1" s="1"/>
  <c r="E319" i="1"/>
  <c r="J318" i="1" l="1"/>
  <c r="K318" i="1" s="1"/>
  <c r="O318" i="1" s="1"/>
  <c r="P318" i="1" s="1"/>
  <c r="Q318" i="1" s="1"/>
  <c r="R317" i="1"/>
  <c r="S317" i="1"/>
  <c r="G319" i="1"/>
  <c r="I319" i="1" s="1"/>
  <c r="V320" i="1"/>
  <c r="W320" i="1" s="1"/>
  <c r="Y320" i="1"/>
  <c r="B320" i="1"/>
  <c r="L320" i="1" s="1"/>
  <c r="A321" i="1"/>
  <c r="H321" i="1" s="1"/>
  <c r="E320" i="1"/>
  <c r="C319" i="1"/>
  <c r="D319" i="1"/>
  <c r="Z320" i="1" l="1"/>
  <c r="X320" i="1"/>
  <c r="J319" i="1"/>
  <c r="K319" i="1" s="1"/>
  <c r="O319" i="1" s="1"/>
  <c r="P319" i="1" s="1"/>
  <c r="Q319" i="1" s="1"/>
  <c r="R318" i="1"/>
  <c r="S318" i="1"/>
  <c r="G320" i="1"/>
  <c r="I320" i="1" s="1"/>
  <c r="V321" i="1"/>
  <c r="X321" i="1" s="1"/>
  <c r="Y321" i="1"/>
  <c r="W321" i="1"/>
  <c r="A322" i="1"/>
  <c r="H322" i="1" s="1"/>
  <c r="E321" i="1"/>
  <c r="B321" i="1"/>
  <c r="L321" i="1" s="1"/>
  <c r="D320" i="1"/>
  <c r="C320" i="1"/>
  <c r="Z321" i="1" l="1"/>
  <c r="J320" i="1"/>
  <c r="K320" i="1" s="1"/>
  <c r="O320" i="1" s="1"/>
  <c r="P320" i="1" s="1"/>
  <c r="Q320" i="1" s="1"/>
  <c r="R319" i="1"/>
  <c r="S319" i="1"/>
  <c r="G321" i="1"/>
  <c r="I321" i="1" s="1"/>
  <c r="V322" i="1"/>
  <c r="Y322" i="1"/>
  <c r="X322" i="1"/>
  <c r="W322" i="1"/>
  <c r="D321" i="1"/>
  <c r="C321" i="1"/>
  <c r="B322" i="1"/>
  <c r="L322" i="1" s="1"/>
  <c r="E322" i="1"/>
  <c r="A323" i="1"/>
  <c r="H323" i="1" s="1"/>
  <c r="Z322" i="1" l="1"/>
  <c r="J321" i="1"/>
  <c r="K321" i="1" s="1"/>
  <c r="O321" i="1" s="1"/>
  <c r="P321" i="1" s="1"/>
  <c r="Q321" i="1" s="1"/>
  <c r="R320" i="1"/>
  <c r="S320" i="1"/>
  <c r="G322" i="1"/>
  <c r="I322" i="1" s="1"/>
  <c r="V323" i="1"/>
  <c r="Y323" i="1"/>
  <c r="Z323" i="1" s="1"/>
  <c r="X323" i="1"/>
  <c r="W323" i="1"/>
  <c r="A324" i="1"/>
  <c r="H324" i="1" s="1"/>
  <c r="B323" i="1"/>
  <c r="L323" i="1" s="1"/>
  <c r="E323" i="1"/>
  <c r="C322" i="1"/>
  <c r="D322" i="1"/>
  <c r="J322" i="1" l="1"/>
  <c r="K322" i="1" s="1"/>
  <c r="O322" i="1" s="1"/>
  <c r="P322" i="1" s="1"/>
  <c r="Q322" i="1" s="1"/>
  <c r="R321" i="1"/>
  <c r="S321" i="1"/>
  <c r="G323" i="1"/>
  <c r="I323" i="1" s="1"/>
  <c r="V324" i="1"/>
  <c r="Y324" i="1"/>
  <c r="Z324" i="1" s="1"/>
  <c r="X324" i="1"/>
  <c r="W324" i="1"/>
  <c r="C323" i="1"/>
  <c r="D323" i="1"/>
  <c r="B324" i="1"/>
  <c r="L324" i="1" s="1"/>
  <c r="A325" i="1"/>
  <c r="H325" i="1" s="1"/>
  <c r="E324" i="1"/>
  <c r="J323" i="1" l="1"/>
  <c r="K323" i="1" s="1"/>
  <c r="O323" i="1" s="1"/>
  <c r="P323" i="1" s="1"/>
  <c r="Q323" i="1" s="1"/>
  <c r="R322" i="1"/>
  <c r="S322" i="1"/>
  <c r="G324" i="1"/>
  <c r="I324" i="1" s="1"/>
  <c r="V325" i="1"/>
  <c r="W325" i="1" s="1"/>
  <c r="Y325" i="1"/>
  <c r="E325" i="1"/>
  <c r="B325" i="1"/>
  <c r="L325" i="1" s="1"/>
  <c r="A326" i="1"/>
  <c r="H326" i="1" s="1"/>
  <c r="D324" i="1"/>
  <c r="C324" i="1"/>
  <c r="Z325" i="1" l="1"/>
  <c r="X325" i="1"/>
  <c r="J324" i="1"/>
  <c r="K324" i="1" s="1"/>
  <c r="O324" i="1" s="1"/>
  <c r="P324" i="1" s="1"/>
  <c r="Q324" i="1" s="1"/>
  <c r="R323" i="1"/>
  <c r="S323" i="1"/>
  <c r="G325" i="1"/>
  <c r="I325" i="1" s="1"/>
  <c r="V326" i="1"/>
  <c r="W326" i="1" s="1"/>
  <c r="Y326" i="1"/>
  <c r="X326" i="1"/>
  <c r="Z326" i="1"/>
  <c r="A327" i="1"/>
  <c r="H327" i="1" s="1"/>
  <c r="E326" i="1"/>
  <c r="B326" i="1"/>
  <c r="L326" i="1" s="1"/>
  <c r="D325" i="1"/>
  <c r="C325" i="1"/>
  <c r="J325" i="1" l="1"/>
  <c r="K325" i="1" s="1"/>
  <c r="O325" i="1" s="1"/>
  <c r="P325" i="1" s="1"/>
  <c r="Q325" i="1" s="1"/>
  <c r="R324" i="1"/>
  <c r="S324" i="1"/>
  <c r="G326" i="1"/>
  <c r="I326" i="1" s="1"/>
  <c r="V327" i="1"/>
  <c r="X327" i="1" s="1"/>
  <c r="Y327" i="1"/>
  <c r="C326" i="1"/>
  <c r="D326" i="1"/>
  <c r="B327" i="1"/>
  <c r="L327" i="1" s="1"/>
  <c r="A328" i="1"/>
  <c r="H328" i="1" s="1"/>
  <c r="E327" i="1"/>
  <c r="J326" i="1" l="1"/>
  <c r="K326" i="1" s="1"/>
  <c r="O326" i="1" s="1"/>
  <c r="P326" i="1" s="1"/>
  <c r="Q326" i="1" s="1"/>
  <c r="R325" i="1"/>
  <c r="S325" i="1"/>
  <c r="Z327" i="1"/>
  <c r="W327" i="1"/>
  <c r="G327" i="1"/>
  <c r="I327" i="1" s="1"/>
  <c r="V328" i="1"/>
  <c r="X328" i="1" s="1"/>
  <c r="Y328" i="1"/>
  <c r="W328" i="1"/>
  <c r="E328" i="1"/>
  <c r="A329" i="1"/>
  <c r="H329" i="1" s="1"/>
  <c r="B328" i="1"/>
  <c r="L328" i="1" s="1"/>
  <c r="C327" i="1"/>
  <c r="D327" i="1"/>
  <c r="Z328" i="1" l="1"/>
  <c r="J327" i="1"/>
  <c r="K327" i="1" s="1"/>
  <c r="O327" i="1" s="1"/>
  <c r="P327" i="1" s="1"/>
  <c r="Q327" i="1" s="1"/>
  <c r="R326" i="1"/>
  <c r="S326" i="1"/>
  <c r="G328" i="1"/>
  <c r="I328" i="1" s="1"/>
  <c r="V329" i="1"/>
  <c r="Y329" i="1"/>
  <c r="Z329" i="1" s="1"/>
  <c r="W329" i="1"/>
  <c r="X329" i="1"/>
  <c r="B329" i="1"/>
  <c r="L329" i="1" s="1"/>
  <c r="E329" i="1"/>
  <c r="A330" i="1"/>
  <c r="H330" i="1" s="1"/>
  <c r="C328" i="1"/>
  <c r="D328" i="1"/>
  <c r="J328" i="1" l="1"/>
  <c r="K328" i="1" s="1"/>
  <c r="O328" i="1" s="1"/>
  <c r="P328" i="1" s="1"/>
  <c r="Q328" i="1" s="1"/>
  <c r="R327" i="1"/>
  <c r="S327" i="1"/>
  <c r="G329" i="1"/>
  <c r="I329" i="1" s="1"/>
  <c r="V330" i="1"/>
  <c r="W330" i="1" s="1"/>
  <c r="Y330" i="1"/>
  <c r="B330" i="1"/>
  <c r="L330" i="1" s="1"/>
  <c r="A331" i="1"/>
  <c r="H331" i="1" s="1"/>
  <c r="E330" i="1"/>
  <c r="D329" i="1"/>
  <c r="C329" i="1"/>
  <c r="J329" i="1" l="1"/>
  <c r="K329" i="1" s="1"/>
  <c r="O329" i="1" s="1"/>
  <c r="P329" i="1" s="1"/>
  <c r="Q329" i="1" s="1"/>
  <c r="R328" i="1"/>
  <c r="S328" i="1"/>
  <c r="G330" i="1"/>
  <c r="I330" i="1" s="1"/>
  <c r="X330" i="1"/>
  <c r="V331" i="1"/>
  <c r="Y331" i="1"/>
  <c r="Z330" i="1"/>
  <c r="W331" i="1"/>
  <c r="X331" i="1"/>
  <c r="A332" i="1"/>
  <c r="H332" i="1" s="1"/>
  <c r="E331" i="1"/>
  <c r="B331" i="1"/>
  <c r="L331" i="1" s="1"/>
  <c r="D330" i="1"/>
  <c r="C330" i="1"/>
  <c r="Z331" i="1" l="1"/>
  <c r="J330" i="1"/>
  <c r="K330" i="1" s="1"/>
  <c r="O330" i="1" s="1"/>
  <c r="P330" i="1" s="1"/>
  <c r="Q330" i="1" s="1"/>
  <c r="R329" i="1"/>
  <c r="S329" i="1"/>
  <c r="G331" i="1"/>
  <c r="I331" i="1" s="1"/>
  <c r="V332" i="1"/>
  <c r="W332" i="1" s="1"/>
  <c r="Y332" i="1"/>
  <c r="Z332" i="1" s="1"/>
  <c r="X332" i="1"/>
  <c r="D331" i="1"/>
  <c r="C331" i="1"/>
  <c r="B332" i="1"/>
  <c r="L332" i="1" s="1"/>
  <c r="A333" i="1"/>
  <c r="H333" i="1" s="1"/>
  <c r="E332" i="1"/>
  <c r="J331" i="1" l="1"/>
  <c r="K331" i="1" s="1"/>
  <c r="O331" i="1" s="1"/>
  <c r="P331" i="1" s="1"/>
  <c r="Q331" i="1" s="1"/>
  <c r="R330" i="1"/>
  <c r="S330" i="1"/>
  <c r="G332" i="1"/>
  <c r="I332" i="1" s="1"/>
  <c r="V333" i="1"/>
  <c r="Y333" i="1"/>
  <c r="Z333" i="1" s="1"/>
  <c r="W333" i="1"/>
  <c r="X333" i="1"/>
  <c r="B333" i="1"/>
  <c r="L333" i="1" s="1"/>
  <c r="A334" i="1"/>
  <c r="H334" i="1" s="1"/>
  <c r="E333" i="1"/>
  <c r="C332" i="1"/>
  <c r="D332" i="1"/>
  <c r="J332" i="1" l="1"/>
  <c r="K332" i="1" s="1"/>
  <c r="O332" i="1" s="1"/>
  <c r="P332" i="1" s="1"/>
  <c r="Q332" i="1" s="1"/>
  <c r="R331" i="1"/>
  <c r="S331" i="1"/>
  <c r="G333" i="1"/>
  <c r="I333" i="1" s="1"/>
  <c r="V334" i="1"/>
  <c r="X334" i="1" s="1"/>
  <c r="Y334" i="1"/>
  <c r="A335" i="1"/>
  <c r="H335" i="1" s="1"/>
  <c r="B334" i="1"/>
  <c r="L334" i="1" s="1"/>
  <c r="E334" i="1"/>
  <c r="C333" i="1"/>
  <c r="D333" i="1"/>
  <c r="J333" i="1" l="1"/>
  <c r="K333" i="1" s="1"/>
  <c r="O333" i="1" s="1"/>
  <c r="P333" i="1" s="1"/>
  <c r="Q333" i="1" s="1"/>
  <c r="R332" i="1"/>
  <c r="S332" i="1"/>
  <c r="G334" i="1"/>
  <c r="I334" i="1" s="1"/>
  <c r="Z334" i="1"/>
  <c r="W334" i="1"/>
  <c r="V335" i="1"/>
  <c r="W335" i="1" s="1"/>
  <c r="Y335" i="1"/>
  <c r="Z335" i="1" s="1"/>
  <c r="C334" i="1"/>
  <c r="D334" i="1"/>
  <c r="B335" i="1"/>
  <c r="L335" i="1" s="1"/>
  <c r="E335" i="1"/>
  <c r="A336" i="1"/>
  <c r="H336" i="1" s="1"/>
  <c r="X335" i="1" l="1"/>
  <c r="J334" i="1"/>
  <c r="K334" i="1" s="1"/>
  <c r="O334" i="1" s="1"/>
  <c r="P334" i="1" s="1"/>
  <c r="Q334" i="1" s="1"/>
  <c r="R333" i="1"/>
  <c r="S333" i="1"/>
  <c r="G335" i="1"/>
  <c r="I335" i="1" s="1"/>
  <c r="V336" i="1"/>
  <c r="Y336" i="1"/>
  <c r="Z336" i="1" s="1"/>
  <c r="W336" i="1"/>
  <c r="X336" i="1"/>
  <c r="B336" i="1"/>
  <c r="L336" i="1" s="1"/>
  <c r="E336" i="1"/>
  <c r="A337" i="1"/>
  <c r="H337" i="1" s="1"/>
  <c r="D335" i="1"/>
  <c r="C335" i="1"/>
  <c r="J335" i="1" l="1"/>
  <c r="K335" i="1" s="1"/>
  <c r="O335" i="1" s="1"/>
  <c r="P335" i="1" s="1"/>
  <c r="Q335" i="1" s="1"/>
  <c r="R334" i="1"/>
  <c r="S334" i="1"/>
  <c r="G336" i="1"/>
  <c r="I336" i="1" s="1"/>
  <c r="V337" i="1"/>
  <c r="Y337" i="1"/>
  <c r="Z337" i="1" s="1"/>
  <c r="X337" i="1"/>
  <c r="W337" i="1"/>
  <c r="E337" i="1"/>
  <c r="B337" i="1"/>
  <c r="L337" i="1" s="1"/>
  <c r="A338" i="1"/>
  <c r="H338" i="1" s="1"/>
  <c r="C336" i="1"/>
  <c r="D336" i="1"/>
  <c r="J336" i="1" l="1"/>
  <c r="K336" i="1" s="1"/>
  <c r="O336" i="1" s="1"/>
  <c r="P336" i="1" s="1"/>
  <c r="Q336" i="1" s="1"/>
  <c r="R335" i="1"/>
  <c r="S335" i="1"/>
  <c r="G337" i="1"/>
  <c r="I337" i="1" s="1"/>
  <c r="V338" i="1"/>
  <c r="X338" i="1" s="1"/>
  <c r="Y338" i="1"/>
  <c r="W338" i="1"/>
  <c r="E338" i="1"/>
  <c r="A339" i="1"/>
  <c r="H339" i="1" s="1"/>
  <c r="B338" i="1"/>
  <c r="L338" i="1" s="1"/>
  <c r="D337" i="1"/>
  <c r="C337" i="1"/>
  <c r="J337" i="1" l="1"/>
  <c r="K337" i="1" s="1"/>
  <c r="O337" i="1" s="1"/>
  <c r="P337" i="1" s="1"/>
  <c r="Q337" i="1" s="1"/>
  <c r="R336" i="1"/>
  <c r="S336" i="1"/>
  <c r="Z338" i="1"/>
  <c r="G338" i="1"/>
  <c r="I338" i="1" s="1"/>
  <c r="V339" i="1"/>
  <c r="W339" i="1" s="1"/>
  <c r="Y339" i="1"/>
  <c r="Z339" i="1" s="1"/>
  <c r="X339" i="1"/>
  <c r="D338" i="1"/>
  <c r="C338" i="1"/>
  <c r="E339" i="1"/>
  <c r="B339" i="1"/>
  <c r="L339" i="1" s="1"/>
  <c r="A340" i="1"/>
  <c r="H340" i="1" s="1"/>
  <c r="J338" i="1" l="1"/>
  <c r="K338" i="1" s="1"/>
  <c r="O338" i="1" s="1"/>
  <c r="P338" i="1" s="1"/>
  <c r="Q338" i="1" s="1"/>
  <c r="R337" i="1"/>
  <c r="S337" i="1"/>
  <c r="G339" i="1"/>
  <c r="I339" i="1" s="1"/>
  <c r="V340" i="1"/>
  <c r="X340" i="1" s="1"/>
  <c r="Y340" i="1"/>
  <c r="Z340" i="1" s="1"/>
  <c r="W340" i="1"/>
  <c r="B340" i="1"/>
  <c r="L340" i="1" s="1"/>
  <c r="E340" i="1"/>
  <c r="A341" i="1"/>
  <c r="H341" i="1" s="1"/>
  <c r="D339" i="1"/>
  <c r="C339" i="1"/>
  <c r="J339" i="1" l="1"/>
  <c r="K339" i="1" s="1"/>
  <c r="O339" i="1" s="1"/>
  <c r="P339" i="1" s="1"/>
  <c r="Q339" i="1" s="1"/>
  <c r="R338" i="1"/>
  <c r="S338" i="1"/>
  <c r="G340" i="1"/>
  <c r="I340" i="1" s="1"/>
  <c r="V341" i="1"/>
  <c r="Y341" i="1"/>
  <c r="Z341" i="1" s="1"/>
  <c r="W341" i="1"/>
  <c r="X341" i="1"/>
  <c r="A342" i="1"/>
  <c r="H342" i="1" s="1"/>
  <c r="E341" i="1"/>
  <c r="B341" i="1"/>
  <c r="L341" i="1" s="1"/>
  <c r="D340" i="1"/>
  <c r="C340" i="1"/>
  <c r="J340" i="1" l="1"/>
  <c r="K340" i="1" s="1"/>
  <c r="O340" i="1" s="1"/>
  <c r="P340" i="1" s="1"/>
  <c r="Q340" i="1" s="1"/>
  <c r="R339" i="1"/>
  <c r="S339" i="1"/>
  <c r="G341" i="1"/>
  <c r="I341" i="1" s="1"/>
  <c r="V342" i="1"/>
  <c r="Y342" i="1"/>
  <c r="W342" i="1"/>
  <c r="X342" i="1"/>
  <c r="C341" i="1"/>
  <c r="D341" i="1"/>
  <c r="E342" i="1"/>
  <c r="B342" i="1"/>
  <c r="L342" i="1" s="1"/>
  <c r="A343" i="1"/>
  <c r="H343" i="1" s="1"/>
  <c r="Z342" i="1" l="1"/>
  <c r="J341" i="1"/>
  <c r="K341" i="1" s="1"/>
  <c r="O341" i="1" s="1"/>
  <c r="P341" i="1" s="1"/>
  <c r="Q341" i="1" s="1"/>
  <c r="R340" i="1"/>
  <c r="S340" i="1"/>
  <c r="G342" i="1"/>
  <c r="I342" i="1" s="1"/>
  <c r="V343" i="1"/>
  <c r="W343" i="1" s="1"/>
  <c r="Y343" i="1"/>
  <c r="Z343" i="1" s="1"/>
  <c r="X343" i="1"/>
  <c r="D342" i="1"/>
  <c r="C342" i="1"/>
  <c r="B343" i="1"/>
  <c r="L343" i="1" s="1"/>
  <c r="A344" i="1"/>
  <c r="H344" i="1" s="1"/>
  <c r="E343" i="1"/>
  <c r="J342" i="1" l="1"/>
  <c r="K342" i="1" s="1"/>
  <c r="O342" i="1" s="1"/>
  <c r="P342" i="1" s="1"/>
  <c r="Q342" i="1" s="1"/>
  <c r="R341" i="1"/>
  <c r="S341" i="1"/>
  <c r="G343" i="1"/>
  <c r="I343" i="1" s="1"/>
  <c r="V344" i="1"/>
  <c r="W344" i="1" s="1"/>
  <c r="Y344" i="1"/>
  <c r="C343" i="1"/>
  <c r="D343" i="1"/>
  <c r="A345" i="1"/>
  <c r="H345" i="1" s="1"/>
  <c r="B344" i="1"/>
  <c r="L344" i="1" s="1"/>
  <c r="E344" i="1"/>
  <c r="X344" i="1" l="1"/>
  <c r="J343" i="1"/>
  <c r="K343" i="1" s="1"/>
  <c r="O343" i="1" s="1"/>
  <c r="P343" i="1" s="1"/>
  <c r="Q343" i="1" s="1"/>
  <c r="R342" i="1"/>
  <c r="S342" i="1"/>
  <c r="Z344" i="1"/>
  <c r="G344" i="1"/>
  <c r="I344" i="1" s="1"/>
  <c r="V345" i="1"/>
  <c r="W345" i="1" s="1"/>
  <c r="Y345" i="1"/>
  <c r="Z345" i="1" s="1"/>
  <c r="X345" i="1"/>
  <c r="C344" i="1"/>
  <c r="D344" i="1"/>
  <c r="E345" i="1"/>
  <c r="B345" i="1"/>
  <c r="L345" i="1" s="1"/>
  <c r="A346" i="1"/>
  <c r="H346" i="1" s="1"/>
  <c r="J344" i="1" l="1"/>
  <c r="K344" i="1" s="1"/>
  <c r="O344" i="1" s="1"/>
  <c r="P344" i="1" s="1"/>
  <c r="Q344" i="1" s="1"/>
  <c r="R343" i="1"/>
  <c r="S343" i="1"/>
  <c r="G345" i="1"/>
  <c r="I345" i="1" s="1"/>
  <c r="V346" i="1"/>
  <c r="Y346" i="1"/>
  <c r="Z346" i="1" s="1"/>
  <c r="X346" i="1"/>
  <c r="W346" i="1"/>
  <c r="B346" i="1"/>
  <c r="L346" i="1" s="1"/>
  <c r="A347" i="1"/>
  <c r="H347" i="1" s="1"/>
  <c r="E346" i="1"/>
  <c r="D345" i="1"/>
  <c r="C345" i="1"/>
  <c r="J345" i="1" l="1"/>
  <c r="K345" i="1" s="1"/>
  <c r="O345" i="1" s="1"/>
  <c r="P345" i="1" s="1"/>
  <c r="Q345" i="1" s="1"/>
  <c r="R344" i="1"/>
  <c r="S344" i="1"/>
  <c r="G346" i="1"/>
  <c r="I346" i="1" s="1"/>
  <c r="V347" i="1"/>
  <c r="Y347" i="1"/>
  <c r="Z347" i="1" s="1"/>
  <c r="W347" i="1"/>
  <c r="X347" i="1"/>
  <c r="B347" i="1"/>
  <c r="L347" i="1" s="1"/>
  <c r="A348" i="1"/>
  <c r="H348" i="1" s="1"/>
  <c r="E347" i="1"/>
  <c r="D346" i="1"/>
  <c r="C346" i="1"/>
  <c r="J346" i="1" l="1"/>
  <c r="K346" i="1" s="1"/>
  <c r="O346" i="1" s="1"/>
  <c r="P346" i="1" s="1"/>
  <c r="Q346" i="1" s="1"/>
  <c r="R345" i="1"/>
  <c r="S345" i="1"/>
  <c r="G347" i="1"/>
  <c r="I347" i="1" s="1"/>
  <c r="V348" i="1"/>
  <c r="X348" i="1" s="1"/>
  <c r="Y348" i="1"/>
  <c r="E348" i="1"/>
  <c r="A349" i="1"/>
  <c r="H349" i="1" s="1"/>
  <c r="B348" i="1"/>
  <c r="L348" i="1" s="1"/>
  <c r="D347" i="1"/>
  <c r="C347" i="1"/>
  <c r="W348" i="1" l="1"/>
  <c r="Z348" i="1"/>
  <c r="J347" i="1"/>
  <c r="K347" i="1" s="1"/>
  <c r="O347" i="1" s="1"/>
  <c r="P347" i="1" s="1"/>
  <c r="Q347" i="1" s="1"/>
  <c r="R346" i="1"/>
  <c r="S346" i="1"/>
  <c r="G348" i="1"/>
  <c r="I348" i="1" s="1"/>
  <c r="V349" i="1"/>
  <c r="X349" i="1" s="1"/>
  <c r="Y349" i="1"/>
  <c r="D348" i="1"/>
  <c r="C348" i="1"/>
  <c r="E349" i="1"/>
  <c r="A350" i="1"/>
  <c r="H350" i="1" s="1"/>
  <c r="B349" i="1"/>
  <c r="L349" i="1" s="1"/>
  <c r="W349" i="1" l="1"/>
  <c r="Z349" i="1"/>
  <c r="J348" i="1"/>
  <c r="K348" i="1" s="1"/>
  <c r="O348" i="1" s="1"/>
  <c r="P348" i="1" s="1"/>
  <c r="Q348" i="1" s="1"/>
  <c r="R347" i="1"/>
  <c r="S347" i="1"/>
  <c r="G349" i="1"/>
  <c r="I349" i="1" s="1"/>
  <c r="V350" i="1"/>
  <c r="X350" i="1" s="1"/>
  <c r="Y350" i="1"/>
  <c r="Z350" i="1" s="1"/>
  <c r="D349" i="1"/>
  <c r="C349" i="1"/>
  <c r="A351" i="1"/>
  <c r="H351" i="1" s="1"/>
  <c r="E350" i="1"/>
  <c r="B350" i="1"/>
  <c r="L350" i="1" s="1"/>
  <c r="W350" i="1" l="1"/>
  <c r="J349" i="1"/>
  <c r="K349" i="1" s="1"/>
  <c r="O349" i="1" s="1"/>
  <c r="P349" i="1" s="1"/>
  <c r="Q349" i="1" s="1"/>
  <c r="R348" i="1"/>
  <c r="S348" i="1"/>
  <c r="G350" i="1"/>
  <c r="I350" i="1" s="1"/>
  <c r="V351" i="1"/>
  <c r="Y351" i="1"/>
  <c r="Z351" i="1" s="1"/>
  <c r="X351" i="1"/>
  <c r="W351" i="1"/>
  <c r="C350" i="1"/>
  <c r="D350" i="1"/>
  <c r="B351" i="1"/>
  <c r="L351" i="1" s="1"/>
  <c r="A352" i="1"/>
  <c r="H352" i="1" s="1"/>
  <c r="E351" i="1"/>
  <c r="J350" i="1" l="1"/>
  <c r="K350" i="1" s="1"/>
  <c r="O350" i="1" s="1"/>
  <c r="P350" i="1" s="1"/>
  <c r="Q350" i="1" s="1"/>
  <c r="R349" i="1"/>
  <c r="S349" i="1"/>
  <c r="G351" i="1"/>
  <c r="I351" i="1" s="1"/>
  <c r="V352" i="1"/>
  <c r="X352" i="1" s="1"/>
  <c r="Y352" i="1"/>
  <c r="Z352" i="1" s="1"/>
  <c r="E352" i="1"/>
  <c r="A353" i="1"/>
  <c r="H353" i="1" s="1"/>
  <c r="B352" i="1"/>
  <c r="L352" i="1" s="1"/>
  <c r="C351" i="1"/>
  <c r="D351" i="1"/>
  <c r="J351" i="1" l="1"/>
  <c r="K351" i="1" s="1"/>
  <c r="O351" i="1" s="1"/>
  <c r="P351" i="1" s="1"/>
  <c r="Q351" i="1" s="1"/>
  <c r="R350" i="1"/>
  <c r="S350" i="1"/>
  <c r="W352" i="1"/>
  <c r="G352" i="1"/>
  <c r="I352" i="1" s="1"/>
  <c r="V353" i="1"/>
  <c r="Y353" i="1"/>
  <c r="Z353" i="1" s="1"/>
  <c r="X353" i="1"/>
  <c r="W353" i="1"/>
  <c r="D352" i="1"/>
  <c r="C352" i="1"/>
  <c r="E353" i="1"/>
  <c r="A354" i="1"/>
  <c r="H354" i="1" s="1"/>
  <c r="B353" i="1"/>
  <c r="L353" i="1" s="1"/>
  <c r="J352" i="1" l="1"/>
  <c r="K352" i="1" s="1"/>
  <c r="O352" i="1" s="1"/>
  <c r="P352" i="1" s="1"/>
  <c r="Q352" i="1" s="1"/>
  <c r="R351" i="1"/>
  <c r="S351" i="1"/>
  <c r="G353" i="1"/>
  <c r="I353" i="1" s="1"/>
  <c r="V354" i="1"/>
  <c r="Y354" i="1"/>
  <c r="Z354" i="1" s="1"/>
  <c r="X354" i="1"/>
  <c r="W354" i="1"/>
  <c r="D353" i="1"/>
  <c r="C353" i="1"/>
  <c r="A355" i="1"/>
  <c r="H355" i="1" s="1"/>
  <c r="E354" i="1"/>
  <c r="B354" i="1"/>
  <c r="L354" i="1" s="1"/>
  <c r="J353" i="1" l="1"/>
  <c r="K353" i="1" s="1"/>
  <c r="O353" i="1" s="1"/>
  <c r="P353" i="1" s="1"/>
  <c r="Q353" i="1" s="1"/>
  <c r="R352" i="1"/>
  <c r="S352" i="1"/>
  <c r="G354" i="1"/>
  <c r="I354" i="1" s="1"/>
  <c r="V355" i="1"/>
  <c r="Y355" i="1"/>
  <c r="Z355" i="1" s="1"/>
  <c r="X355" i="1"/>
  <c r="W355" i="1"/>
  <c r="C354" i="1"/>
  <c r="D354" i="1"/>
  <c r="A356" i="1"/>
  <c r="H356" i="1" s="1"/>
  <c r="E355" i="1"/>
  <c r="B355" i="1"/>
  <c r="L355" i="1" s="1"/>
  <c r="J354" i="1" l="1"/>
  <c r="K354" i="1" s="1"/>
  <c r="O354" i="1" s="1"/>
  <c r="P354" i="1" s="1"/>
  <c r="Q354" i="1" s="1"/>
  <c r="R353" i="1"/>
  <c r="S353" i="1"/>
  <c r="G355" i="1"/>
  <c r="I355" i="1" s="1"/>
  <c r="V356" i="1"/>
  <c r="Y356" i="1"/>
  <c r="Z356" i="1" s="1"/>
  <c r="X356" i="1"/>
  <c r="W356" i="1"/>
  <c r="D355" i="1"/>
  <c r="C355" i="1"/>
  <c r="E356" i="1"/>
  <c r="B356" i="1"/>
  <c r="L356" i="1" s="1"/>
  <c r="A357" i="1"/>
  <c r="H357" i="1" s="1"/>
  <c r="J355" i="1" l="1"/>
  <c r="K355" i="1" s="1"/>
  <c r="O355" i="1" s="1"/>
  <c r="P355" i="1" s="1"/>
  <c r="Q355" i="1" s="1"/>
  <c r="R354" i="1"/>
  <c r="S354" i="1"/>
  <c r="G356" i="1"/>
  <c r="I356" i="1" s="1"/>
  <c r="V357" i="1"/>
  <c r="Y357" i="1"/>
  <c r="Z357" i="1" s="1"/>
  <c r="W357" i="1"/>
  <c r="X357" i="1"/>
  <c r="D356" i="1"/>
  <c r="C356" i="1"/>
  <c r="E357" i="1"/>
  <c r="A358" i="1"/>
  <c r="H358" i="1" s="1"/>
  <c r="B357" i="1"/>
  <c r="L357" i="1" s="1"/>
  <c r="J356" i="1" l="1"/>
  <c r="K356" i="1" s="1"/>
  <c r="O356" i="1" s="1"/>
  <c r="P356" i="1" s="1"/>
  <c r="Q356" i="1" s="1"/>
  <c r="R355" i="1"/>
  <c r="S355" i="1"/>
  <c r="G357" i="1"/>
  <c r="I357" i="1" s="1"/>
  <c r="V358" i="1"/>
  <c r="Y358" i="1"/>
  <c r="Z358" i="1" s="1"/>
  <c r="X358" i="1"/>
  <c r="W358" i="1"/>
  <c r="C357" i="1"/>
  <c r="D357" i="1"/>
  <c r="A359" i="1"/>
  <c r="H359" i="1" s="1"/>
  <c r="B358" i="1"/>
  <c r="L358" i="1" s="1"/>
  <c r="E358" i="1"/>
  <c r="J357" i="1" l="1"/>
  <c r="K357" i="1" s="1"/>
  <c r="O357" i="1" s="1"/>
  <c r="P357" i="1" s="1"/>
  <c r="Q357" i="1" s="1"/>
  <c r="R356" i="1"/>
  <c r="S356" i="1"/>
  <c r="G358" i="1"/>
  <c r="I358" i="1" s="1"/>
  <c r="V359" i="1"/>
  <c r="Y359" i="1"/>
  <c r="X359" i="1"/>
  <c r="W359" i="1"/>
  <c r="D358" i="1"/>
  <c r="C358" i="1"/>
  <c r="B359" i="1"/>
  <c r="L359" i="1" s="1"/>
  <c r="A360" i="1"/>
  <c r="H360" i="1" s="1"/>
  <c r="E359" i="1"/>
  <c r="J358" i="1" l="1"/>
  <c r="K358" i="1" s="1"/>
  <c r="O358" i="1" s="1"/>
  <c r="P358" i="1" s="1"/>
  <c r="Q358" i="1" s="1"/>
  <c r="R357" i="1"/>
  <c r="S357" i="1"/>
  <c r="Z359" i="1"/>
  <c r="G359" i="1"/>
  <c r="I359" i="1" s="1"/>
  <c r="V360" i="1"/>
  <c r="Y360" i="1"/>
  <c r="Z360" i="1" s="1"/>
  <c r="X360" i="1"/>
  <c r="W360" i="1"/>
  <c r="E360" i="1"/>
  <c r="A361" i="1"/>
  <c r="H361" i="1" s="1"/>
  <c r="B360" i="1"/>
  <c r="L360" i="1" s="1"/>
  <c r="C359" i="1"/>
  <c r="D359" i="1"/>
  <c r="J359" i="1" l="1"/>
  <c r="K359" i="1" s="1"/>
  <c r="O359" i="1" s="1"/>
  <c r="P359" i="1" s="1"/>
  <c r="Q359" i="1" s="1"/>
  <c r="R358" i="1"/>
  <c r="S358" i="1"/>
  <c r="G360" i="1"/>
  <c r="I360" i="1" s="1"/>
  <c r="V361" i="1"/>
  <c r="X361" i="1" s="1"/>
  <c r="Y361" i="1"/>
  <c r="D360" i="1"/>
  <c r="C360" i="1"/>
  <c r="A362" i="1"/>
  <c r="H362" i="1" s="1"/>
  <c r="B361" i="1"/>
  <c r="L361" i="1" s="1"/>
  <c r="E361" i="1"/>
  <c r="Z361" i="1" l="1"/>
  <c r="W361" i="1"/>
  <c r="J360" i="1"/>
  <c r="K360" i="1" s="1"/>
  <c r="O360" i="1" s="1"/>
  <c r="P360" i="1" s="1"/>
  <c r="Q360" i="1" s="1"/>
  <c r="R359" i="1"/>
  <c r="S359" i="1"/>
  <c r="G361" i="1"/>
  <c r="I361" i="1" s="1"/>
  <c r="V362" i="1"/>
  <c r="Y362" i="1"/>
  <c r="Z362" i="1" s="1"/>
  <c r="X362" i="1"/>
  <c r="W362" i="1"/>
  <c r="D361" i="1"/>
  <c r="C361" i="1"/>
  <c r="B362" i="1"/>
  <c r="L362" i="1" s="1"/>
  <c r="E362" i="1"/>
  <c r="A363" i="1"/>
  <c r="H363" i="1" s="1"/>
  <c r="J361" i="1" l="1"/>
  <c r="K361" i="1" s="1"/>
  <c r="O361" i="1" s="1"/>
  <c r="P361" i="1" s="1"/>
  <c r="Q361" i="1" s="1"/>
  <c r="R360" i="1"/>
  <c r="S360" i="1"/>
  <c r="G362" i="1"/>
  <c r="I362" i="1" s="1"/>
  <c r="V363" i="1"/>
  <c r="W363" i="1" s="1"/>
  <c r="Y363" i="1"/>
  <c r="E363" i="1"/>
  <c r="B363" i="1"/>
  <c r="L363" i="1" s="1"/>
  <c r="A364" i="1"/>
  <c r="H364" i="1" s="1"/>
  <c r="D362" i="1"/>
  <c r="C362" i="1"/>
  <c r="J362" i="1" l="1"/>
  <c r="K362" i="1" s="1"/>
  <c r="O362" i="1" s="1"/>
  <c r="P362" i="1" s="1"/>
  <c r="Q362" i="1" s="1"/>
  <c r="R361" i="1"/>
  <c r="S361" i="1"/>
  <c r="X363" i="1"/>
  <c r="G363" i="1"/>
  <c r="I363" i="1" s="1"/>
  <c r="Z363" i="1"/>
  <c r="V364" i="1"/>
  <c r="W364" i="1" s="1"/>
  <c r="Y364" i="1"/>
  <c r="C363" i="1"/>
  <c r="D363" i="1"/>
  <c r="A365" i="1"/>
  <c r="H365" i="1" s="1"/>
  <c r="E364" i="1"/>
  <c r="B364" i="1"/>
  <c r="L364" i="1" s="1"/>
  <c r="J363" i="1" l="1"/>
  <c r="K363" i="1" s="1"/>
  <c r="O363" i="1" s="1"/>
  <c r="P363" i="1" s="1"/>
  <c r="Q363" i="1" s="1"/>
  <c r="R362" i="1"/>
  <c r="S362" i="1"/>
  <c r="G364" i="1"/>
  <c r="I364" i="1" s="1"/>
  <c r="Z364" i="1"/>
  <c r="X364" i="1"/>
  <c r="V365" i="1"/>
  <c r="Y365" i="1"/>
  <c r="Z365" i="1" s="1"/>
  <c r="X365" i="1"/>
  <c r="W365" i="1"/>
  <c r="D364" i="1"/>
  <c r="C364" i="1"/>
  <c r="E365" i="1"/>
  <c r="A366" i="1"/>
  <c r="H366" i="1" s="1"/>
  <c r="B365" i="1"/>
  <c r="L365" i="1" s="1"/>
  <c r="J364" i="1" l="1"/>
  <c r="K364" i="1" s="1"/>
  <c r="O364" i="1" s="1"/>
  <c r="P364" i="1" s="1"/>
  <c r="Q364" i="1" s="1"/>
  <c r="R363" i="1"/>
  <c r="S363" i="1"/>
  <c r="G365" i="1"/>
  <c r="I365" i="1" s="1"/>
  <c r="V366" i="1"/>
  <c r="Y366" i="1"/>
  <c r="Z366" i="1" s="1"/>
  <c r="X366" i="1"/>
  <c r="W366" i="1"/>
  <c r="C365" i="1"/>
  <c r="D365" i="1"/>
  <c r="E366" i="1"/>
  <c r="B366" i="1"/>
  <c r="L366" i="1" s="1"/>
  <c r="A367" i="1"/>
  <c r="H367" i="1" s="1"/>
  <c r="J365" i="1" l="1"/>
  <c r="K365" i="1" s="1"/>
  <c r="O365" i="1" s="1"/>
  <c r="P365" i="1" s="1"/>
  <c r="Q365" i="1" s="1"/>
  <c r="R364" i="1"/>
  <c r="S364" i="1"/>
  <c r="G366" i="1"/>
  <c r="I366" i="1" s="1"/>
  <c r="V367" i="1"/>
  <c r="Y367" i="1"/>
  <c r="Z367" i="1" s="1"/>
  <c r="X367" i="1"/>
  <c r="W367" i="1"/>
  <c r="D366" i="1"/>
  <c r="C366" i="1"/>
  <c r="B367" i="1"/>
  <c r="L367" i="1" s="1"/>
  <c r="A368" i="1"/>
  <c r="H368" i="1" s="1"/>
  <c r="E367" i="1"/>
  <c r="J366" i="1" l="1"/>
  <c r="K366" i="1" s="1"/>
  <c r="O366" i="1" s="1"/>
  <c r="P366" i="1" s="1"/>
  <c r="Q366" i="1" s="1"/>
  <c r="R365" i="1"/>
  <c r="S365" i="1"/>
  <c r="G367" i="1"/>
  <c r="I367" i="1" s="1"/>
  <c r="V368" i="1"/>
  <c r="W368" i="1" s="1"/>
  <c r="Y368" i="1"/>
  <c r="B368" i="1"/>
  <c r="L368" i="1" s="1"/>
  <c r="E368" i="1"/>
  <c r="A369" i="1"/>
  <c r="H369" i="1" s="1"/>
  <c r="C367" i="1"/>
  <c r="D367" i="1"/>
  <c r="Z368" i="1" l="1"/>
  <c r="X368" i="1"/>
  <c r="J367" i="1"/>
  <c r="K367" i="1" s="1"/>
  <c r="O367" i="1" s="1"/>
  <c r="P367" i="1" s="1"/>
  <c r="Q367" i="1" s="1"/>
  <c r="R366" i="1"/>
  <c r="S366" i="1"/>
  <c r="G368" i="1"/>
  <c r="I368" i="1" s="1"/>
  <c r="V369" i="1"/>
  <c r="X369" i="1" s="1"/>
  <c r="Y369" i="1"/>
  <c r="E369" i="1"/>
  <c r="B369" i="1"/>
  <c r="L369" i="1" s="1"/>
  <c r="A370" i="1"/>
  <c r="H370" i="1" s="1"/>
  <c r="C368" i="1"/>
  <c r="D368" i="1"/>
  <c r="J368" i="1" l="1"/>
  <c r="K368" i="1" s="1"/>
  <c r="O368" i="1" s="1"/>
  <c r="P368" i="1" s="1"/>
  <c r="Q368" i="1" s="1"/>
  <c r="R367" i="1"/>
  <c r="S367" i="1"/>
  <c r="W369" i="1"/>
  <c r="Z369" i="1"/>
  <c r="G369" i="1"/>
  <c r="I369" i="1" s="1"/>
  <c r="V370" i="1"/>
  <c r="W370" i="1" s="1"/>
  <c r="Y370" i="1"/>
  <c r="X370" i="1"/>
  <c r="A371" i="1"/>
  <c r="H371" i="1" s="1"/>
  <c r="B370" i="1"/>
  <c r="L370" i="1" s="1"/>
  <c r="E370" i="1"/>
  <c r="D369" i="1"/>
  <c r="C369" i="1"/>
  <c r="J369" i="1" l="1"/>
  <c r="K369" i="1" s="1"/>
  <c r="O369" i="1" s="1"/>
  <c r="P369" i="1" s="1"/>
  <c r="Q369" i="1" s="1"/>
  <c r="R368" i="1"/>
  <c r="S368" i="1"/>
  <c r="G370" i="1"/>
  <c r="I370" i="1" s="1"/>
  <c r="Z370" i="1"/>
  <c r="V371" i="1"/>
  <c r="Y371" i="1"/>
  <c r="Z371" i="1" s="1"/>
  <c r="X371" i="1"/>
  <c r="W371" i="1"/>
  <c r="D370" i="1"/>
  <c r="C370" i="1"/>
  <c r="A372" i="1"/>
  <c r="H372" i="1" s="1"/>
  <c r="B371" i="1"/>
  <c r="L371" i="1" s="1"/>
  <c r="E371" i="1"/>
  <c r="J370" i="1" l="1"/>
  <c r="K370" i="1" s="1"/>
  <c r="O370" i="1" s="1"/>
  <c r="P370" i="1" s="1"/>
  <c r="Q370" i="1" s="1"/>
  <c r="R369" i="1"/>
  <c r="S369" i="1"/>
  <c r="G371" i="1"/>
  <c r="I371" i="1" s="1"/>
  <c r="V372" i="1"/>
  <c r="X372" i="1" s="1"/>
  <c r="Y372" i="1"/>
  <c r="D371" i="1"/>
  <c r="C371" i="1"/>
  <c r="B372" i="1"/>
  <c r="L372" i="1" s="1"/>
  <c r="A373" i="1"/>
  <c r="H373" i="1" s="1"/>
  <c r="E372" i="1"/>
  <c r="W372" i="1" l="1"/>
  <c r="Z372" i="1"/>
  <c r="J371" i="1"/>
  <c r="K371" i="1" s="1"/>
  <c r="O371" i="1" s="1"/>
  <c r="P371" i="1" s="1"/>
  <c r="Q371" i="1" s="1"/>
  <c r="R370" i="1"/>
  <c r="S370" i="1"/>
  <c r="G372" i="1"/>
  <c r="I372" i="1" s="1"/>
  <c r="V373" i="1"/>
  <c r="W373" i="1" s="1"/>
  <c r="Y373" i="1"/>
  <c r="Z373" i="1" s="1"/>
  <c r="X373" i="1"/>
  <c r="D372" i="1"/>
  <c r="C372" i="1"/>
  <c r="B373" i="1"/>
  <c r="L373" i="1" s="1"/>
  <c r="A374" i="1"/>
  <c r="H374" i="1" s="1"/>
  <c r="E373" i="1"/>
  <c r="J372" i="1" l="1"/>
  <c r="K372" i="1" s="1"/>
  <c r="O372" i="1" s="1"/>
  <c r="P372" i="1" s="1"/>
  <c r="Q372" i="1" s="1"/>
  <c r="R371" i="1"/>
  <c r="S371" i="1"/>
  <c r="G373" i="1"/>
  <c r="I373" i="1" s="1"/>
  <c r="V374" i="1"/>
  <c r="Y374" i="1"/>
  <c r="Z374" i="1" s="1"/>
  <c r="W374" i="1"/>
  <c r="X374" i="1"/>
  <c r="A375" i="1"/>
  <c r="H375" i="1" s="1"/>
  <c r="B374" i="1"/>
  <c r="L374" i="1" s="1"/>
  <c r="E374" i="1"/>
  <c r="D373" i="1"/>
  <c r="C373" i="1"/>
  <c r="J373" i="1" l="1"/>
  <c r="K373" i="1" s="1"/>
  <c r="O373" i="1" s="1"/>
  <c r="P373" i="1" s="1"/>
  <c r="Q373" i="1" s="1"/>
  <c r="R372" i="1"/>
  <c r="S372" i="1"/>
  <c r="G374" i="1"/>
  <c r="I374" i="1" s="1"/>
  <c r="V375" i="1"/>
  <c r="Y375" i="1"/>
  <c r="Z375" i="1" s="1"/>
  <c r="X375" i="1"/>
  <c r="W375" i="1"/>
  <c r="D374" i="1"/>
  <c r="C374" i="1"/>
  <c r="B375" i="1"/>
  <c r="L375" i="1" s="1"/>
  <c r="A376" i="1"/>
  <c r="H376" i="1" s="1"/>
  <c r="E375" i="1"/>
  <c r="J374" i="1" l="1"/>
  <c r="K374" i="1" s="1"/>
  <c r="O374" i="1" s="1"/>
  <c r="P374" i="1" s="1"/>
  <c r="Q374" i="1" s="1"/>
  <c r="R373" i="1"/>
  <c r="S373" i="1"/>
  <c r="G375" i="1"/>
  <c r="I375" i="1" s="1"/>
  <c r="V376" i="1"/>
  <c r="Y376" i="1"/>
  <c r="Z376" i="1" s="1"/>
  <c r="X376" i="1"/>
  <c r="W376" i="1"/>
  <c r="B376" i="1"/>
  <c r="L376" i="1" s="1"/>
  <c r="E376" i="1"/>
  <c r="A377" i="1"/>
  <c r="H377" i="1" s="1"/>
  <c r="C375" i="1"/>
  <c r="D375" i="1"/>
  <c r="J375" i="1" l="1"/>
  <c r="K375" i="1" s="1"/>
  <c r="O375" i="1" s="1"/>
  <c r="P375" i="1" s="1"/>
  <c r="Q375" i="1" s="1"/>
  <c r="R374" i="1"/>
  <c r="S374" i="1"/>
  <c r="G376" i="1"/>
  <c r="I376" i="1" s="1"/>
  <c r="V377" i="1"/>
  <c r="Y377" i="1"/>
  <c r="Z377" i="1" s="1"/>
  <c r="W377" i="1"/>
  <c r="X377" i="1"/>
  <c r="E377" i="1"/>
  <c r="B377" i="1"/>
  <c r="L377" i="1" s="1"/>
  <c r="A378" i="1"/>
  <c r="H378" i="1" s="1"/>
  <c r="D376" i="1"/>
  <c r="C376" i="1"/>
  <c r="J376" i="1" l="1"/>
  <c r="K376" i="1" s="1"/>
  <c r="O376" i="1" s="1"/>
  <c r="P376" i="1" s="1"/>
  <c r="Q376" i="1" s="1"/>
  <c r="R375" i="1"/>
  <c r="S375" i="1"/>
  <c r="G377" i="1"/>
  <c r="I377" i="1" s="1"/>
  <c r="V378" i="1"/>
  <c r="Y378" i="1"/>
  <c r="Z378" i="1" s="1"/>
  <c r="X378" i="1"/>
  <c r="W378" i="1"/>
  <c r="A379" i="1"/>
  <c r="H379" i="1" s="1"/>
  <c r="B378" i="1"/>
  <c r="L378" i="1" s="1"/>
  <c r="E378" i="1"/>
  <c r="D377" i="1"/>
  <c r="C377" i="1"/>
  <c r="J377" i="1" l="1"/>
  <c r="K377" i="1" s="1"/>
  <c r="O377" i="1" s="1"/>
  <c r="P377" i="1" s="1"/>
  <c r="Q377" i="1" s="1"/>
  <c r="R376" i="1"/>
  <c r="S376" i="1"/>
  <c r="G378" i="1"/>
  <c r="I378" i="1" s="1"/>
  <c r="V379" i="1"/>
  <c r="Y379" i="1"/>
  <c r="Z379" i="1" s="1"/>
  <c r="X379" i="1"/>
  <c r="W379" i="1"/>
  <c r="C378" i="1"/>
  <c r="D378" i="1"/>
  <c r="B379" i="1"/>
  <c r="L379" i="1" s="1"/>
  <c r="A380" i="1"/>
  <c r="H380" i="1" s="1"/>
  <c r="E379" i="1"/>
  <c r="J378" i="1" l="1"/>
  <c r="K378" i="1" s="1"/>
  <c r="O378" i="1" s="1"/>
  <c r="P378" i="1" s="1"/>
  <c r="Q378" i="1" s="1"/>
  <c r="R377" i="1"/>
  <c r="S377" i="1"/>
  <c r="G379" i="1"/>
  <c r="I379" i="1" s="1"/>
  <c r="V380" i="1"/>
  <c r="X380" i="1" s="1"/>
  <c r="Y380" i="1"/>
  <c r="B380" i="1"/>
  <c r="L380" i="1" s="1"/>
  <c r="E380" i="1"/>
  <c r="A381" i="1"/>
  <c r="H381" i="1" s="1"/>
  <c r="D379" i="1"/>
  <c r="C379" i="1"/>
  <c r="W380" i="1" l="1"/>
  <c r="J379" i="1"/>
  <c r="K379" i="1" s="1"/>
  <c r="O379" i="1" s="1"/>
  <c r="P379" i="1" s="1"/>
  <c r="Q379" i="1" s="1"/>
  <c r="R378" i="1"/>
  <c r="S378" i="1"/>
  <c r="G380" i="1"/>
  <c r="I380" i="1" s="1"/>
  <c r="Z380" i="1"/>
  <c r="V381" i="1"/>
  <c r="Y381" i="1"/>
  <c r="Z381" i="1" s="1"/>
  <c r="X381" i="1"/>
  <c r="W381" i="1"/>
  <c r="A382" i="1"/>
  <c r="H382" i="1" s="1"/>
  <c r="B381" i="1"/>
  <c r="L381" i="1" s="1"/>
  <c r="E381" i="1"/>
  <c r="C380" i="1"/>
  <c r="D380" i="1"/>
  <c r="J380" i="1" l="1"/>
  <c r="K380" i="1" s="1"/>
  <c r="O380" i="1" s="1"/>
  <c r="P380" i="1" s="1"/>
  <c r="Q380" i="1" s="1"/>
  <c r="R379" i="1"/>
  <c r="S379" i="1"/>
  <c r="G381" i="1"/>
  <c r="I381" i="1" s="1"/>
  <c r="V382" i="1"/>
  <c r="X382" i="1" s="1"/>
  <c r="Y382" i="1"/>
  <c r="D381" i="1"/>
  <c r="C381" i="1"/>
  <c r="A383" i="1"/>
  <c r="H383" i="1" s="1"/>
  <c r="B382" i="1"/>
  <c r="L382" i="1" s="1"/>
  <c r="E382" i="1"/>
  <c r="J381" i="1" l="1"/>
  <c r="K381" i="1" s="1"/>
  <c r="O381" i="1" s="1"/>
  <c r="P381" i="1" s="1"/>
  <c r="Q381" i="1" s="1"/>
  <c r="R380" i="1"/>
  <c r="S380" i="1"/>
  <c r="W382" i="1"/>
  <c r="Z382" i="1"/>
  <c r="G382" i="1"/>
  <c r="I382" i="1" s="1"/>
  <c r="V383" i="1"/>
  <c r="X383" i="1" s="1"/>
  <c r="Y383" i="1"/>
  <c r="Z383" i="1" s="1"/>
  <c r="C382" i="1"/>
  <c r="D382" i="1"/>
  <c r="B383" i="1"/>
  <c r="L383" i="1" s="1"/>
  <c r="E383" i="1"/>
  <c r="A384" i="1"/>
  <c r="H384" i="1" s="1"/>
  <c r="W383" i="1" l="1"/>
  <c r="J382" i="1"/>
  <c r="K382" i="1" s="1"/>
  <c r="O382" i="1" s="1"/>
  <c r="P382" i="1" s="1"/>
  <c r="Q382" i="1" s="1"/>
  <c r="R381" i="1"/>
  <c r="S381" i="1"/>
  <c r="G383" i="1"/>
  <c r="I383" i="1" s="1"/>
  <c r="V384" i="1"/>
  <c r="X384" i="1" s="1"/>
  <c r="Y384" i="1"/>
  <c r="E384" i="1"/>
  <c r="B384" i="1"/>
  <c r="L384" i="1" s="1"/>
  <c r="A385" i="1"/>
  <c r="H385" i="1" s="1"/>
  <c r="D383" i="1"/>
  <c r="C383" i="1"/>
  <c r="J383" i="1" l="1"/>
  <c r="K383" i="1" s="1"/>
  <c r="O383" i="1" s="1"/>
  <c r="P383" i="1" s="1"/>
  <c r="Q383" i="1" s="1"/>
  <c r="R382" i="1"/>
  <c r="S382" i="1"/>
  <c r="G384" i="1"/>
  <c r="I384" i="1" s="1"/>
  <c r="Z384" i="1"/>
  <c r="W384" i="1"/>
  <c r="V385" i="1"/>
  <c r="W385" i="1" s="1"/>
  <c r="Y385" i="1"/>
  <c r="B385" i="1"/>
  <c r="L385" i="1" s="1"/>
  <c r="E385" i="1"/>
  <c r="A386" i="1"/>
  <c r="H386" i="1" s="1"/>
  <c r="D384" i="1"/>
  <c r="C384" i="1"/>
  <c r="J384" i="1" l="1"/>
  <c r="K384" i="1" s="1"/>
  <c r="O384" i="1" s="1"/>
  <c r="P384" i="1" s="1"/>
  <c r="Q384" i="1" s="1"/>
  <c r="R383" i="1"/>
  <c r="S383" i="1"/>
  <c r="X385" i="1"/>
  <c r="Z385" i="1"/>
  <c r="G385" i="1"/>
  <c r="I385" i="1" s="1"/>
  <c r="V386" i="1"/>
  <c r="W386" i="1" s="1"/>
  <c r="Y386" i="1"/>
  <c r="A387" i="1"/>
  <c r="H387" i="1" s="1"/>
  <c r="B386" i="1"/>
  <c r="L386" i="1" s="1"/>
  <c r="E386" i="1"/>
  <c r="D385" i="1"/>
  <c r="C385" i="1"/>
  <c r="Z386" i="1" l="1"/>
  <c r="J385" i="1"/>
  <c r="K385" i="1" s="1"/>
  <c r="O385" i="1" s="1"/>
  <c r="P385" i="1" s="1"/>
  <c r="Q385" i="1" s="1"/>
  <c r="R384" i="1"/>
  <c r="S384" i="1"/>
  <c r="X386" i="1"/>
  <c r="G386" i="1"/>
  <c r="I386" i="1" s="1"/>
  <c r="V387" i="1"/>
  <c r="Y387" i="1"/>
  <c r="Z387" i="1" s="1"/>
  <c r="W387" i="1"/>
  <c r="X387" i="1"/>
  <c r="C386" i="1"/>
  <c r="D386" i="1"/>
  <c r="E387" i="1"/>
  <c r="A388" i="1"/>
  <c r="H388" i="1" s="1"/>
  <c r="B387" i="1"/>
  <c r="L387" i="1" s="1"/>
  <c r="J386" i="1" l="1"/>
  <c r="K386" i="1" s="1"/>
  <c r="O386" i="1" s="1"/>
  <c r="P386" i="1" s="1"/>
  <c r="Q386" i="1" s="1"/>
  <c r="R385" i="1"/>
  <c r="S385" i="1"/>
  <c r="G387" i="1"/>
  <c r="I387" i="1" s="1"/>
  <c r="V388" i="1"/>
  <c r="W388" i="1" s="1"/>
  <c r="Y388" i="1"/>
  <c r="D387" i="1"/>
  <c r="C387" i="1"/>
  <c r="B388" i="1"/>
  <c r="L388" i="1" s="1"/>
  <c r="A389" i="1"/>
  <c r="H389" i="1" s="1"/>
  <c r="E388" i="1"/>
  <c r="J387" i="1" l="1"/>
  <c r="K387" i="1" s="1"/>
  <c r="O387" i="1" s="1"/>
  <c r="P387" i="1" s="1"/>
  <c r="Q387" i="1" s="1"/>
  <c r="S387" i="1" s="1"/>
  <c r="R386" i="1"/>
  <c r="S386" i="1"/>
  <c r="Z388" i="1"/>
  <c r="X388" i="1"/>
  <c r="G388" i="1"/>
  <c r="I388" i="1" s="1"/>
  <c r="V389" i="1"/>
  <c r="W389" i="1" s="1"/>
  <c r="Y389" i="1"/>
  <c r="X389" i="1"/>
  <c r="B389" i="1"/>
  <c r="L389" i="1" s="1"/>
  <c r="A390" i="1"/>
  <c r="H390" i="1" s="1"/>
  <c r="E389" i="1"/>
  <c r="C388" i="1"/>
  <c r="D388" i="1"/>
  <c r="J388" i="1" l="1"/>
  <c r="K388" i="1" s="1"/>
  <c r="O388" i="1" s="1"/>
  <c r="P388" i="1" s="1"/>
  <c r="Q388" i="1" s="1"/>
  <c r="R387" i="1"/>
  <c r="G389" i="1"/>
  <c r="I389" i="1" s="1"/>
  <c r="Z389" i="1"/>
  <c r="V390" i="1"/>
  <c r="W390" i="1" s="1"/>
  <c r="Y390" i="1"/>
  <c r="X390" i="1"/>
  <c r="E390" i="1"/>
  <c r="A391" i="1"/>
  <c r="H391" i="1" s="1"/>
  <c r="B390" i="1"/>
  <c r="L390" i="1" s="1"/>
  <c r="D389" i="1"/>
  <c r="C389" i="1"/>
  <c r="Z390" i="1" l="1"/>
  <c r="J389" i="1"/>
  <c r="K389" i="1" s="1"/>
  <c r="O389" i="1" s="1"/>
  <c r="P389" i="1" s="1"/>
  <c r="Q389" i="1" s="1"/>
  <c r="R388" i="1"/>
  <c r="S388" i="1"/>
  <c r="G390" i="1"/>
  <c r="I390" i="1" s="1"/>
  <c r="V391" i="1"/>
  <c r="Y391" i="1"/>
  <c r="Z391" i="1" s="1"/>
  <c r="X391" i="1"/>
  <c r="W391" i="1"/>
  <c r="D390" i="1"/>
  <c r="C390" i="1"/>
  <c r="B391" i="1"/>
  <c r="L391" i="1" s="1"/>
  <c r="A392" i="1"/>
  <c r="H392" i="1" s="1"/>
  <c r="E391" i="1"/>
  <c r="J390" i="1" l="1"/>
  <c r="K390" i="1" s="1"/>
  <c r="O390" i="1" s="1"/>
  <c r="P390" i="1" s="1"/>
  <c r="Q390" i="1" s="1"/>
  <c r="R389" i="1"/>
  <c r="S389" i="1"/>
  <c r="G391" i="1"/>
  <c r="I391" i="1" s="1"/>
  <c r="V392" i="1"/>
  <c r="W392" i="1" s="1"/>
  <c r="Y392" i="1"/>
  <c r="A393" i="1"/>
  <c r="H393" i="1" s="1"/>
  <c r="E392" i="1"/>
  <c r="B392" i="1"/>
  <c r="L392" i="1" s="1"/>
  <c r="D391" i="1"/>
  <c r="C391" i="1"/>
  <c r="X392" i="1" l="1"/>
  <c r="Z392" i="1"/>
  <c r="J391" i="1"/>
  <c r="K391" i="1" s="1"/>
  <c r="O391" i="1" s="1"/>
  <c r="P391" i="1" s="1"/>
  <c r="Q391" i="1" s="1"/>
  <c r="R390" i="1"/>
  <c r="S390" i="1"/>
  <c r="G392" i="1"/>
  <c r="I392" i="1" s="1"/>
  <c r="V393" i="1"/>
  <c r="X393" i="1" s="1"/>
  <c r="Y393" i="1"/>
  <c r="Z393" i="1" s="1"/>
  <c r="W393" i="1"/>
  <c r="C392" i="1"/>
  <c r="D392" i="1"/>
  <c r="E393" i="1"/>
  <c r="A394" i="1"/>
  <c r="H394" i="1" s="1"/>
  <c r="B393" i="1"/>
  <c r="L393" i="1" s="1"/>
  <c r="J392" i="1" l="1"/>
  <c r="K392" i="1" s="1"/>
  <c r="O392" i="1" s="1"/>
  <c r="P392" i="1" s="1"/>
  <c r="Q392" i="1" s="1"/>
  <c r="R391" i="1"/>
  <c r="S391" i="1"/>
  <c r="G393" i="1"/>
  <c r="I393" i="1" s="1"/>
  <c r="V394" i="1"/>
  <c r="W394" i="1" s="1"/>
  <c r="Y394" i="1"/>
  <c r="X394" i="1"/>
  <c r="D393" i="1"/>
  <c r="C393" i="1"/>
  <c r="E394" i="1"/>
  <c r="B394" i="1"/>
  <c r="L394" i="1" s="1"/>
  <c r="A395" i="1"/>
  <c r="H395" i="1" s="1"/>
  <c r="J393" i="1" l="1"/>
  <c r="K393" i="1" s="1"/>
  <c r="O393" i="1" s="1"/>
  <c r="P393" i="1" s="1"/>
  <c r="Q393" i="1" s="1"/>
  <c r="R392" i="1"/>
  <c r="S392" i="1"/>
  <c r="G394" i="1"/>
  <c r="I394" i="1" s="1"/>
  <c r="Z394" i="1"/>
  <c r="V395" i="1"/>
  <c r="Y395" i="1"/>
  <c r="Z395" i="1" s="1"/>
  <c r="X395" i="1"/>
  <c r="W395" i="1"/>
  <c r="A396" i="1"/>
  <c r="H396" i="1" s="1"/>
  <c r="E395" i="1"/>
  <c r="B395" i="1"/>
  <c r="L395" i="1" s="1"/>
  <c r="D394" i="1"/>
  <c r="C394" i="1"/>
  <c r="J394" i="1" l="1"/>
  <c r="K394" i="1" s="1"/>
  <c r="O394" i="1" s="1"/>
  <c r="P394" i="1" s="1"/>
  <c r="Q394" i="1" s="1"/>
  <c r="R393" i="1"/>
  <c r="S393" i="1"/>
  <c r="G395" i="1"/>
  <c r="I395" i="1" s="1"/>
  <c r="V396" i="1"/>
  <c r="W396" i="1" s="1"/>
  <c r="Y396" i="1"/>
  <c r="Z396" i="1" s="1"/>
  <c r="X396" i="1"/>
  <c r="D395" i="1"/>
  <c r="C395" i="1"/>
  <c r="A397" i="1"/>
  <c r="H397" i="1" s="1"/>
  <c r="E396" i="1"/>
  <c r="B396" i="1"/>
  <c r="L396" i="1" s="1"/>
  <c r="J395" i="1" l="1"/>
  <c r="K395" i="1" s="1"/>
  <c r="O395" i="1" s="1"/>
  <c r="P395" i="1" s="1"/>
  <c r="Q395" i="1" s="1"/>
  <c r="R394" i="1"/>
  <c r="S394" i="1"/>
  <c r="G396" i="1"/>
  <c r="I396" i="1" s="1"/>
  <c r="V397" i="1"/>
  <c r="Y397" i="1"/>
  <c r="Z397" i="1" s="1"/>
  <c r="X397" i="1"/>
  <c r="W397" i="1"/>
  <c r="C396" i="1"/>
  <c r="D396" i="1"/>
  <c r="B397" i="1"/>
  <c r="L397" i="1" s="1"/>
  <c r="E397" i="1"/>
  <c r="A398" i="1"/>
  <c r="H398" i="1" s="1"/>
  <c r="J396" i="1" l="1"/>
  <c r="K396" i="1" s="1"/>
  <c r="O396" i="1" s="1"/>
  <c r="P396" i="1" s="1"/>
  <c r="Q396" i="1" s="1"/>
  <c r="R395" i="1"/>
  <c r="S395" i="1"/>
  <c r="G397" i="1"/>
  <c r="I397" i="1" s="1"/>
  <c r="V398" i="1"/>
  <c r="W398" i="1" s="1"/>
  <c r="Y398" i="1"/>
  <c r="A399" i="1"/>
  <c r="H399" i="1" s="1"/>
  <c r="B398" i="1"/>
  <c r="L398" i="1" s="1"/>
  <c r="E398" i="1"/>
  <c r="C397" i="1"/>
  <c r="D397" i="1"/>
  <c r="X398" i="1" l="1"/>
  <c r="Z398" i="1"/>
  <c r="J397" i="1"/>
  <c r="K397" i="1" s="1"/>
  <c r="O397" i="1" s="1"/>
  <c r="P397" i="1" s="1"/>
  <c r="Q397" i="1" s="1"/>
  <c r="R396" i="1"/>
  <c r="S396" i="1"/>
  <c r="G398" i="1"/>
  <c r="I398" i="1" s="1"/>
  <c r="V399" i="1"/>
  <c r="X399" i="1" s="1"/>
  <c r="Y399" i="1"/>
  <c r="W399" i="1"/>
  <c r="C398" i="1"/>
  <c r="D398" i="1"/>
  <c r="E399" i="1"/>
  <c r="A400" i="1"/>
  <c r="H400" i="1" s="1"/>
  <c r="B399" i="1"/>
  <c r="L399" i="1" s="1"/>
  <c r="Z399" i="1" l="1"/>
  <c r="J398" i="1"/>
  <c r="K398" i="1" s="1"/>
  <c r="O398" i="1" s="1"/>
  <c r="P398" i="1" s="1"/>
  <c r="Q398" i="1" s="1"/>
  <c r="R397" i="1"/>
  <c r="S397" i="1"/>
  <c r="G399" i="1"/>
  <c r="I399" i="1" s="1"/>
  <c r="V400" i="1"/>
  <c r="X400" i="1" s="1"/>
  <c r="Y400" i="1"/>
  <c r="W400" i="1"/>
  <c r="C399" i="1"/>
  <c r="D399" i="1"/>
  <c r="A401" i="1"/>
  <c r="H401" i="1" s="1"/>
  <c r="B400" i="1"/>
  <c r="L400" i="1" s="1"/>
  <c r="E400" i="1"/>
  <c r="J399" i="1" l="1"/>
  <c r="K399" i="1" s="1"/>
  <c r="O399" i="1" s="1"/>
  <c r="P399" i="1" s="1"/>
  <c r="Q399" i="1" s="1"/>
  <c r="R398" i="1"/>
  <c r="S398" i="1"/>
  <c r="G400" i="1"/>
  <c r="I400" i="1" s="1"/>
  <c r="Z400" i="1"/>
  <c r="V401" i="1"/>
  <c r="X401" i="1" s="1"/>
  <c r="Y401" i="1"/>
  <c r="D400" i="1"/>
  <c r="C400" i="1"/>
  <c r="E401" i="1"/>
  <c r="A402" i="1"/>
  <c r="H402" i="1" s="1"/>
  <c r="B401" i="1"/>
  <c r="L401" i="1" s="1"/>
  <c r="J400" i="1" l="1"/>
  <c r="K400" i="1" s="1"/>
  <c r="O400" i="1" s="1"/>
  <c r="P400" i="1" s="1"/>
  <c r="Q400" i="1" s="1"/>
  <c r="R399" i="1"/>
  <c r="S399" i="1"/>
  <c r="G401" i="1"/>
  <c r="I401" i="1" s="1"/>
  <c r="W401" i="1"/>
  <c r="Z401" i="1"/>
  <c r="V402" i="1"/>
  <c r="Y402" i="1"/>
  <c r="Z402" i="1" s="1"/>
  <c r="X402" i="1"/>
  <c r="W402" i="1"/>
  <c r="E402" i="1"/>
  <c r="A403" i="1"/>
  <c r="H403" i="1" s="1"/>
  <c r="B402" i="1"/>
  <c r="L402" i="1" s="1"/>
  <c r="D401" i="1"/>
  <c r="C401" i="1"/>
  <c r="J401" i="1" l="1"/>
  <c r="K401" i="1" s="1"/>
  <c r="O401" i="1" s="1"/>
  <c r="P401" i="1" s="1"/>
  <c r="Q401" i="1" s="1"/>
  <c r="R400" i="1"/>
  <c r="S400" i="1"/>
  <c r="G402" i="1"/>
  <c r="I402" i="1" s="1"/>
  <c r="V403" i="1"/>
  <c r="Y403" i="1"/>
  <c r="Z403" i="1" s="1"/>
  <c r="X403" i="1"/>
  <c r="W403" i="1"/>
  <c r="C402" i="1"/>
  <c r="D402" i="1"/>
  <c r="B403" i="1"/>
  <c r="L403" i="1" s="1"/>
  <c r="A404" i="1"/>
  <c r="H404" i="1" s="1"/>
  <c r="E403" i="1"/>
  <c r="J402" i="1" l="1"/>
  <c r="K402" i="1" s="1"/>
  <c r="O402" i="1" s="1"/>
  <c r="P402" i="1" s="1"/>
  <c r="Q402" i="1" s="1"/>
  <c r="R401" i="1"/>
  <c r="S401" i="1"/>
  <c r="G403" i="1"/>
  <c r="I403" i="1" s="1"/>
  <c r="V404" i="1"/>
  <c r="W404" i="1" s="1"/>
  <c r="Y404" i="1"/>
  <c r="C403" i="1"/>
  <c r="D403" i="1"/>
  <c r="B404" i="1"/>
  <c r="L404" i="1" s="1"/>
  <c r="E404" i="1"/>
  <c r="A405" i="1"/>
  <c r="H405" i="1" s="1"/>
  <c r="J403" i="1" l="1"/>
  <c r="K403" i="1" s="1"/>
  <c r="O403" i="1" s="1"/>
  <c r="P403" i="1" s="1"/>
  <c r="Q403" i="1" s="1"/>
  <c r="R402" i="1"/>
  <c r="S402" i="1"/>
  <c r="X404" i="1"/>
  <c r="Z404" i="1"/>
  <c r="G404" i="1"/>
  <c r="I404" i="1" s="1"/>
  <c r="V405" i="1"/>
  <c r="Y405" i="1"/>
  <c r="Z405" i="1" s="1"/>
  <c r="X405" i="1"/>
  <c r="W405" i="1"/>
  <c r="A406" i="1"/>
  <c r="H406" i="1" s="1"/>
  <c r="B405" i="1"/>
  <c r="L405" i="1" s="1"/>
  <c r="E405" i="1"/>
  <c r="C404" i="1"/>
  <c r="D404" i="1"/>
  <c r="J404" i="1" l="1"/>
  <c r="K404" i="1" s="1"/>
  <c r="O404" i="1" s="1"/>
  <c r="P404" i="1" s="1"/>
  <c r="Q404" i="1" s="1"/>
  <c r="R403" i="1"/>
  <c r="S403" i="1"/>
  <c r="G405" i="1"/>
  <c r="I405" i="1" s="1"/>
  <c r="V406" i="1"/>
  <c r="X406" i="1" s="1"/>
  <c r="Y406" i="1"/>
  <c r="D405" i="1"/>
  <c r="C405" i="1"/>
  <c r="A407" i="1"/>
  <c r="H407" i="1" s="1"/>
  <c r="E406" i="1"/>
  <c r="B406" i="1"/>
  <c r="L406" i="1" s="1"/>
  <c r="J405" i="1" l="1"/>
  <c r="K405" i="1" s="1"/>
  <c r="O405" i="1" s="1"/>
  <c r="P405" i="1" s="1"/>
  <c r="Q405" i="1" s="1"/>
  <c r="R404" i="1"/>
  <c r="S404" i="1"/>
  <c r="Z406" i="1"/>
  <c r="W406" i="1"/>
  <c r="G406" i="1"/>
  <c r="I406" i="1" s="1"/>
  <c r="V407" i="1"/>
  <c r="W407" i="1" s="1"/>
  <c r="Y407" i="1"/>
  <c r="C406" i="1"/>
  <c r="D406" i="1"/>
  <c r="B407" i="1"/>
  <c r="L407" i="1" s="1"/>
  <c r="A408" i="1"/>
  <c r="H408" i="1" s="1"/>
  <c r="E407" i="1"/>
  <c r="Z407" i="1" l="1"/>
  <c r="J406" i="1"/>
  <c r="K406" i="1" s="1"/>
  <c r="O406" i="1" s="1"/>
  <c r="P406" i="1" s="1"/>
  <c r="Q406" i="1" s="1"/>
  <c r="R405" i="1"/>
  <c r="S405" i="1"/>
  <c r="G407" i="1"/>
  <c r="I407" i="1" s="1"/>
  <c r="X407" i="1"/>
  <c r="V408" i="1"/>
  <c r="Y408" i="1"/>
  <c r="Z408" i="1" s="1"/>
  <c r="X408" i="1"/>
  <c r="W408" i="1"/>
  <c r="E408" i="1"/>
  <c r="A409" i="1"/>
  <c r="H409" i="1" s="1"/>
  <c r="B408" i="1"/>
  <c r="L408" i="1" s="1"/>
  <c r="C407" i="1"/>
  <c r="D407" i="1"/>
  <c r="J407" i="1" l="1"/>
  <c r="K407" i="1" s="1"/>
  <c r="O407" i="1" s="1"/>
  <c r="P407" i="1" s="1"/>
  <c r="Q407" i="1" s="1"/>
  <c r="R406" i="1"/>
  <c r="S406" i="1"/>
  <c r="G408" i="1"/>
  <c r="I408" i="1" s="1"/>
  <c r="V409" i="1"/>
  <c r="X409" i="1" s="1"/>
  <c r="Y409" i="1"/>
  <c r="C408" i="1"/>
  <c r="D408" i="1"/>
  <c r="A410" i="1"/>
  <c r="H410" i="1" s="1"/>
  <c r="B409" i="1"/>
  <c r="L409" i="1" s="1"/>
  <c r="E409" i="1"/>
  <c r="J408" i="1" l="1"/>
  <c r="K408" i="1" s="1"/>
  <c r="O408" i="1" s="1"/>
  <c r="P408" i="1" s="1"/>
  <c r="Q408" i="1" s="1"/>
  <c r="R407" i="1"/>
  <c r="S407" i="1"/>
  <c r="W409" i="1"/>
  <c r="Z409" i="1"/>
  <c r="G409" i="1"/>
  <c r="I409" i="1" s="1"/>
  <c r="V410" i="1"/>
  <c r="Y410" i="1"/>
  <c r="Z410" i="1" s="1"/>
  <c r="W410" i="1"/>
  <c r="X410" i="1"/>
  <c r="D409" i="1"/>
  <c r="C409" i="1"/>
  <c r="B410" i="1"/>
  <c r="L410" i="1" s="1"/>
  <c r="E410" i="1"/>
  <c r="A411" i="1"/>
  <c r="H411" i="1" s="1"/>
  <c r="J409" i="1" l="1"/>
  <c r="K409" i="1" s="1"/>
  <c r="O409" i="1" s="1"/>
  <c r="P409" i="1" s="1"/>
  <c r="Q409" i="1" s="1"/>
  <c r="R408" i="1"/>
  <c r="S408" i="1"/>
  <c r="G410" i="1"/>
  <c r="I410" i="1" s="1"/>
  <c r="V411" i="1"/>
  <c r="X411" i="1" s="1"/>
  <c r="Y411" i="1"/>
  <c r="E411" i="1"/>
  <c r="A412" i="1"/>
  <c r="H412" i="1" s="1"/>
  <c r="B411" i="1"/>
  <c r="L411" i="1" s="1"/>
  <c r="C410" i="1"/>
  <c r="D410" i="1"/>
  <c r="Z411" i="1" l="1"/>
  <c r="W411" i="1"/>
  <c r="J410" i="1"/>
  <c r="K410" i="1" s="1"/>
  <c r="O410" i="1" s="1"/>
  <c r="P410" i="1" s="1"/>
  <c r="Q410" i="1" s="1"/>
  <c r="R409" i="1"/>
  <c r="S409" i="1"/>
  <c r="G411" i="1"/>
  <c r="I411" i="1" s="1"/>
  <c r="V412" i="1"/>
  <c r="Y412" i="1"/>
  <c r="Z412" i="1" s="1"/>
  <c r="X412" i="1"/>
  <c r="W412" i="1"/>
  <c r="D411" i="1"/>
  <c r="C411" i="1"/>
  <c r="E412" i="1"/>
  <c r="B412" i="1"/>
  <c r="L412" i="1" s="1"/>
  <c r="A413" i="1"/>
  <c r="H413" i="1" s="1"/>
  <c r="J411" i="1" l="1"/>
  <c r="K411" i="1" s="1"/>
  <c r="O411" i="1" s="1"/>
  <c r="P411" i="1" s="1"/>
  <c r="Q411" i="1" s="1"/>
  <c r="R410" i="1"/>
  <c r="S410" i="1"/>
  <c r="G412" i="1"/>
  <c r="I412" i="1" s="1"/>
  <c r="V413" i="1"/>
  <c r="W413" i="1" s="1"/>
  <c r="Y413" i="1"/>
  <c r="X413" i="1"/>
  <c r="E413" i="1"/>
  <c r="B413" i="1"/>
  <c r="L413" i="1" s="1"/>
  <c r="A414" i="1"/>
  <c r="H414" i="1" s="1"/>
  <c r="D412" i="1"/>
  <c r="C412" i="1"/>
  <c r="Z413" i="1" l="1"/>
  <c r="J412" i="1"/>
  <c r="K412" i="1" s="1"/>
  <c r="O412" i="1" s="1"/>
  <c r="P412" i="1" s="1"/>
  <c r="Q412" i="1" s="1"/>
  <c r="R411" i="1"/>
  <c r="S411" i="1"/>
  <c r="G413" i="1"/>
  <c r="I413" i="1" s="1"/>
  <c r="V414" i="1"/>
  <c r="W414" i="1" s="1"/>
  <c r="Y414" i="1"/>
  <c r="Z414" i="1" s="1"/>
  <c r="X414" i="1"/>
  <c r="E414" i="1"/>
  <c r="A415" i="1"/>
  <c r="H415" i="1" s="1"/>
  <c r="B414" i="1"/>
  <c r="L414" i="1" s="1"/>
  <c r="D413" i="1"/>
  <c r="C413" i="1"/>
  <c r="J413" i="1" l="1"/>
  <c r="K413" i="1" s="1"/>
  <c r="O413" i="1" s="1"/>
  <c r="P413" i="1" s="1"/>
  <c r="Q413" i="1" s="1"/>
  <c r="R412" i="1"/>
  <c r="S412" i="1"/>
  <c r="G414" i="1"/>
  <c r="I414" i="1" s="1"/>
  <c r="V415" i="1"/>
  <c r="X415" i="1" s="1"/>
  <c r="Y415" i="1"/>
  <c r="Z415" i="1" s="1"/>
  <c r="W415" i="1"/>
  <c r="B415" i="1"/>
  <c r="L415" i="1" s="1"/>
  <c r="A416" i="1"/>
  <c r="H416" i="1" s="1"/>
  <c r="E415" i="1"/>
  <c r="D414" i="1"/>
  <c r="C414" i="1"/>
  <c r="J414" i="1" l="1"/>
  <c r="K414" i="1" s="1"/>
  <c r="O414" i="1" s="1"/>
  <c r="P414" i="1" s="1"/>
  <c r="Q414" i="1" s="1"/>
  <c r="R413" i="1"/>
  <c r="S413" i="1"/>
  <c r="G415" i="1"/>
  <c r="I415" i="1" s="1"/>
  <c r="V416" i="1"/>
  <c r="W416" i="1" s="1"/>
  <c r="Y416" i="1"/>
  <c r="E416" i="1"/>
  <c r="B416" i="1"/>
  <c r="L416" i="1" s="1"/>
  <c r="A417" i="1"/>
  <c r="H417" i="1" s="1"/>
  <c r="D415" i="1"/>
  <c r="C415" i="1"/>
  <c r="J415" i="1" l="1"/>
  <c r="K415" i="1" s="1"/>
  <c r="O415" i="1" s="1"/>
  <c r="P415" i="1" s="1"/>
  <c r="Q415" i="1" s="1"/>
  <c r="R414" i="1"/>
  <c r="S414" i="1"/>
  <c r="X416" i="1"/>
  <c r="Z416" i="1"/>
  <c r="G416" i="1"/>
  <c r="I416" i="1" s="1"/>
  <c r="V417" i="1"/>
  <c r="X417" i="1" s="1"/>
  <c r="Y417" i="1"/>
  <c r="Z417" i="1" s="1"/>
  <c r="C416" i="1"/>
  <c r="D416" i="1"/>
  <c r="E417" i="1"/>
  <c r="B417" i="1"/>
  <c r="L417" i="1" s="1"/>
  <c r="A418" i="1"/>
  <c r="H418" i="1" s="1"/>
  <c r="J416" i="1" l="1"/>
  <c r="K416" i="1" s="1"/>
  <c r="O416" i="1" s="1"/>
  <c r="P416" i="1" s="1"/>
  <c r="Q416" i="1" s="1"/>
  <c r="R415" i="1"/>
  <c r="S415" i="1"/>
  <c r="W417" i="1"/>
  <c r="G417" i="1"/>
  <c r="I417" i="1" s="1"/>
  <c r="V418" i="1"/>
  <c r="Y418" i="1"/>
  <c r="Z418" i="1" s="1"/>
  <c r="W418" i="1"/>
  <c r="X418" i="1"/>
  <c r="C417" i="1"/>
  <c r="D417" i="1"/>
  <c r="B418" i="1"/>
  <c r="L418" i="1" s="1"/>
  <c r="E418" i="1"/>
  <c r="A419" i="1"/>
  <c r="H419" i="1" s="1"/>
  <c r="J417" i="1" l="1"/>
  <c r="K417" i="1" s="1"/>
  <c r="O417" i="1" s="1"/>
  <c r="P417" i="1" s="1"/>
  <c r="Q417" i="1" s="1"/>
  <c r="R416" i="1"/>
  <c r="S416" i="1"/>
  <c r="G418" i="1"/>
  <c r="I418" i="1" s="1"/>
  <c r="V419" i="1"/>
  <c r="X419" i="1" s="1"/>
  <c r="Y419" i="1"/>
  <c r="A420" i="1"/>
  <c r="H420" i="1" s="1"/>
  <c r="E419" i="1"/>
  <c r="B419" i="1"/>
  <c r="L419" i="1" s="1"/>
  <c r="C418" i="1"/>
  <c r="D418" i="1"/>
  <c r="J418" i="1" l="1"/>
  <c r="K418" i="1" s="1"/>
  <c r="O418" i="1" s="1"/>
  <c r="P418" i="1" s="1"/>
  <c r="Q418" i="1" s="1"/>
  <c r="R417" i="1"/>
  <c r="S417" i="1"/>
  <c r="G419" i="1"/>
  <c r="I419" i="1" s="1"/>
  <c r="W419" i="1"/>
  <c r="Z419" i="1"/>
  <c r="V420" i="1"/>
  <c r="Y420" i="1"/>
  <c r="Z420" i="1" s="1"/>
  <c r="X420" i="1"/>
  <c r="W420" i="1"/>
  <c r="C419" i="1"/>
  <c r="D419" i="1"/>
  <c r="B420" i="1"/>
  <c r="L420" i="1" s="1"/>
  <c r="E420" i="1"/>
  <c r="A421" i="1"/>
  <c r="H421" i="1" s="1"/>
  <c r="J419" i="1" l="1"/>
  <c r="K419" i="1" s="1"/>
  <c r="O419" i="1" s="1"/>
  <c r="P419" i="1" s="1"/>
  <c r="Q419" i="1" s="1"/>
  <c r="R418" i="1"/>
  <c r="S418" i="1"/>
  <c r="G420" i="1"/>
  <c r="I420" i="1" s="1"/>
  <c r="V421" i="1"/>
  <c r="Y421" i="1"/>
  <c r="Z421" i="1" s="1"/>
  <c r="X421" i="1"/>
  <c r="W421" i="1"/>
  <c r="A422" i="1"/>
  <c r="H422" i="1" s="1"/>
  <c r="E421" i="1"/>
  <c r="B421" i="1"/>
  <c r="L421" i="1" s="1"/>
  <c r="D420" i="1"/>
  <c r="C420" i="1"/>
  <c r="J420" i="1" l="1"/>
  <c r="K420" i="1" s="1"/>
  <c r="O420" i="1" s="1"/>
  <c r="P420" i="1" s="1"/>
  <c r="Q420" i="1" s="1"/>
  <c r="R419" i="1"/>
  <c r="S419" i="1"/>
  <c r="G421" i="1"/>
  <c r="I421" i="1" s="1"/>
  <c r="V422" i="1"/>
  <c r="X422" i="1" s="1"/>
  <c r="Y422" i="1"/>
  <c r="Z422" i="1" s="1"/>
  <c r="W422" i="1"/>
  <c r="D421" i="1"/>
  <c r="C421" i="1"/>
  <c r="A423" i="1"/>
  <c r="H423" i="1" s="1"/>
  <c r="E422" i="1"/>
  <c r="B422" i="1"/>
  <c r="L422" i="1" s="1"/>
  <c r="J421" i="1" l="1"/>
  <c r="K421" i="1" s="1"/>
  <c r="O421" i="1" s="1"/>
  <c r="P421" i="1" s="1"/>
  <c r="Q421" i="1" s="1"/>
  <c r="R420" i="1"/>
  <c r="S420" i="1"/>
  <c r="G422" i="1"/>
  <c r="I422" i="1" s="1"/>
  <c r="V423" i="1"/>
  <c r="W423" i="1" s="1"/>
  <c r="Y423" i="1"/>
  <c r="Z423" i="1" s="1"/>
  <c r="X423" i="1"/>
  <c r="C422" i="1"/>
  <c r="D422" i="1"/>
  <c r="B423" i="1"/>
  <c r="L423" i="1" s="1"/>
  <c r="A424" i="1"/>
  <c r="H424" i="1" s="1"/>
  <c r="E423" i="1"/>
  <c r="J422" i="1" l="1"/>
  <c r="K422" i="1" s="1"/>
  <c r="O422" i="1" s="1"/>
  <c r="P422" i="1" s="1"/>
  <c r="Q422" i="1" s="1"/>
  <c r="R421" i="1"/>
  <c r="S421" i="1"/>
  <c r="G423" i="1"/>
  <c r="I423" i="1" s="1"/>
  <c r="V424" i="1"/>
  <c r="W424" i="1" s="1"/>
  <c r="Y424" i="1"/>
  <c r="X424" i="1"/>
  <c r="C423" i="1"/>
  <c r="D423" i="1"/>
  <c r="A425" i="1"/>
  <c r="H425" i="1" s="1"/>
  <c r="B424" i="1"/>
  <c r="L424" i="1" s="1"/>
  <c r="E424" i="1"/>
  <c r="J423" i="1" l="1"/>
  <c r="K423" i="1" s="1"/>
  <c r="O423" i="1" s="1"/>
  <c r="P423" i="1" s="1"/>
  <c r="Q423" i="1" s="1"/>
  <c r="R422" i="1"/>
  <c r="S422" i="1"/>
  <c r="Z424" i="1"/>
  <c r="G424" i="1"/>
  <c r="I424" i="1" s="1"/>
  <c r="V425" i="1"/>
  <c r="W425" i="1" s="1"/>
  <c r="Y425" i="1"/>
  <c r="C424" i="1"/>
  <c r="D424" i="1"/>
  <c r="E425" i="1"/>
  <c r="A426" i="1"/>
  <c r="H426" i="1" s="1"/>
  <c r="B425" i="1"/>
  <c r="L425" i="1" s="1"/>
  <c r="J424" i="1" l="1"/>
  <c r="K424" i="1" s="1"/>
  <c r="O424" i="1" s="1"/>
  <c r="P424" i="1" s="1"/>
  <c r="Q424" i="1" s="1"/>
  <c r="R423" i="1"/>
  <c r="S423" i="1"/>
  <c r="X425" i="1"/>
  <c r="Z425" i="1"/>
  <c r="G425" i="1"/>
  <c r="I425" i="1" s="1"/>
  <c r="V426" i="1"/>
  <c r="X426" i="1" s="1"/>
  <c r="Y426" i="1"/>
  <c r="Z426" i="1" s="1"/>
  <c r="W426" i="1"/>
  <c r="D425" i="1"/>
  <c r="C425" i="1"/>
  <c r="E426" i="1"/>
  <c r="B426" i="1"/>
  <c r="L426" i="1" s="1"/>
  <c r="A427" i="1"/>
  <c r="H427" i="1" s="1"/>
  <c r="J425" i="1" l="1"/>
  <c r="K425" i="1" s="1"/>
  <c r="O425" i="1" s="1"/>
  <c r="P425" i="1" s="1"/>
  <c r="Q425" i="1" s="1"/>
  <c r="R424" i="1"/>
  <c r="S424" i="1"/>
  <c r="G426" i="1"/>
  <c r="I426" i="1" s="1"/>
  <c r="V427" i="1"/>
  <c r="Y427" i="1"/>
  <c r="Z427" i="1" s="1"/>
  <c r="X427" i="1"/>
  <c r="W427" i="1"/>
  <c r="B427" i="1"/>
  <c r="L427" i="1" s="1"/>
  <c r="E427" i="1"/>
  <c r="A428" i="1"/>
  <c r="H428" i="1" s="1"/>
  <c r="C426" i="1"/>
  <c r="D426" i="1"/>
  <c r="J426" i="1" l="1"/>
  <c r="K426" i="1" s="1"/>
  <c r="O426" i="1" s="1"/>
  <c r="P426" i="1" s="1"/>
  <c r="Q426" i="1" s="1"/>
  <c r="R425" i="1"/>
  <c r="S425" i="1"/>
  <c r="G427" i="1"/>
  <c r="I427" i="1" s="1"/>
  <c r="V428" i="1"/>
  <c r="X428" i="1" s="1"/>
  <c r="Y428" i="1"/>
  <c r="W428" i="1"/>
  <c r="B428" i="1"/>
  <c r="L428" i="1" s="1"/>
  <c r="E428" i="1"/>
  <c r="A429" i="1"/>
  <c r="H429" i="1" s="1"/>
  <c r="C427" i="1"/>
  <c r="D427" i="1"/>
  <c r="Z428" i="1" l="1"/>
  <c r="J427" i="1"/>
  <c r="K427" i="1" s="1"/>
  <c r="O427" i="1" s="1"/>
  <c r="P427" i="1" s="1"/>
  <c r="Q427" i="1" s="1"/>
  <c r="R426" i="1"/>
  <c r="S426" i="1"/>
  <c r="G428" i="1"/>
  <c r="I428" i="1" s="1"/>
  <c r="V429" i="1"/>
  <c r="Y429" i="1"/>
  <c r="Z429" i="1" s="1"/>
  <c r="W429" i="1"/>
  <c r="X429" i="1"/>
  <c r="A430" i="1"/>
  <c r="H430" i="1" s="1"/>
  <c r="B429" i="1"/>
  <c r="L429" i="1" s="1"/>
  <c r="E429" i="1"/>
  <c r="D428" i="1"/>
  <c r="C428" i="1"/>
  <c r="J428" i="1" l="1"/>
  <c r="K428" i="1" s="1"/>
  <c r="O428" i="1" s="1"/>
  <c r="P428" i="1" s="1"/>
  <c r="Q428" i="1" s="1"/>
  <c r="R427" i="1"/>
  <c r="S427" i="1"/>
  <c r="G429" i="1"/>
  <c r="I429" i="1" s="1"/>
  <c r="V430" i="1"/>
  <c r="Y430" i="1"/>
  <c r="Z430" i="1" s="1"/>
  <c r="X430" i="1"/>
  <c r="W430" i="1"/>
  <c r="C429" i="1"/>
  <c r="D429" i="1"/>
  <c r="A431" i="1"/>
  <c r="H431" i="1" s="1"/>
  <c r="E430" i="1"/>
  <c r="B430" i="1"/>
  <c r="L430" i="1" s="1"/>
  <c r="J429" i="1" l="1"/>
  <c r="K429" i="1" s="1"/>
  <c r="O429" i="1" s="1"/>
  <c r="P429" i="1" s="1"/>
  <c r="Q429" i="1" s="1"/>
  <c r="R428" i="1"/>
  <c r="S428" i="1"/>
  <c r="G430" i="1"/>
  <c r="I430" i="1" s="1"/>
  <c r="V431" i="1"/>
  <c r="W431" i="1" s="1"/>
  <c r="Y431" i="1"/>
  <c r="Z431" i="1" s="1"/>
  <c r="X431" i="1"/>
  <c r="D430" i="1"/>
  <c r="C430" i="1"/>
  <c r="B431" i="1"/>
  <c r="L431" i="1" s="1"/>
  <c r="E431" i="1"/>
  <c r="A432" i="1"/>
  <c r="H432" i="1" s="1"/>
  <c r="J430" i="1" l="1"/>
  <c r="K430" i="1" s="1"/>
  <c r="O430" i="1" s="1"/>
  <c r="P430" i="1" s="1"/>
  <c r="Q430" i="1" s="1"/>
  <c r="R429" i="1"/>
  <c r="S429" i="1"/>
  <c r="G431" i="1"/>
  <c r="I431" i="1" s="1"/>
  <c r="V432" i="1"/>
  <c r="Y432" i="1"/>
  <c r="Z432" i="1" s="1"/>
  <c r="W432" i="1"/>
  <c r="X432" i="1"/>
  <c r="A433" i="1"/>
  <c r="H433" i="1" s="1"/>
  <c r="E432" i="1"/>
  <c r="B432" i="1"/>
  <c r="L432" i="1" s="1"/>
  <c r="C431" i="1"/>
  <c r="D431" i="1"/>
  <c r="J431" i="1" l="1"/>
  <c r="K431" i="1" s="1"/>
  <c r="O431" i="1" s="1"/>
  <c r="P431" i="1" s="1"/>
  <c r="Q431" i="1" s="1"/>
  <c r="R430" i="1"/>
  <c r="S430" i="1"/>
  <c r="G432" i="1"/>
  <c r="I432" i="1" s="1"/>
  <c r="V433" i="1"/>
  <c r="Y433" i="1"/>
  <c r="Z433" i="1" s="1"/>
  <c r="X433" i="1"/>
  <c r="W433" i="1"/>
  <c r="D432" i="1"/>
  <c r="C432" i="1"/>
  <c r="A434" i="1"/>
  <c r="H434" i="1" s="1"/>
  <c r="E433" i="1"/>
  <c r="B433" i="1"/>
  <c r="L433" i="1" s="1"/>
  <c r="J432" i="1" l="1"/>
  <c r="K432" i="1" s="1"/>
  <c r="O432" i="1" s="1"/>
  <c r="P432" i="1" s="1"/>
  <c r="Q432" i="1" s="1"/>
  <c r="R431" i="1"/>
  <c r="S431" i="1"/>
  <c r="G433" i="1"/>
  <c r="I433" i="1" s="1"/>
  <c r="V434" i="1"/>
  <c r="Y434" i="1"/>
  <c r="Z434" i="1" s="1"/>
  <c r="X434" i="1"/>
  <c r="W434" i="1"/>
  <c r="D433" i="1"/>
  <c r="C433" i="1"/>
  <c r="A435" i="1"/>
  <c r="H435" i="1" s="1"/>
  <c r="E434" i="1"/>
  <c r="B434" i="1"/>
  <c r="L434" i="1" s="1"/>
  <c r="J433" i="1" l="1"/>
  <c r="K433" i="1" s="1"/>
  <c r="O433" i="1" s="1"/>
  <c r="P433" i="1" s="1"/>
  <c r="Q433" i="1" s="1"/>
  <c r="R432" i="1"/>
  <c r="S432" i="1"/>
  <c r="G434" i="1"/>
  <c r="I434" i="1" s="1"/>
  <c r="V435" i="1"/>
  <c r="Y435" i="1"/>
  <c r="Z435" i="1" s="1"/>
  <c r="X435" i="1"/>
  <c r="W435" i="1"/>
  <c r="D434" i="1"/>
  <c r="C434" i="1"/>
  <c r="A436" i="1"/>
  <c r="H436" i="1" s="1"/>
  <c r="E435" i="1"/>
  <c r="B435" i="1"/>
  <c r="L435" i="1" s="1"/>
  <c r="J434" i="1" l="1"/>
  <c r="K434" i="1" s="1"/>
  <c r="O434" i="1" s="1"/>
  <c r="P434" i="1" s="1"/>
  <c r="Q434" i="1" s="1"/>
  <c r="R433" i="1"/>
  <c r="S433" i="1"/>
  <c r="G435" i="1"/>
  <c r="I435" i="1" s="1"/>
  <c r="V436" i="1"/>
  <c r="X436" i="1" s="1"/>
  <c r="Y436" i="1"/>
  <c r="Z436" i="1" s="1"/>
  <c r="C435" i="1"/>
  <c r="D435" i="1"/>
  <c r="B436" i="1"/>
  <c r="L436" i="1" s="1"/>
  <c r="A437" i="1"/>
  <c r="H437" i="1" s="1"/>
  <c r="E436" i="1"/>
  <c r="W436" i="1" l="1"/>
  <c r="J435" i="1"/>
  <c r="K435" i="1" s="1"/>
  <c r="O435" i="1" s="1"/>
  <c r="P435" i="1" s="1"/>
  <c r="Q435" i="1" s="1"/>
  <c r="R434" i="1"/>
  <c r="S434" i="1"/>
  <c r="G436" i="1"/>
  <c r="I436" i="1" s="1"/>
  <c r="V437" i="1"/>
  <c r="X437" i="1" s="1"/>
  <c r="Y437" i="1"/>
  <c r="D436" i="1"/>
  <c r="C436" i="1"/>
  <c r="B437" i="1"/>
  <c r="L437" i="1" s="1"/>
  <c r="A438" i="1"/>
  <c r="H438" i="1" s="1"/>
  <c r="E437" i="1"/>
  <c r="Z437" i="1" l="1"/>
  <c r="J436" i="1"/>
  <c r="K436" i="1" s="1"/>
  <c r="O436" i="1" s="1"/>
  <c r="P436" i="1" s="1"/>
  <c r="Q436" i="1" s="1"/>
  <c r="W437" i="1"/>
  <c r="R435" i="1"/>
  <c r="S435" i="1"/>
  <c r="G437" i="1"/>
  <c r="I437" i="1" s="1"/>
  <c r="V438" i="1"/>
  <c r="W438" i="1" s="1"/>
  <c r="Y438" i="1"/>
  <c r="X438" i="1"/>
  <c r="E438" i="1"/>
  <c r="A439" i="1"/>
  <c r="H439" i="1" s="1"/>
  <c r="B438" i="1"/>
  <c r="L438" i="1" s="1"/>
  <c r="C437" i="1"/>
  <c r="D437" i="1"/>
  <c r="Z438" i="1" l="1"/>
  <c r="J437" i="1"/>
  <c r="K437" i="1" s="1"/>
  <c r="O437" i="1" s="1"/>
  <c r="P437" i="1" s="1"/>
  <c r="Q437" i="1" s="1"/>
  <c r="R436" i="1"/>
  <c r="S436" i="1"/>
  <c r="G438" i="1"/>
  <c r="I438" i="1" s="1"/>
  <c r="V439" i="1"/>
  <c r="X439" i="1" s="1"/>
  <c r="Y439" i="1"/>
  <c r="B439" i="1"/>
  <c r="L439" i="1" s="1"/>
  <c r="A440" i="1"/>
  <c r="H440" i="1" s="1"/>
  <c r="E439" i="1"/>
  <c r="C438" i="1"/>
  <c r="D438" i="1"/>
  <c r="Z439" i="1" l="1"/>
  <c r="W439" i="1"/>
  <c r="J438" i="1"/>
  <c r="K438" i="1" s="1"/>
  <c r="O438" i="1" s="1"/>
  <c r="P438" i="1" s="1"/>
  <c r="Q438" i="1" s="1"/>
  <c r="R437" i="1"/>
  <c r="S437" i="1"/>
  <c r="G439" i="1"/>
  <c r="I439" i="1" s="1"/>
  <c r="V440" i="1"/>
  <c r="X440" i="1" s="1"/>
  <c r="Y440" i="1"/>
  <c r="Z440" i="1" s="1"/>
  <c r="W440" i="1"/>
  <c r="E440" i="1"/>
  <c r="B440" i="1"/>
  <c r="L440" i="1" s="1"/>
  <c r="A441" i="1"/>
  <c r="H441" i="1" s="1"/>
  <c r="D439" i="1"/>
  <c r="C439" i="1"/>
  <c r="J439" i="1" l="1"/>
  <c r="K439" i="1" s="1"/>
  <c r="O439" i="1" s="1"/>
  <c r="P439" i="1" s="1"/>
  <c r="Q439" i="1" s="1"/>
  <c r="R438" i="1"/>
  <c r="S438" i="1"/>
  <c r="G440" i="1"/>
  <c r="I440" i="1" s="1"/>
  <c r="V441" i="1"/>
  <c r="Y441" i="1"/>
  <c r="Z441" i="1" s="1"/>
  <c r="W441" i="1"/>
  <c r="X441" i="1"/>
  <c r="D440" i="1"/>
  <c r="C440" i="1"/>
  <c r="E441" i="1"/>
  <c r="A442" i="1"/>
  <c r="H442" i="1" s="1"/>
  <c r="B441" i="1"/>
  <c r="L441" i="1" s="1"/>
  <c r="J440" i="1" l="1"/>
  <c r="K440" i="1" s="1"/>
  <c r="O440" i="1" s="1"/>
  <c r="P440" i="1" s="1"/>
  <c r="Q440" i="1" s="1"/>
  <c r="R439" i="1"/>
  <c r="S439" i="1"/>
  <c r="G441" i="1"/>
  <c r="I441" i="1" s="1"/>
  <c r="V442" i="1"/>
  <c r="W442" i="1" s="1"/>
  <c r="Y442" i="1"/>
  <c r="D441" i="1"/>
  <c r="C441" i="1"/>
  <c r="B442" i="1"/>
  <c r="L442" i="1" s="1"/>
  <c r="E442" i="1"/>
  <c r="A443" i="1"/>
  <c r="H443" i="1" s="1"/>
  <c r="X442" i="1" l="1"/>
  <c r="Z442" i="1"/>
  <c r="J441" i="1"/>
  <c r="K441" i="1" s="1"/>
  <c r="O441" i="1" s="1"/>
  <c r="P441" i="1" s="1"/>
  <c r="Q441" i="1" s="1"/>
  <c r="R440" i="1"/>
  <c r="S440" i="1"/>
  <c r="G442" i="1"/>
  <c r="I442" i="1" s="1"/>
  <c r="V443" i="1"/>
  <c r="X443" i="1" s="1"/>
  <c r="Y443" i="1"/>
  <c r="A444" i="1"/>
  <c r="H444" i="1" s="1"/>
  <c r="B443" i="1"/>
  <c r="L443" i="1" s="1"/>
  <c r="E443" i="1"/>
  <c r="C442" i="1"/>
  <c r="D442" i="1"/>
  <c r="J442" i="1" l="1"/>
  <c r="K442" i="1" s="1"/>
  <c r="O442" i="1" s="1"/>
  <c r="P442" i="1" s="1"/>
  <c r="Q442" i="1" s="1"/>
  <c r="R441" i="1"/>
  <c r="S441" i="1"/>
  <c r="G443" i="1"/>
  <c r="I443" i="1" s="1"/>
  <c r="Z443" i="1"/>
  <c r="W443" i="1"/>
  <c r="V444" i="1"/>
  <c r="W444" i="1" s="1"/>
  <c r="Y444" i="1"/>
  <c r="Z444" i="1" s="1"/>
  <c r="X444" i="1"/>
  <c r="C443" i="1"/>
  <c r="D443" i="1"/>
  <c r="B444" i="1"/>
  <c r="L444" i="1" s="1"/>
  <c r="E444" i="1"/>
  <c r="A445" i="1"/>
  <c r="H445" i="1" s="1"/>
  <c r="J443" i="1" l="1"/>
  <c r="K443" i="1" s="1"/>
  <c r="O443" i="1" s="1"/>
  <c r="P443" i="1" s="1"/>
  <c r="Q443" i="1" s="1"/>
  <c r="R442" i="1"/>
  <c r="S442" i="1"/>
  <c r="G444" i="1"/>
  <c r="I444" i="1" s="1"/>
  <c r="V445" i="1"/>
  <c r="Y445" i="1"/>
  <c r="Z445" i="1" s="1"/>
  <c r="W445" i="1"/>
  <c r="X445" i="1"/>
  <c r="B445" i="1"/>
  <c r="L445" i="1" s="1"/>
  <c r="E445" i="1"/>
  <c r="A446" i="1"/>
  <c r="H446" i="1" s="1"/>
  <c r="C444" i="1"/>
  <c r="D444" i="1"/>
  <c r="J444" i="1" l="1"/>
  <c r="K444" i="1" s="1"/>
  <c r="O444" i="1" s="1"/>
  <c r="P444" i="1" s="1"/>
  <c r="Q444" i="1" s="1"/>
  <c r="R443" i="1"/>
  <c r="S443" i="1"/>
  <c r="G445" i="1"/>
  <c r="I445" i="1" s="1"/>
  <c r="V446" i="1"/>
  <c r="Y446" i="1"/>
  <c r="Z446" i="1" s="1"/>
  <c r="X446" i="1"/>
  <c r="W446" i="1"/>
  <c r="A447" i="1"/>
  <c r="H447" i="1" s="1"/>
  <c r="E446" i="1"/>
  <c r="B446" i="1"/>
  <c r="L446" i="1" s="1"/>
  <c r="C445" i="1"/>
  <c r="D445" i="1"/>
  <c r="J445" i="1" l="1"/>
  <c r="K445" i="1" s="1"/>
  <c r="O445" i="1" s="1"/>
  <c r="P445" i="1" s="1"/>
  <c r="Q445" i="1" s="1"/>
  <c r="R444" i="1"/>
  <c r="S444" i="1"/>
  <c r="G446" i="1"/>
  <c r="I446" i="1" s="1"/>
  <c r="V447" i="1"/>
  <c r="Y447" i="1"/>
  <c r="Z447" i="1" s="1"/>
  <c r="X447" i="1"/>
  <c r="W447" i="1"/>
  <c r="C446" i="1"/>
  <c r="D446" i="1"/>
  <c r="A448" i="1"/>
  <c r="H448" i="1" s="1"/>
  <c r="E447" i="1"/>
  <c r="B447" i="1"/>
  <c r="L447" i="1" s="1"/>
  <c r="J446" i="1" l="1"/>
  <c r="K446" i="1" s="1"/>
  <c r="O446" i="1" s="1"/>
  <c r="P446" i="1" s="1"/>
  <c r="Q446" i="1" s="1"/>
  <c r="R445" i="1"/>
  <c r="S445" i="1"/>
  <c r="G447" i="1"/>
  <c r="I447" i="1" s="1"/>
  <c r="V448" i="1"/>
  <c r="W448" i="1" s="1"/>
  <c r="Y448" i="1"/>
  <c r="X448" i="1"/>
  <c r="D447" i="1"/>
  <c r="C447" i="1"/>
  <c r="A449" i="1"/>
  <c r="H449" i="1" s="1"/>
  <c r="E448" i="1"/>
  <c r="B448" i="1"/>
  <c r="L448" i="1" s="1"/>
  <c r="Z448" i="1" l="1"/>
  <c r="J447" i="1"/>
  <c r="K447" i="1" s="1"/>
  <c r="O447" i="1" s="1"/>
  <c r="P447" i="1" s="1"/>
  <c r="Q447" i="1" s="1"/>
  <c r="R446" i="1"/>
  <c r="S446" i="1"/>
  <c r="G448" i="1"/>
  <c r="I448" i="1" s="1"/>
  <c r="V449" i="1"/>
  <c r="W449" i="1" s="1"/>
  <c r="Y449" i="1"/>
  <c r="X449" i="1"/>
  <c r="C448" i="1"/>
  <c r="D448" i="1"/>
  <c r="E449" i="1"/>
  <c r="A450" i="1"/>
  <c r="H450" i="1" s="1"/>
  <c r="B449" i="1"/>
  <c r="L449" i="1" s="1"/>
  <c r="J448" i="1" l="1"/>
  <c r="K448" i="1" s="1"/>
  <c r="O448" i="1" s="1"/>
  <c r="P448" i="1" s="1"/>
  <c r="Q448" i="1" s="1"/>
  <c r="R447" i="1"/>
  <c r="S447" i="1"/>
  <c r="Z449" i="1"/>
  <c r="G449" i="1"/>
  <c r="I449" i="1" s="1"/>
  <c r="V450" i="1"/>
  <c r="Y450" i="1"/>
  <c r="Z450" i="1" s="1"/>
  <c r="W450" i="1"/>
  <c r="X450" i="1"/>
  <c r="D449" i="1"/>
  <c r="C449" i="1"/>
  <c r="A451" i="1"/>
  <c r="H451" i="1" s="1"/>
  <c r="B450" i="1"/>
  <c r="L450" i="1" s="1"/>
  <c r="E450" i="1"/>
  <c r="J449" i="1" l="1"/>
  <c r="K449" i="1" s="1"/>
  <c r="O449" i="1" s="1"/>
  <c r="P449" i="1" s="1"/>
  <c r="Q449" i="1" s="1"/>
  <c r="R448" i="1"/>
  <c r="S448" i="1"/>
  <c r="G450" i="1"/>
  <c r="I450" i="1" s="1"/>
  <c r="V451" i="1"/>
  <c r="X451" i="1" s="1"/>
  <c r="Y451" i="1"/>
  <c r="C450" i="1"/>
  <c r="D450" i="1"/>
  <c r="A452" i="1"/>
  <c r="H452" i="1" s="1"/>
  <c r="B451" i="1"/>
  <c r="L451" i="1" s="1"/>
  <c r="E451" i="1"/>
  <c r="J450" i="1" l="1"/>
  <c r="K450" i="1" s="1"/>
  <c r="O450" i="1" s="1"/>
  <c r="P450" i="1" s="1"/>
  <c r="Q450" i="1" s="1"/>
  <c r="R449" i="1"/>
  <c r="S449" i="1"/>
  <c r="W451" i="1"/>
  <c r="Z451" i="1"/>
  <c r="G451" i="1"/>
  <c r="I451" i="1" s="1"/>
  <c r="V452" i="1"/>
  <c r="X452" i="1" s="1"/>
  <c r="Y452" i="1"/>
  <c r="Z452" i="1" s="1"/>
  <c r="W452" i="1"/>
  <c r="B452" i="1"/>
  <c r="L452" i="1" s="1"/>
  <c r="E452" i="1"/>
  <c r="A453" i="1"/>
  <c r="H453" i="1" s="1"/>
  <c r="C451" i="1"/>
  <c r="D451" i="1"/>
  <c r="J451" i="1" l="1"/>
  <c r="K451" i="1" s="1"/>
  <c r="O451" i="1" s="1"/>
  <c r="P451" i="1" s="1"/>
  <c r="Q451" i="1" s="1"/>
  <c r="R450" i="1"/>
  <c r="S450" i="1"/>
  <c r="G452" i="1"/>
  <c r="I452" i="1" s="1"/>
  <c r="V453" i="1"/>
  <c r="Y453" i="1"/>
  <c r="X453" i="1"/>
  <c r="W453" i="1"/>
  <c r="Z453" i="1"/>
  <c r="A454" i="1"/>
  <c r="H454" i="1" s="1"/>
  <c r="B453" i="1"/>
  <c r="L453" i="1" s="1"/>
  <c r="E453" i="1"/>
  <c r="D452" i="1"/>
  <c r="C452" i="1"/>
  <c r="J452" i="1" l="1"/>
  <c r="K452" i="1" s="1"/>
  <c r="O452" i="1" s="1"/>
  <c r="P452" i="1" s="1"/>
  <c r="Q452" i="1" s="1"/>
  <c r="R451" i="1"/>
  <c r="S451" i="1"/>
  <c r="G453" i="1"/>
  <c r="I453" i="1" s="1"/>
  <c r="V454" i="1"/>
  <c r="Y454" i="1"/>
  <c r="Z454" i="1" s="1"/>
  <c r="X454" i="1"/>
  <c r="W454" i="1"/>
  <c r="D453" i="1"/>
  <c r="C453" i="1"/>
  <c r="A455" i="1"/>
  <c r="H455" i="1" s="1"/>
  <c r="E454" i="1"/>
  <c r="B454" i="1"/>
  <c r="L454" i="1" s="1"/>
  <c r="J453" i="1" l="1"/>
  <c r="K453" i="1" s="1"/>
  <c r="O453" i="1" s="1"/>
  <c r="P453" i="1" s="1"/>
  <c r="Q453" i="1" s="1"/>
  <c r="R452" i="1"/>
  <c r="S452" i="1"/>
  <c r="G454" i="1"/>
  <c r="I454" i="1" s="1"/>
  <c r="V455" i="1"/>
  <c r="Y455" i="1"/>
  <c r="Z455" i="1" s="1"/>
  <c r="W455" i="1"/>
  <c r="X455" i="1"/>
  <c r="C454" i="1"/>
  <c r="D454" i="1"/>
  <c r="A456" i="1"/>
  <c r="H456" i="1" s="1"/>
  <c r="E455" i="1"/>
  <c r="B455" i="1"/>
  <c r="L455" i="1" s="1"/>
  <c r="J454" i="1" l="1"/>
  <c r="K454" i="1" s="1"/>
  <c r="O454" i="1" s="1"/>
  <c r="P454" i="1" s="1"/>
  <c r="Q454" i="1" s="1"/>
  <c r="R453" i="1"/>
  <c r="S453" i="1"/>
  <c r="G455" i="1"/>
  <c r="I455" i="1" s="1"/>
  <c r="V456" i="1"/>
  <c r="Y456" i="1"/>
  <c r="Z456" i="1" s="1"/>
  <c r="X456" i="1"/>
  <c r="W456" i="1"/>
  <c r="C455" i="1"/>
  <c r="D455" i="1"/>
  <c r="A457" i="1"/>
  <c r="H457" i="1" s="1"/>
  <c r="E456" i="1"/>
  <c r="B456" i="1"/>
  <c r="L456" i="1" s="1"/>
  <c r="J455" i="1" l="1"/>
  <c r="K455" i="1" s="1"/>
  <c r="O455" i="1" s="1"/>
  <c r="P455" i="1" s="1"/>
  <c r="Q455" i="1" s="1"/>
  <c r="R454" i="1"/>
  <c r="S454" i="1"/>
  <c r="G456" i="1"/>
  <c r="I456" i="1" s="1"/>
  <c r="V457" i="1"/>
  <c r="W457" i="1" s="1"/>
  <c r="Y457" i="1"/>
  <c r="Z457" i="1" s="1"/>
  <c r="C456" i="1"/>
  <c r="D456" i="1"/>
  <c r="E457" i="1"/>
  <c r="B457" i="1"/>
  <c r="L457" i="1" s="1"/>
  <c r="A458" i="1"/>
  <c r="H458" i="1" s="1"/>
  <c r="X457" i="1" l="1"/>
  <c r="J456" i="1"/>
  <c r="K456" i="1" s="1"/>
  <c r="O456" i="1" s="1"/>
  <c r="P456" i="1" s="1"/>
  <c r="Q456" i="1" s="1"/>
  <c r="R455" i="1"/>
  <c r="S455" i="1"/>
  <c r="G457" i="1"/>
  <c r="I457" i="1" s="1"/>
  <c r="V458" i="1"/>
  <c r="W458" i="1" s="1"/>
  <c r="Y458" i="1"/>
  <c r="X458" i="1"/>
  <c r="A459" i="1"/>
  <c r="H459" i="1" s="1"/>
  <c r="E458" i="1"/>
  <c r="B458" i="1"/>
  <c r="L458" i="1" s="1"/>
  <c r="D457" i="1"/>
  <c r="C457" i="1"/>
  <c r="Z458" i="1" l="1"/>
  <c r="J457" i="1"/>
  <c r="K457" i="1" s="1"/>
  <c r="O457" i="1" s="1"/>
  <c r="P457" i="1" s="1"/>
  <c r="Q457" i="1" s="1"/>
  <c r="R456" i="1"/>
  <c r="S456" i="1"/>
  <c r="G458" i="1"/>
  <c r="I458" i="1" s="1"/>
  <c r="V459" i="1"/>
  <c r="Y459" i="1"/>
  <c r="Z459" i="1" s="1"/>
  <c r="W459" i="1"/>
  <c r="X459" i="1"/>
  <c r="D458" i="1"/>
  <c r="C458" i="1"/>
  <c r="E459" i="1"/>
  <c r="B459" i="1"/>
  <c r="L459" i="1" s="1"/>
  <c r="A460" i="1"/>
  <c r="H460" i="1" s="1"/>
  <c r="J458" i="1" l="1"/>
  <c r="K458" i="1" s="1"/>
  <c r="O458" i="1" s="1"/>
  <c r="P458" i="1" s="1"/>
  <c r="Q458" i="1" s="1"/>
  <c r="R457" i="1"/>
  <c r="S457" i="1"/>
  <c r="G459" i="1"/>
  <c r="I459" i="1" s="1"/>
  <c r="V460" i="1"/>
  <c r="Y460" i="1"/>
  <c r="Z460" i="1" s="1"/>
  <c r="W460" i="1"/>
  <c r="X460" i="1"/>
  <c r="C459" i="1"/>
  <c r="D459" i="1"/>
  <c r="A461" i="1"/>
  <c r="H461" i="1" s="1"/>
  <c r="E460" i="1"/>
  <c r="B460" i="1"/>
  <c r="L460" i="1" s="1"/>
  <c r="J459" i="1" l="1"/>
  <c r="K459" i="1" s="1"/>
  <c r="O459" i="1" s="1"/>
  <c r="P459" i="1" s="1"/>
  <c r="Q459" i="1" s="1"/>
  <c r="R458" i="1"/>
  <c r="S458" i="1"/>
  <c r="G460" i="1"/>
  <c r="I460" i="1" s="1"/>
  <c r="V461" i="1"/>
  <c r="Y461" i="1"/>
  <c r="X461" i="1"/>
  <c r="W461" i="1"/>
  <c r="C460" i="1"/>
  <c r="D460" i="1"/>
  <c r="E461" i="1"/>
  <c r="A462" i="1"/>
  <c r="H462" i="1" s="1"/>
  <c r="B461" i="1"/>
  <c r="L461" i="1" s="1"/>
  <c r="Z461" i="1" l="1"/>
  <c r="J460" i="1"/>
  <c r="K460" i="1" s="1"/>
  <c r="O460" i="1" s="1"/>
  <c r="P460" i="1" s="1"/>
  <c r="Q460" i="1" s="1"/>
  <c r="R459" i="1"/>
  <c r="S459" i="1"/>
  <c r="G461" i="1"/>
  <c r="I461" i="1" s="1"/>
  <c r="V462" i="1"/>
  <c r="Y462" i="1"/>
  <c r="Z462" i="1" s="1"/>
  <c r="X462" i="1"/>
  <c r="W462" i="1"/>
  <c r="C461" i="1"/>
  <c r="D461" i="1"/>
  <c r="A463" i="1"/>
  <c r="H463" i="1" s="1"/>
  <c r="E462" i="1"/>
  <c r="B462" i="1"/>
  <c r="L462" i="1" s="1"/>
  <c r="J461" i="1" l="1"/>
  <c r="K461" i="1" s="1"/>
  <c r="O461" i="1" s="1"/>
  <c r="P461" i="1" s="1"/>
  <c r="Q461" i="1" s="1"/>
  <c r="R460" i="1"/>
  <c r="S460" i="1"/>
  <c r="G462" i="1"/>
  <c r="I462" i="1" s="1"/>
  <c r="V463" i="1"/>
  <c r="W463" i="1" s="1"/>
  <c r="Y463" i="1"/>
  <c r="Z463" i="1" s="1"/>
  <c r="X463" i="1"/>
  <c r="D462" i="1"/>
  <c r="C462" i="1"/>
  <c r="B463" i="1"/>
  <c r="L463" i="1" s="1"/>
  <c r="E463" i="1"/>
  <c r="A464" i="1"/>
  <c r="H464" i="1" s="1"/>
  <c r="J462" i="1" l="1"/>
  <c r="K462" i="1" s="1"/>
  <c r="O462" i="1" s="1"/>
  <c r="P462" i="1" s="1"/>
  <c r="Q462" i="1" s="1"/>
  <c r="R461" i="1"/>
  <c r="S461" i="1"/>
  <c r="G463" i="1"/>
  <c r="I463" i="1" s="1"/>
  <c r="V464" i="1"/>
  <c r="W464" i="1" s="1"/>
  <c r="Y464" i="1"/>
  <c r="Z464" i="1" s="1"/>
  <c r="E464" i="1"/>
  <c r="B464" i="1"/>
  <c r="L464" i="1" s="1"/>
  <c r="A465" i="1"/>
  <c r="H465" i="1" s="1"/>
  <c r="C463" i="1"/>
  <c r="D463" i="1"/>
  <c r="X464" i="1" l="1"/>
  <c r="J463" i="1"/>
  <c r="K463" i="1" s="1"/>
  <c r="O463" i="1" s="1"/>
  <c r="P463" i="1" s="1"/>
  <c r="Q463" i="1" s="1"/>
  <c r="R462" i="1"/>
  <c r="S462" i="1"/>
  <c r="G464" i="1"/>
  <c r="I464" i="1" s="1"/>
  <c r="V465" i="1"/>
  <c r="X465" i="1" s="1"/>
  <c r="Y465" i="1"/>
  <c r="W465" i="1"/>
  <c r="D464" i="1"/>
  <c r="C464" i="1"/>
  <c r="E465" i="1"/>
  <c r="B465" i="1"/>
  <c r="L465" i="1" s="1"/>
  <c r="A466" i="1"/>
  <c r="H466" i="1" s="1"/>
  <c r="Z465" i="1" l="1"/>
  <c r="J464" i="1"/>
  <c r="K464" i="1" s="1"/>
  <c r="O464" i="1" s="1"/>
  <c r="P464" i="1" s="1"/>
  <c r="Q464" i="1" s="1"/>
  <c r="R463" i="1"/>
  <c r="S463" i="1"/>
  <c r="G465" i="1"/>
  <c r="I465" i="1" s="1"/>
  <c r="V466" i="1"/>
  <c r="Y466" i="1"/>
  <c r="Z466" i="1" s="1"/>
  <c r="X466" i="1"/>
  <c r="W466" i="1"/>
  <c r="A467" i="1"/>
  <c r="H467" i="1" s="1"/>
  <c r="E466" i="1"/>
  <c r="B466" i="1"/>
  <c r="L466" i="1" s="1"/>
  <c r="D465" i="1"/>
  <c r="C465" i="1"/>
  <c r="J465" i="1" l="1"/>
  <c r="K465" i="1" s="1"/>
  <c r="O465" i="1" s="1"/>
  <c r="R464" i="1"/>
  <c r="S464" i="1"/>
  <c r="G466" i="1"/>
  <c r="I466" i="1" s="1"/>
  <c r="V467" i="1"/>
  <c r="Y467" i="1"/>
  <c r="Z467" i="1" s="1"/>
  <c r="W467" i="1"/>
  <c r="X467" i="1"/>
  <c r="C466" i="1"/>
  <c r="D466" i="1"/>
  <c r="A468" i="1"/>
  <c r="H468" i="1" s="1"/>
  <c r="E467" i="1"/>
  <c r="B467" i="1"/>
  <c r="L467" i="1" s="1"/>
  <c r="P465" i="1" l="1"/>
  <c r="Q465" i="1" s="1"/>
  <c r="J466" i="1"/>
  <c r="K466" i="1" s="1"/>
  <c r="O466" i="1" s="1"/>
  <c r="P466" i="1" s="1"/>
  <c r="Q466" i="1" s="1"/>
  <c r="G467" i="1"/>
  <c r="I467" i="1" s="1"/>
  <c r="V468" i="1"/>
  <c r="W468" i="1" s="1"/>
  <c r="Y468" i="1"/>
  <c r="D467" i="1"/>
  <c r="C467" i="1"/>
  <c r="B468" i="1"/>
  <c r="L468" i="1" s="1"/>
  <c r="A469" i="1"/>
  <c r="H469" i="1" s="1"/>
  <c r="E468" i="1"/>
  <c r="Z468" i="1" l="1"/>
  <c r="X468" i="1"/>
  <c r="R465" i="1"/>
  <c r="S465" i="1"/>
  <c r="J467" i="1"/>
  <c r="K467" i="1" s="1"/>
  <c r="O467" i="1" s="1"/>
  <c r="P467" i="1" s="1"/>
  <c r="Q467" i="1" s="1"/>
  <c r="R466" i="1"/>
  <c r="S466" i="1"/>
  <c r="G468" i="1"/>
  <c r="I468" i="1" s="1"/>
  <c r="V469" i="1"/>
  <c r="Y469" i="1"/>
  <c r="Z469" i="1" s="1"/>
  <c r="W469" i="1"/>
  <c r="X469" i="1"/>
  <c r="A470" i="1"/>
  <c r="H470" i="1" s="1"/>
  <c r="B469" i="1"/>
  <c r="L469" i="1" s="1"/>
  <c r="E469" i="1"/>
  <c r="D468" i="1"/>
  <c r="C468" i="1"/>
  <c r="J468" i="1" l="1"/>
  <c r="K468" i="1" s="1"/>
  <c r="O468" i="1" s="1"/>
  <c r="P468" i="1" s="1"/>
  <c r="Q468" i="1" s="1"/>
  <c r="R467" i="1"/>
  <c r="S467" i="1"/>
  <c r="G469" i="1"/>
  <c r="I469" i="1" s="1"/>
  <c r="V470" i="1"/>
  <c r="X470" i="1" s="1"/>
  <c r="Y470" i="1"/>
  <c r="W470" i="1"/>
  <c r="C469" i="1"/>
  <c r="D469" i="1"/>
  <c r="A471" i="1"/>
  <c r="H471" i="1" s="1"/>
  <c r="E470" i="1"/>
  <c r="B470" i="1"/>
  <c r="L470" i="1" s="1"/>
  <c r="Z470" i="1" l="1"/>
  <c r="J469" i="1"/>
  <c r="K469" i="1" s="1"/>
  <c r="O469" i="1" s="1"/>
  <c r="P469" i="1" s="1"/>
  <c r="Q469" i="1" s="1"/>
  <c r="R468" i="1"/>
  <c r="S468" i="1"/>
  <c r="G470" i="1"/>
  <c r="I470" i="1" s="1"/>
  <c r="V471" i="1"/>
  <c r="Y471" i="1"/>
  <c r="Z471" i="1" s="1"/>
  <c r="X471" i="1"/>
  <c r="W471" i="1"/>
  <c r="C470" i="1"/>
  <c r="D470" i="1"/>
  <c r="B471" i="1"/>
  <c r="L471" i="1" s="1"/>
  <c r="E471" i="1"/>
  <c r="A472" i="1"/>
  <c r="H472" i="1" s="1"/>
  <c r="J470" i="1" l="1"/>
  <c r="K470" i="1" s="1"/>
  <c r="O470" i="1" s="1"/>
  <c r="P470" i="1" s="1"/>
  <c r="Q470" i="1" s="1"/>
  <c r="R469" i="1"/>
  <c r="S469" i="1"/>
  <c r="G471" i="1"/>
  <c r="I471" i="1" s="1"/>
  <c r="V472" i="1"/>
  <c r="X472" i="1" s="1"/>
  <c r="Y472" i="1"/>
  <c r="B472" i="1"/>
  <c r="L472" i="1" s="1"/>
  <c r="E472" i="1"/>
  <c r="A473" i="1"/>
  <c r="H473" i="1" s="1"/>
  <c r="D471" i="1"/>
  <c r="C471" i="1"/>
  <c r="J471" i="1" l="1"/>
  <c r="K471" i="1" s="1"/>
  <c r="O471" i="1" s="1"/>
  <c r="P471" i="1" s="1"/>
  <c r="Q471" i="1" s="1"/>
  <c r="R470" i="1"/>
  <c r="S470" i="1"/>
  <c r="W472" i="1"/>
  <c r="Z472" i="1"/>
  <c r="G472" i="1"/>
  <c r="I472" i="1" s="1"/>
  <c r="V473" i="1"/>
  <c r="Y473" i="1"/>
  <c r="Z473" i="1" s="1"/>
  <c r="X473" i="1"/>
  <c r="W473" i="1"/>
  <c r="A474" i="1"/>
  <c r="H474" i="1" s="1"/>
  <c r="B473" i="1"/>
  <c r="L473" i="1" s="1"/>
  <c r="E473" i="1"/>
  <c r="D472" i="1"/>
  <c r="C472" i="1"/>
  <c r="J472" i="1" l="1"/>
  <c r="K472" i="1" s="1"/>
  <c r="O472" i="1" s="1"/>
  <c r="P472" i="1" s="1"/>
  <c r="Q472" i="1" s="1"/>
  <c r="R471" i="1"/>
  <c r="S471" i="1"/>
  <c r="G473" i="1"/>
  <c r="I473" i="1" s="1"/>
  <c r="V474" i="1"/>
  <c r="W474" i="1" s="1"/>
  <c r="Y474" i="1"/>
  <c r="X474" i="1"/>
  <c r="Z474" i="1"/>
  <c r="D473" i="1"/>
  <c r="C473" i="1"/>
  <c r="B474" i="1"/>
  <c r="L474" i="1" s="1"/>
  <c r="A475" i="1"/>
  <c r="H475" i="1" s="1"/>
  <c r="E474" i="1"/>
  <c r="J473" i="1" l="1"/>
  <c r="K473" i="1" s="1"/>
  <c r="O473" i="1" s="1"/>
  <c r="P473" i="1" s="1"/>
  <c r="Q473" i="1" s="1"/>
  <c r="R472" i="1"/>
  <c r="S472" i="1"/>
  <c r="G474" i="1"/>
  <c r="I474" i="1" s="1"/>
  <c r="V475" i="1"/>
  <c r="Y475" i="1"/>
  <c r="Z475" i="1" s="1"/>
  <c r="X475" i="1"/>
  <c r="W475" i="1"/>
  <c r="A476" i="1"/>
  <c r="H476" i="1" s="1"/>
  <c r="B475" i="1"/>
  <c r="L475" i="1" s="1"/>
  <c r="E475" i="1"/>
  <c r="C474" i="1"/>
  <c r="D474" i="1"/>
  <c r="J474" i="1" l="1"/>
  <c r="K474" i="1" s="1"/>
  <c r="O474" i="1" s="1"/>
  <c r="P474" i="1" s="1"/>
  <c r="Q474" i="1" s="1"/>
  <c r="R473" i="1"/>
  <c r="S473" i="1"/>
  <c r="G475" i="1"/>
  <c r="I475" i="1" s="1"/>
  <c r="V476" i="1"/>
  <c r="Y476" i="1"/>
  <c r="Z476" i="1" s="1"/>
  <c r="X476" i="1"/>
  <c r="W476" i="1"/>
  <c r="D475" i="1"/>
  <c r="C475" i="1"/>
  <c r="B476" i="1"/>
  <c r="L476" i="1" s="1"/>
  <c r="E476" i="1"/>
  <c r="A477" i="1"/>
  <c r="H477" i="1" s="1"/>
  <c r="J475" i="1" l="1"/>
  <c r="K475" i="1" s="1"/>
  <c r="O475" i="1" s="1"/>
  <c r="P475" i="1" s="1"/>
  <c r="Q475" i="1" s="1"/>
  <c r="R474" i="1"/>
  <c r="S474" i="1"/>
  <c r="G476" i="1"/>
  <c r="I476" i="1" s="1"/>
  <c r="V477" i="1"/>
  <c r="W477" i="1" s="1"/>
  <c r="Y477" i="1"/>
  <c r="E477" i="1"/>
  <c r="A478" i="1"/>
  <c r="H478" i="1" s="1"/>
  <c r="B477" i="1"/>
  <c r="L477" i="1" s="1"/>
  <c r="C476" i="1"/>
  <c r="D476" i="1"/>
  <c r="J476" i="1" l="1"/>
  <c r="K476" i="1" s="1"/>
  <c r="O476" i="1" s="1"/>
  <c r="P476" i="1" s="1"/>
  <c r="Q476" i="1" s="1"/>
  <c r="R475" i="1"/>
  <c r="S475" i="1"/>
  <c r="G477" i="1"/>
  <c r="I477" i="1" s="1"/>
  <c r="Z477" i="1"/>
  <c r="X477" i="1"/>
  <c r="V478" i="1"/>
  <c r="Y478" i="1"/>
  <c r="X478" i="1"/>
  <c r="W478" i="1"/>
  <c r="A479" i="1"/>
  <c r="H479" i="1" s="1"/>
  <c r="B478" i="1"/>
  <c r="L478" i="1" s="1"/>
  <c r="E478" i="1"/>
  <c r="C477" i="1"/>
  <c r="D477" i="1"/>
  <c r="Z478" i="1" l="1"/>
  <c r="J477" i="1"/>
  <c r="K477" i="1" s="1"/>
  <c r="O477" i="1" s="1"/>
  <c r="P477" i="1" s="1"/>
  <c r="Q477" i="1" s="1"/>
  <c r="R476" i="1"/>
  <c r="S476" i="1"/>
  <c r="G478" i="1"/>
  <c r="I478" i="1" s="1"/>
  <c r="V479" i="1"/>
  <c r="X479" i="1" s="1"/>
  <c r="Y479" i="1"/>
  <c r="Z479" i="1" s="1"/>
  <c r="D478" i="1"/>
  <c r="C478" i="1"/>
  <c r="A480" i="1"/>
  <c r="H480" i="1" s="1"/>
  <c r="B479" i="1"/>
  <c r="L479" i="1" s="1"/>
  <c r="E479" i="1"/>
  <c r="W479" i="1" l="1"/>
  <c r="J478" i="1"/>
  <c r="K478" i="1" s="1"/>
  <c r="O478" i="1" s="1"/>
  <c r="P478" i="1" s="1"/>
  <c r="Q478" i="1" s="1"/>
  <c r="R477" i="1"/>
  <c r="S477" i="1"/>
  <c r="G479" i="1"/>
  <c r="I479" i="1" s="1"/>
  <c r="V480" i="1"/>
  <c r="W480" i="1" s="1"/>
  <c r="Y480" i="1"/>
  <c r="Z480" i="1" s="1"/>
  <c r="X480" i="1"/>
  <c r="C479" i="1"/>
  <c r="D479" i="1"/>
  <c r="A481" i="1"/>
  <c r="H481" i="1" s="1"/>
  <c r="E480" i="1"/>
  <c r="B480" i="1"/>
  <c r="L480" i="1" s="1"/>
  <c r="J479" i="1" l="1"/>
  <c r="K479" i="1" s="1"/>
  <c r="O479" i="1" s="1"/>
  <c r="P479" i="1" s="1"/>
  <c r="Q479" i="1" s="1"/>
  <c r="R478" i="1"/>
  <c r="S478" i="1"/>
  <c r="G480" i="1"/>
  <c r="I480" i="1" s="1"/>
  <c r="V481" i="1"/>
  <c r="W481" i="1" s="1"/>
  <c r="Y481" i="1"/>
  <c r="Z481" i="1" s="1"/>
  <c r="X481" i="1"/>
  <c r="D480" i="1"/>
  <c r="C480" i="1"/>
  <c r="B481" i="1"/>
  <c r="L481" i="1" s="1"/>
  <c r="A482" i="1"/>
  <c r="H482" i="1" s="1"/>
  <c r="E481" i="1"/>
  <c r="J480" i="1" l="1"/>
  <c r="K480" i="1" s="1"/>
  <c r="O480" i="1" s="1"/>
  <c r="P480" i="1" s="1"/>
  <c r="Q480" i="1" s="1"/>
  <c r="R479" i="1"/>
  <c r="S479" i="1"/>
  <c r="G481" i="1"/>
  <c r="I481" i="1" s="1"/>
  <c r="V482" i="1"/>
  <c r="Y482" i="1"/>
  <c r="Z482" i="1" s="1"/>
  <c r="X482" i="1"/>
  <c r="W482" i="1"/>
  <c r="E482" i="1"/>
  <c r="B482" i="1"/>
  <c r="L482" i="1" s="1"/>
  <c r="C481" i="1"/>
  <c r="D481" i="1"/>
  <c r="J481" i="1" l="1"/>
  <c r="K481" i="1" s="1"/>
  <c r="O481" i="1" s="1"/>
  <c r="P481" i="1" s="1"/>
  <c r="Q481" i="1" s="1"/>
  <c r="R480" i="1"/>
  <c r="S480" i="1"/>
  <c r="G482" i="1"/>
  <c r="I482" i="1" s="1"/>
  <c r="D482" i="1"/>
  <c r="C482" i="1"/>
  <c r="J482" i="1" l="1"/>
  <c r="K482" i="1" s="1"/>
  <c r="O482" i="1" s="1"/>
  <c r="P482" i="1" s="1"/>
  <c r="Q482" i="1" s="1"/>
  <c r="R481" i="1"/>
  <c r="S481" i="1"/>
  <c r="R482" i="1" l="1"/>
  <c r="S482" i="1"/>
  <c r="G284" i="2"/>
  <c r="P279" i="2"/>
  <c r="P66" i="2" l="1"/>
  <c r="AT66" i="2" s="1"/>
  <c r="P67" i="2"/>
  <c r="AT67" i="2" s="1"/>
  <c r="P68" i="2"/>
  <c r="AT68" i="2" s="1"/>
  <c r="P69" i="2"/>
  <c r="AT69" i="2" s="1"/>
  <c r="P70" i="2"/>
  <c r="AT70" i="2" s="1"/>
  <c r="P71" i="2"/>
  <c r="AT71" i="2" s="1"/>
  <c r="P72" i="2"/>
  <c r="AT72" i="2" s="1"/>
  <c r="P73" i="2"/>
  <c r="AT73" i="2" s="1"/>
  <c r="P74" i="2"/>
  <c r="AT74" i="2" s="1"/>
  <c r="P75" i="2"/>
  <c r="AT75" i="2" s="1"/>
  <c r="P76" i="2"/>
  <c r="AT76" i="2" s="1"/>
  <c r="P77" i="2"/>
  <c r="AT77" i="2" s="1"/>
  <c r="P78" i="2"/>
  <c r="AT78" i="2" s="1"/>
  <c r="P79" i="2"/>
  <c r="AT79" i="2" s="1"/>
  <c r="P80" i="2"/>
  <c r="AT80" i="2" s="1"/>
  <c r="P81" i="2"/>
  <c r="AT81" i="2" s="1"/>
  <c r="P82" i="2"/>
  <c r="AT82" i="2" s="1"/>
  <c r="P83" i="2"/>
  <c r="AT83" i="2" s="1"/>
  <c r="P84" i="2"/>
  <c r="AT84" i="2" s="1"/>
  <c r="P85" i="2"/>
  <c r="AT85" i="2" s="1"/>
  <c r="P86" i="2"/>
  <c r="AT86" i="2" s="1"/>
  <c r="P87" i="2"/>
  <c r="AT87" i="2" s="1"/>
  <c r="P88" i="2"/>
  <c r="AT88" i="2" s="1"/>
  <c r="P89" i="2"/>
  <c r="AT89" i="2" s="1"/>
  <c r="P90" i="2"/>
  <c r="AT90" i="2" s="1"/>
  <c r="P91" i="2"/>
  <c r="AT91" i="2" s="1"/>
  <c r="P92" i="2"/>
  <c r="AT92" i="2" s="1"/>
  <c r="P93" i="2"/>
  <c r="AT93" i="2" s="1"/>
  <c r="P94" i="2"/>
  <c r="AT94" i="2" s="1"/>
  <c r="P95" i="2"/>
  <c r="AT95" i="2" s="1"/>
  <c r="P96" i="2"/>
  <c r="AT96" i="2" s="1"/>
  <c r="P97" i="2"/>
  <c r="AT97" i="2" s="1"/>
  <c r="P98" i="2"/>
  <c r="AT98" i="2" s="1"/>
  <c r="P99" i="2"/>
  <c r="AT99" i="2" s="1"/>
  <c r="P100" i="2"/>
  <c r="AT100" i="2" s="1"/>
  <c r="P101" i="2"/>
  <c r="AT101" i="2" s="1"/>
  <c r="P102" i="2"/>
  <c r="AT102" i="2" s="1"/>
  <c r="P103" i="2"/>
  <c r="AT103" i="2" s="1"/>
  <c r="P104" i="2"/>
  <c r="AT104" i="2" s="1"/>
  <c r="P105" i="2"/>
  <c r="AT105" i="2" s="1"/>
  <c r="P106" i="2"/>
  <c r="AT106" i="2" s="1"/>
  <c r="P107" i="2"/>
  <c r="AT107" i="2" s="1"/>
  <c r="P108" i="2"/>
  <c r="AT108" i="2" s="1"/>
  <c r="P109" i="2"/>
  <c r="AT109" i="2" s="1"/>
  <c r="P110" i="2"/>
  <c r="AT110" i="2" s="1"/>
  <c r="P111" i="2"/>
  <c r="AT111" i="2" s="1"/>
  <c r="P112" i="2"/>
  <c r="AT112" i="2" s="1"/>
  <c r="P113" i="2"/>
  <c r="AT113" i="2" s="1"/>
  <c r="P114" i="2"/>
  <c r="AT114" i="2" s="1"/>
  <c r="P115" i="2"/>
  <c r="AT115" i="2" s="1"/>
  <c r="P116" i="2"/>
  <c r="AT116" i="2" s="1"/>
  <c r="P117" i="2"/>
  <c r="AT117" i="2" s="1"/>
  <c r="P118" i="2"/>
  <c r="AT118" i="2" s="1"/>
  <c r="P119" i="2"/>
  <c r="AT119" i="2" s="1"/>
  <c r="P120" i="2"/>
  <c r="AT120" i="2" s="1"/>
  <c r="P121" i="2"/>
  <c r="AT121" i="2" s="1"/>
  <c r="P122" i="2"/>
  <c r="AT122" i="2" s="1"/>
  <c r="P123" i="2"/>
  <c r="AT123" i="2" s="1"/>
  <c r="P124" i="2"/>
  <c r="AT124" i="2" s="1"/>
  <c r="P125" i="2"/>
  <c r="AT125" i="2" s="1"/>
  <c r="P126" i="2"/>
  <c r="AT126" i="2" s="1"/>
  <c r="P127" i="2"/>
  <c r="AT127" i="2" s="1"/>
  <c r="P128" i="2"/>
  <c r="AT128" i="2" s="1"/>
  <c r="P129" i="2"/>
  <c r="AT129" i="2" s="1"/>
  <c r="P130" i="2"/>
  <c r="AT130" i="2" s="1"/>
  <c r="P131" i="2"/>
  <c r="AT131" i="2" s="1"/>
  <c r="P132" i="2"/>
  <c r="AT132" i="2" s="1"/>
  <c r="P133" i="2"/>
  <c r="AT133" i="2" s="1"/>
  <c r="P134" i="2"/>
  <c r="AT134" i="2" s="1"/>
  <c r="P135" i="2"/>
  <c r="AT135" i="2" s="1"/>
  <c r="P136" i="2"/>
  <c r="AT136" i="2" s="1"/>
  <c r="P137" i="2"/>
  <c r="AT137" i="2" s="1"/>
  <c r="P138" i="2"/>
  <c r="AT138" i="2" s="1"/>
  <c r="P139" i="2"/>
  <c r="AT139" i="2" s="1"/>
  <c r="P140" i="2"/>
  <c r="AT140" i="2" s="1"/>
  <c r="P141" i="2"/>
  <c r="AT141" i="2" s="1"/>
  <c r="P142" i="2"/>
  <c r="AT142" i="2" s="1"/>
  <c r="P143" i="2"/>
  <c r="AT143" i="2" s="1"/>
  <c r="P144" i="2"/>
  <c r="AT144" i="2" s="1"/>
  <c r="P145" i="2"/>
  <c r="AT145" i="2" s="1"/>
  <c r="P146" i="2"/>
  <c r="AT146" i="2" s="1"/>
  <c r="P147" i="2"/>
  <c r="AT147" i="2" s="1"/>
  <c r="P148" i="2"/>
  <c r="AT148" i="2" s="1"/>
  <c r="P149" i="2"/>
  <c r="AT149" i="2" s="1"/>
  <c r="P150" i="2"/>
  <c r="AT150" i="2" s="1"/>
  <c r="P151" i="2"/>
  <c r="AT151" i="2" s="1"/>
  <c r="P152" i="2"/>
  <c r="AT152" i="2" s="1"/>
  <c r="P153" i="2"/>
  <c r="AT153" i="2" s="1"/>
  <c r="P154" i="2"/>
  <c r="AT154" i="2" s="1"/>
  <c r="P155" i="2"/>
  <c r="AT155" i="2" s="1"/>
  <c r="P156" i="2"/>
  <c r="AT156" i="2" s="1"/>
  <c r="P157" i="2"/>
  <c r="AT157" i="2" s="1"/>
  <c r="P158" i="2"/>
  <c r="AT158" i="2" s="1"/>
  <c r="P159" i="2"/>
  <c r="AT159" i="2" s="1"/>
  <c r="P160" i="2"/>
  <c r="AT160" i="2" s="1"/>
  <c r="P161" i="2"/>
  <c r="AT161" i="2" s="1"/>
  <c r="P162" i="2"/>
  <c r="AT162" i="2" s="1"/>
  <c r="P163" i="2"/>
  <c r="AT163" i="2" s="1"/>
  <c r="P164" i="2"/>
  <c r="AT164" i="2" s="1"/>
  <c r="P165" i="2"/>
  <c r="AT165" i="2" s="1"/>
  <c r="P166" i="2"/>
  <c r="AT166" i="2" s="1"/>
  <c r="P167" i="2"/>
  <c r="AT167" i="2" s="1"/>
  <c r="P168" i="2"/>
  <c r="AT168" i="2" s="1"/>
  <c r="P169" i="2"/>
  <c r="AT169" i="2" s="1"/>
  <c r="P170" i="2"/>
  <c r="AT170" i="2" s="1"/>
  <c r="P171" i="2"/>
  <c r="AT171" i="2" s="1"/>
  <c r="P172" i="2"/>
  <c r="AT172" i="2" s="1"/>
  <c r="P173" i="2"/>
  <c r="AT173" i="2" s="1"/>
  <c r="P174" i="2"/>
  <c r="AT174" i="2" s="1"/>
  <c r="P175" i="2"/>
  <c r="AT175" i="2" s="1"/>
  <c r="P176" i="2"/>
  <c r="AT176" i="2" s="1"/>
  <c r="P177" i="2"/>
  <c r="AT177" i="2" s="1"/>
  <c r="P178" i="2"/>
  <c r="AT178" i="2" s="1"/>
  <c r="P179" i="2"/>
  <c r="AT179" i="2" s="1"/>
  <c r="P180" i="2"/>
  <c r="AT180" i="2" s="1"/>
  <c r="P181" i="2"/>
  <c r="AT181" i="2" s="1"/>
  <c r="P182" i="2"/>
  <c r="AT182" i="2" s="1"/>
  <c r="P183" i="2"/>
  <c r="AT183" i="2" s="1"/>
  <c r="P184" i="2"/>
  <c r="AT184" i="2" s="1"/>
  <c r="P185" i="2"/>
  <c r="AT185" i="2" s="1"/>
  <c r="P186" i="2"/>
  <c r="AT186" i="2" s="1"/>
  <c r="P187" i="2"/>
  <c r="AT187" i="2" s="1"/>
  <c r="P188" i="2"/>
  <c r="AT188" i="2" s="1"/>
  <c r="P189" i="2"/>
  <c r="AT189" i="2" s="1"/>
  <c r="P190" i="2"/>
  <c r="AT190" i="2" s="1"/>
  <c r="P191" i="2"/>
  <c r="AT191" i="2" s="1"/>
  <c r="P192" i="2"/>
  <c r="AT192" i="2" s="1"/>
  <c r="P193" i="2"/>
  <c r="AT193" i="2" s="1"/>
  <c r="P194" i="2"/>
  <c r="AT194" i="2" s="1"/>
  <c r="P195" i="2"/>
  <c r="AT195" i="2" s="1"/>
  <c r="P196" i="2"/>
  <c r="AT196" i="2" s="1"/>
  <c r="P197" i="2"/>
  <c r="AT197" i="2" s="1"/>
  <c r="P198" i="2"/>
  <c r="AT198" i="2" s="1"/>
  <c r="P199" i="2"/>
  <c r="AT199" i="2" s="1"/>
  <c r="P200" i="2"/>
  <c r="AT200" i="2" s="1"/>
  <c r="P201" i="2"/>
  <c r="AT201" i="2" s="1"/>
  <c r="P202" i="2"/>
  <c r="AT202" i="2" s="1"/>
  <c r="P203" i="2"/>
  <c r="AT203" i="2" s="1"/>
  <c r="P204" i="2"/>
  <c r="AT204" i="2" s="1"/>
  <c r="P205" i="2"/>
  <c r="AT205" i="2" s="1"/>
  <c r="P206" i="2"/>
  <c r="AT206" i="2" s="1"/>
  <c r="P207" i="2"/>
  <c r="AT207" i="2" s="1"/>
  <c r="P208" i="2"/>
  <c r="AT208" i="2" s="1"/>
  <c r="P209" i="2"/>
  <c r="AT209" i="2" s="1"/>
  <c r="P210" i="2"/>
  <c r="AT210" i="2" s="1"/>
  <c r="P211" i="2"/>
  <c r="AT211" i="2" s="1"/>
  <c r="P212" i="2"/>
  <c r="AT212" i="2" s="1"/>
  <c r="P213" i="2"/>
  <c r="AT213" i="2" s="1"/>
  <c r="P214" i="2"/>
  <c r="AT214" i="2" s="1"/>
  <c r="P215" i="2"/>
  <c r="AT215" i="2" s="1"/>
  <c r="P216" i="2"/>
  <c r="AT216" i="2" s="1"/>
  <c r="P217" i="2"/>
  <c r="AT217" i="2" s="1"/>
  <c r="P218" i="2"/>
  <c r="AT218" i="2" s="1"/>
  <c r="P219" i="2"/>
  <c r="AT219" i="2" s="1"/>
  <c r="P220" i="2"/>
  <c r="AT220" i="2" s="1"/>
  <c r="P221" i="2"/>
  <c r="AT221" i="2" s="1"/>
  <c r="P222" i="2"/>
  <c r="AT222" i="2" s="1"/>
  <c r="P223" i="2"/>
  <c r="AT223" i="2" s="1"/>
  <c r="P224" i="2"/>
  <c r="AT224" i="2" s="1"/>
  <c r="P225" i="2"/>
  <c r="AT225" i="2" s="1"/>
  <c r="P226" i="2"/>
  <c r="AT226" i="2" s="1"/>
  <c r="P227" i="2"/>
  <c r="AT227" i="2" s="1"/>
  <c r="P228" i="2"/>
  <c r="AT228" i="2" s="1"/>
  <c r="P229" i="2"/>
  <c r="AT229" i="2" s="1"/>
  <c r="P230" i="2"/>
  <c r="AT230" i="2" s="1"/>
  <c r="P231" i="2"/>
  <c r="AT231" i="2" s="1"/>
  <c r="P232" i="2"/>
  <c r="AT232" i="2" s="1"/>
  <c r="P233" i="2"/>
  <c r="AT233" i="2" s="1"/>
  <c r="P234" i="2"/>
  <c r="AT234" i="2" s="1"/>
  <c r="P235" i="2"/>
  <c r="AT235" i="2" s="1"/>
  <c r="P236" i="2"/>
  <c r="AT236" i="2" s="1"/>
  <c r="P237" i="2"/>
  <c r="AT237" i="2" s="1"/>
  <c r="P238" i="2"/>
  <c r="AT238" i="2" s="1"/>
  <c r="P239" i="2"/>
  <c r="AT239" i="2" s="1"/>
  <c r="P240" i="2"/>
  <c r="AT240" i="2" s="1"/>
  <c r="P241" i="2"/>
  <c r="AT241" i="2" s="1"/>
  <c r="P242" i="2"/>
  <c r="AT242" i="2" s="1"/>
  <c r="P243" i="2"/>
  <c r="AT243" i="2" s="1"/>
  <c r="P244" i="2"/>
  <c r="AT244" i="2" s="1"/>
  <c r="P245" i="2"/>
  <c r="AT245" i="2" s="1"/>
  <c r="P246" i="2"/>
  <c r="AT246" i="2" s="1"/>
  <c r="P247" i="2"/>
  <c r="AT247" i="2" s="1"/>
  <c r="P248" i="2"/>
  <c r="AT248" i="2" s="1"/>
  <c r="P249" i="2"/>
  <c r="AT249" i="2" s="1"/>
  <c r="P250" i="2"/>
  <c r="AT250" i="2" s="1"/>
  <c r="P251" i="2"/>
  <c r="AT251" i="2" s="1"/>
  <c r="P252" i="2"/>
  <c r="AT252" i="2" s="1"/>
  <c r="P253" i="2"/>
  <c r="AT253" i="2" s="1"/>
  <c r="P254" i="2"/>
  <c r="AT254" i="2" s="1"/>
  <c r="P255" i="2"/>
  <c r="AT255" i="2" s="1"/>
  <c r="P256" i="2"/>
  <c r="AT256" i="2" s="1"/>
  <c r="P257" i="2"/>
  <c r="AT257" i="2" s="1"/>
  <c r="P258" i="2"/>
  <c r="AT258" i="2" s="1"/>
  <c r="P259" i="2"/>
  <c r="AT259" i="2" s="1"/>
  <c r="P260" i="2"/>
  <c r="AT260" i="2" s="1"/>
  <c r="P261" i="2"/>
  <c r="AT261" i="2" s="1"/>
  <c r="P262" i="2"/>
  <c r="AT262" i="2" s="1"/>
  <c r="P263" i="2"/>
  <c r="AT263" i="2" s="1"/>
  <c r="P264" i="2"/>
  <c r="AT264" i="2" s="1"/>
  <c r="P265" i="2"/>
  <c r="AT265" i="2" s="1"/>
  <c r="P266" i="2"/>
  <c r="AT266" i="2" s="1"/>
  <c r="P267" i="2"/>
  <c r="AT267" i="2" s="1"/>
  <c r="P268" i="2"/>
  <c r="AT268" i="2" s="1"/>
  <c r="P269" i="2"/>
  <c r="AT269" i="2" s="1"/>
  <c r="P270" i="2"/>
  <c r="AT270" i="2" s="1"/>
  <c r="P271" i="2"/>
  <c r="AT271" i="2" s="1"/>
  <c r="P272" i="2"/>
  <c r="AT272" i="2" s="1"/>
  <c r="P273" i="2"/>
  <c r="AT273" i="2" s="1"/>
  <c r="P274" i="2"/>
  <c r="AT274" i="2" s="1"/>
  <c r="P275" i="2"/>
  <c r="AT275" i="2" s="1"/>
  <c r="P276" i="2"/>
  <c r="AT276" i="2" s="1"/>
  <c r="P277" i="2"/>
  <c r="AT277" i="2" s="1"/>
  <c r="P278" i="2"/>
  <c r="AT278" i="2" s="1"/>
  <c r="P14" i="2"/>
  <c r="AT14" i="2" s="1"/>
  <c r="P34" i="2"/>
  <c r="AT34" i="2" s="1"/>
  <c r="P65" i="2"/>
  <c r="AT65" i="2" s="1"/>
  <c r="P35" i="2"/>
  <c r="AT35" i="2" s="1"/>
  <c r="P36" i="2"/>
  <c r="AT36" i="2" s="1"/>
  <c r="P37" i="2"/>
  <c r="AT37" i="2" s="1"/>
  <c r="P38" i="2"/>
  <c r="AT38" i="2" s="1"/>
  <c r="P39" i="2"/>
  <c r="AT39" i="2" s="1"/>
  <c r="P40" i="2"/>
  <c r="AT40" i="2" s="1"/>
  <c r="P41" i="2"/>
  <c r="AT41" i="2" s="1"/>
  <c r="P42" i="2"/>
  <c r="AT42" i="2" s="1"/>
  <c r="P43" i="2"/>
  <c r="AT43" i="2" s="1"/>
  <c r="P44" i="2"/>
  <c r="AT44" i="2" s="1"/>
  <c r="P45" i="2"/>
  <c r="AT45" i="2" s="1"/>
  <c r="P46" i="2"/>
  <c r="AT46" i="2" s="1"/>
  <c r="P47" i="2"/>
  <c r="AT47" i="2" s="1"/>
  <c r="P48" i="2"/>
  <c r="AT48" i="2" s="1"/>
  <c r="P49" i="2"/>
  <c r="AT49" i="2" s="1"/>
  <c r="P50" i="2"/>
  <c r="AT50" i="2" s="1"/>
  <c r="P51" i="2"/>
  <c r="AT51" i="2" s="1"/>
  <c r="P52" i="2"/>
  <c r="AT52" i="2" s="1"/>
  <c r="P53" i="2"/>
  <c r="AT53" i="2" s="1"/>
  <c r="P33" i="2"/>
  <c r="AT33" i="2" s="1"/>
  <c r="P54" i="2"/>
  <c r="AT54" i="2" s="1"/>
  <c r="P55" i="2"/>
  <c r="AT55" i="2" s="1"/>
  <c r="P56" i="2"/>
  <c r="AT56" i="2" s="1"/>
  <c r="P57" i="2"/>
  <c r="AT57" i="2" s="1"/>
  <c r="P58" i="2"/>
  <c r="AT58" i="2" s="1"/>
  <c r="P59" i="2"/>
  <c r="AT59" i="2" s="1"/>
  <c r="P60" i="2"/>
  <c r="AT60" i="2" s="1"/>
  <c r="P61" i="2"/>
  <c r="AT61" i="2" s="1"/>
  <c r="P62" i="2"/>
  <c r="AT62" i="2" s="1"/>
  <c r="P63" i="2"/>
  <c r="AT63" i="2" s="1"/>
  <c r="P64" i="2"/>
  <c r="AT64" i="2" s="1"/>
  <c r="P18" i="2"/>
  <c r="AT18" i="2" s="1"/>
  <c r="P15" i="2"/>
  <c r="AT15" i="2" s="1"/>
  <c r="P20" i="2"/>
  <c r="AT20" i="2" s="1"/>
  <c r="P24" i="2"/>
  <c r="AT24" i="2" s="1"/>
  <c r="P23" i="2"/>
  <c r="AT23" i="2" s="1"/>
  <c r="P30" i="2"/>
  <c r="AT30" i="2" s="1"/>
  <c r="P31" i="2"/>
  <c r="AT31" i="2" s="1"/>
  <c r="P25" i="2"/>
  <c r="AT25" i="2" s="1"/>
  <c r="P16" i="2"/>
  <c r="AT16" i="2" s="1"/>
  <c r="P28" i="2"/>
  <c r="AT28" i="2" s="1"/>
  <c r="P26" i="2"/>
  <c r="AT26" i="2" s="1"/>
  <c r="P19" i="2"/>
  <c r="AT19" i="2" s="1"/>
  <c r="P13" i="2"/>
  <c r="AT13" i="2" s="1"/>
  <c r="P17" i="2"/>
  <c r="AT17" i="2" s="1"/>
  <c r="P27" i="2"/>
  <c r="AT27" i="2" s="1"/>
  <c r="P22" i="2"/>
  <c r="AT22" i="2" s="1"/>
  <c r="P29" i="2"/>
  <c r="AT29" i="2" s="1"/>
  <c r="P32" i="2"/>
  <c r="AT32" i="2" s="1"/>
  <c r="P21" i="2"/>
  <c r="AT21" i="2" s="1"/>
  <c r="AT1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<sst xmlns="http://schemas.openxmlformats.org/spreadsheetml/2006/main" count="121" uniqueCount="76">
  <si>
    <t>ring count</t>
  </si>
  <si>
    <t>avg sun dist</t>
  </si>
  <si>
    <t>km</t>
  </si>
  <si>
    <t>sun dist E</t>
  </si>
  <si>
    <t>sun dist M</t>
  </si>
  <si>
    <t>inr sat count</t>
  </si>
  <si>
    <t>total sat count</t>
  </si>
  <si>
    <t>INR MBPS</t>
  </si>
  <si>
    <t>mpbs</t>
  </si>
  <si>
    <t>Baseline</t>
  </si>
  <si>
    <t>INR SATCOUNT</t>
  </si>
  <si>
    <t>mbps</t>
  </si>
  <si>
    <t>INR KM</t>
  </si>
  <si>
    <t>RING KM</t>
  </si>
  <si>
    <t>IN-RING</t>
  </si>
  <si>
    <t>INT MBPS</t>
  </si>
  <si>
    <t>RING COUNT</t>
  </si>
  <si>
    <t>improvement factor</t>
  </si>
  <si>
    <t>x</t>
  </si>
  <si>
    <t>Improved</t>
  </si>
  <si>
    <t>∆ RING DIST</t>
  </si>
  <si>
    <t>ring dist EM</t>
  </si>
  <si>
    <t>Required Total MBPS</t>
  </si>
  <si>
    <t>Mbps</t>
  </si>
  <si>
    <t>Total INT</t>
  </si>
  <si>
    <t>Constraint = 1000mbps</t>
  </si>
  <si>
    <t>Constraint = INRING MBPS = INTERRING MBPS</t>
  </si>
  <si>
    <t>INTER-RING</t>
  </si>
  <si>
    <t>Beyond max, there aren't enough satellites in the ring to let satellites connect from one ring to the next</t>
  </si>
  <si>
    <t>This doesn't account for geometry</t>
  </si>
  <si>
    <t>This lets geometry stay correct (max 45 degrees hypothenuse)</t>
  </si>
  <si>
    <t>inr satcount</t>
  </si>
  <si>
    <t>Ring count</t>
  </si>
  <si>
    <t>Reqd mbps</t>
  </si>
  <si>
    <t>TOTAL SATCOUNT</t>
  </si>
  <si>
    <t>inr dist</t>
  </si>
  <si>
    <t>int best dist</t>
  </si>
  <si>
    <t>int worst dist</t>
  </si>
  <si>
    <t>inr mbps</t>
  </si>
  <si>
    <t>int worst mbps</t>
  </si>
  <si>
    <t>worst case INT MBPS</t>
  </si>
  <si>
    <t>INR DIST KM</t>
  </si>
  <si>
    <t>INT DIST KM</t>
  </si>
  <si>
    <t>worst case KM</t>
  </si>
  <si>
    <t>This accounts for geometry (half INR distance as worst case)</t>
  </si>
  <si>
    <t>inr sat count corrected</t>
  </si>
  <si>
    <t>Total INT best case</t>
  </si>
  <si>
    <t>Total INT worst case</t>
  </si>
  <si>
    <t>correction</t>
  </si>
  <si>
    <t>direct formula</t>
  </si>
  <si>
    <t>TOTAL MBPS</t>
  </si>
  <si>
    <t>Improvement factor</t>
  </si>
  <si>
    <t>This calculation uses hypothenuse between INT and INR as a worst case scenario</t>
  </si>
  <si>
    <t>This calculation uses INT as a best case scenario</t>
  </si>
  <si>
    <t>This is the difference between the two</t>
  </si>
  <si>
    <t>cte</t>
  </si>
  <si>
    <t>power</t>
  </si>
  <si>
    <t>a</t>
  </si>
  <si>
    <t>b</t>
  </si>
  <si>
    <t>INR satcount</t>
  </si>
  <si>
    <t>total mbps</t>
  </si>
  <si>
    <t>TOTAL MBPS/ TOTAL SATCOUNT</t>
  </si>
  <si>
    <t>Mbps/sat</t>
  </si>
  <si>
    <t>Optimal</t>
  </si>
  <si>
    <t>optimal ring count</t>
  </si>
  <si>
    <t>Mbps / satcount</t>
  </si>
  <si>
    <t>mbps/sat</t>
  </si>
  <si>
    <t>sat count / ring</t>
  </si>
  <si>
    <t>Satcount/ring</t>
  </si>
  <si>
    <t>Satcount total</t>
  </si>
  <si>
    <t>optimal
ring count</t>
  </si>
  <si>
    <t>Best Total Mbps</t>
  </si>
  <si>
    <t>ax^b</t>
  </si>
  <si>
    <t>Worst Total Mbps (natural)</t>
  </si>
  <si>
    <t>Worst Total Mbps (fitted ax^b)</t>
  </si>
  <si>
    <t>Worst Total Mbps (original 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</si>
</sst>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0"/>
    <numFmt numFmtId="167" formatCode="0.00000"/>
    <numFmt numFmtId="168" formatCode="#,##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1" fontId="0" fillId="0" borderId="0" xfId="0" applyNumberFormat="1"/>
    <xf numFmtId="3" fontId="0" fillId="0" borderId="0" xfId="0" applyNumberFormat="1"/>
    <xf numFmtId="0" fontId="3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1" applyFon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'V2'!$D$12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8264253107924346E-2"/>
                  <c:y val="-8.3638727887792093E-4"/>
                </c:manualLayout>
              </c:layout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'V2'!$D$13:$D$32</c:f>
              <c:numCache>
                <c:formatCode>0</c:formatCode>
                <c:ptCount val="20"/>
                <c:pt idx="0">
                  <c:v>0.5551440178838567</c:v>
                </c:pt>
                <c:pt idx="1">
                  <c:v>2.2156522200134652</c:v>
                </c:pt>
                <c:pt idx="2">
                  <c:v>4.966861830108444</c:v>
                </c:pt>
                <c:pt idx="3">
                  <c:v>8.7846930191263279</c:v>
                </c:pt>
                <c:pt idx="4">
                  <c:v>13.636170774726775</c:v>
                </c:pt>
                <c:pt idx="5">
                  <c:v>19.480125887727926</c:v>
                </c:pt>
                <c:pt idx="6">
                  <c:v>26.268047716847843</c:v>
                </c:pt>
                <c:pt idx="7">
                  <c:v>33.945056615853282</c:v>
                </c:pt>
                <c:pt idx="8">
                  <c:v>42.450961017750366</c:v>
                </c:pt>
                <c:pt idx="9">
                  <c:v>51.721363218045731</c:v>
                </c:pt>
                <c:pt idx="10">
                  <c:v>61.688778783588766</c:v>
                </c:pt>
                <c:pt idx="11">
                  <c:v>72.283737009484611</c:v>
                </c:pt>
                <c:pt idx="12">
                  <c:v>83.435833636196804</c:v>
                </c:pt>
                <c:pt idx="13">
                  <c:v>95.074711750752883</c:v>
                </c:pt>
                <c:pt idx="14">
                  <c:v>107.13095204332345</c:v>
                </c:pt>
                <c:pt idx="15">
                  <c:v>119.5368590056991</c:v>
                </c:pt>
                <c:pt idx="16">
                  <c:v>132.22713491918876</c:v>
                </c:pt>
                <c:pt idx="17">
                  <c:v>145.13943832715282</c:v>
                </c:pt>
                <c:pt idx="18">
                  <c:v>158.21482793429664</c:v>
                </c:pt>
                <c:pt idx="19">
                  <c:v>171.39809640549097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A-49A2-A8D2-AB9BDD54D82D}"/>
            </c:ext>
          </c:extLst>
        </c:ser>
        <c:ser>
          <c:idx val="1"/>
          <c:order val="1"/>
          <c:tx>
            <c:strRef>
              <c:f>'V2'!$E$12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'V2'!$E$13:$E$32</c:f>
              <c:numCache>
                <c:formatCode>0</c:formatCode>
                <c:ptCount val="20"/>
                <c:pt idx="0">
                  <c:v>1.1109052278915155</c:v>
                </c:pt>
                <c:pt idx="1">
                  <c:v>4.4411521430708536</c:v>
                </c:pt>
                <c:pt idx="2">
                  <c:v>9.983348143245502</c:v>
                </c:pt>
                <c:pt idx="3">
                  <c:v>17.725217760107721</c:v>
                </c:pt>
                <c:pt idx="4">
                  <c:v>27.649670468668017</c:v>
                </c:pt>
                <c:pt idx="5">
                  <c:v>39.734894640867552</c:v>
                </c:pt>
                <c:pt idx="6">
                  <c:v>53.954476683449172</c:v>
                </c:pt>
                <c:pt idx="7">
                  <c:v>70.277544153010624</c:v>
                </c:pt>
                <c:pt idx="8">
                  <c:v>88.668931413630105</c:v>
                </c:pt>
                <c:pt idx="9">
                  <c:v>109.0893661978142</c:v>
                </c:pt>
                <c:pt idx="10">
                  <c:v>131.49567525261205</c:v>
                </c:pt>
                <c:pt idx="11">
                  <c:v>155.84100710182341</c:v>
                </c:pt>
                <c:pt idx="12">
                  <c:v>182.07506983393858</c:v>
                </c:pt>
                <c:pt idx="13">
                  <c:v>210.14438173478274</c:v>
                </c:pt>
                <c:pt idx="14">
                  <c:v>239.99253252415747</c:v>
                </c:pt>
                <c:pt idx="15">
                  <c:v>271.56045292682626</c:v>
                </c:pt>
                <c:pt idx="16">
                  <c:v>304.78669030913284</c:v>
                </c:pt>
                <c:pt idx="17">
                  <c:v>339.60768814200293</c:v>
                </c:pt>
                <c:pt idx="18">
                  <c:v>375.95806710721394</c:v>
                </c:pt>
                <c:pt idx="19">
                  <c:v>413.77090574436585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4A-49A2-A8D2-AB9BDD54D82D}"/>
            </c:ext>
          </c:extLst>
        </c:ser>
        <c:ser>
          <c:idx val="2"/>
          <c:order val="2"/>
          <c:tx>
            <c:strRef>
              <c:f>'V2'!$F$12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'V2'!$F$13:$F$32</c:f>
              <c:numCache>
                <c:formatCode>0</c:formatCode>
                <c:ptCount val="20"/>
                <c:pt idx="0">
                  <c:v>1.6665293970561816</c:v>
                </c:pt>
                <c:pt idx="1">
                  <c:v>6.6644708954416956</c:v>
                </c:pt>
                <c:pt idx="2">
                  <c:v>14.98888848286413</c:v>
                </c:pt>
                <c:pt idx="3">
                  <c:v>26.631569006961183</c:v>
                </c:pt>
                <c:pt idx="4">
                  <c:v>41.581042412069806</c:v>
                </c:pt>
                <c:pt idx="5">
                  <c:v>59.822609940363556</c:v>
                </c:pt>
                <c:pt idx="6">
                  <c:v>81.338380168173572</c:v>
                </c:pt>
                <c:pt idx="7">
                  <c:v>106.10731271303486</c:v>
                </c:pt>
                <c:pt idx="8">
                  <c:v>134.10526941292801</c:v>
                </c:pt>
                <c:pt idx="9">
                  <c:v>165.30507274655895</c:v>
                </c:pt>
                <c:pt idx="10">
                  <c:v>199.67657123255981</c:v>
                </c:pt>
                <c:pt idx="11">
                  <c:v>237.18671151641084</c:v>
                </c:pt>
                <c:pt idx="12">
                  <c:v>277.79961682686667</c:v>
                </c:pt>
                <c:pt idx="13">
                  <c:v>321.47667145888187</c:v>
                </c:pt>
                <c:pt idx="14">
                  <c:v>368.17661091762295</c:v>
                </c:pt>
                <c:pt idx="15">
                  <c:v>417.85561733823738</c:v>
                </c:pt>
                <c:pt idx="16">
                  <c:v>470.46741977873211</c:v>
                </c:pt>
                <c:pt idx="17">
                  <c:v>525.96339896865402</c:v>
                </c:pt>
                <c:pt idx="18">
                  <c:v>584.29269608431741</c:v>
                </c:pt>
                <c:pt idx="19">
                  <c:v>645.40232511210752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4A-49A2-A8D2-AB9BDD54D82D}"/>
            </c:ext>
          </c:extLst>
        </c:ser>
        <c:ser>
          <c:idx val="3"/>
          <c:order val="3"/>
          <c:tx>
            <c:strRef>
              <c:f>'V2'!$G$12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'V2'!$G$13:$G$32</c:f>
              <c:numCache>
                <c:formatCode>0</c:formatCode>
                <c:ptCount val="20"/>
                <c:pt idx="0">
                  <c:v>2.2221192663045199</c:v>
                </c:pt>
                <c:pt idx="1">
                  <c:v>8.8872418231321237</c:v>
                </c:pt>
                <c:pt idx="2">
                  <c:v>19.991663660457856</c:v>
                </c:pt>
                <c:pt idx="3">
                  <c:v>35.529217144566829</c:v>
                </c:pt>
                <c:pt idx="4">
                  <c:v>55.491279576988994</c:v>
                </c:pt>
                <c:pt idx="5">
                  <c:v>79.866785145964016</c:v>
                </c:pt>
                <c:pt idx="6">
                  <c:v>108.64224023954701</c:v>
                </c:pt>
                <c:pt idx="7">
                  <c:v>141.80174208086177</c:v>
                </c:pt>
                <c:pt idx="8">
                  <c:v>179.32700063756519</c:v>
                </c:pt>
                <c:pt idx="9">
                  <c:v>221.19736374934413</c:v>
                </c:pt>
                <c:pt idx="10">
                  <c:v>267.38984540925179</c:v>
                </c:pt>
                <c:pt idx="11">
                  <c:v>317.87915712694041</c:v>
                </c:pt>
                <c:pt idx="12">
                  <c:v>372.63774229438991</c:v>
                </c:pt>
                <c:pt idx="13">
                  <c:v>431.63581346759338</c:v>
                </c:pt>
                <c:pt idx="14">
                  <c:v>494.84139247087364</c:v>
                </c:pt>
                <c:pt idx="15">
                  <c:v>562.22035322408499</c:v>
                </c:pt>
                <c:pt idx="16">
                  <c:v>633.73646718693374</c:v>
                </c:pt>
                <c:pt idx="17">
                  <c:v>709.35145130904084</c:v>
                </c:pt>
                <c:pt idx="18">
                  <c:v>789.02501836919487</c:v>
                </c:pt>
                <c:pt idx="19">
                  <c:v>872.71492958251361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4A-49A2-A8D2-AB9BDD54D82D}"/>
            </c:ext>
          </c:extLst>
        </c:ser>
        <c:ser>
          <c:idx val="4"/>
          <c:order val="4"/>
          <c:tx>
            <c:strRef>
              <c:f>'V2'!$H$12</c:f>
              <c:strCache>
                <c:ptCount val="1"/>
                <c:pt idx="0">
                  <c:v>2500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'V2'!$H$13:$H$32</c:f>
              <c:numCache>
                <c:formatCode>0</c:formatCode>
                <c:ptCount val="20"/>
                <c:pt idx="0">
                  <c:v>2.7776954116698431</c:v>
                </c:pt>
                <c:pt idx="1">
                  <c:v>11.109793370604285</c:v>
                </c:pt>
                <c:pt idx="2">
                  <c:v>24.993329927494479</c:v>
                </c:pt>
                <c:pt idx="3">
                  <c:v>44.423368095088257</c:v>
                </c:pt>
                <c:pt idx="4">
                  <c:v>69.393002235482086</c:v>
                </c:pt>
                <c:pt idx="5">
                  <c:v>99.893364192140112</c:v>
                </c:pt>
                <c:pt idx="6">
                  <c:v>135.91363115648289</c:v>
                </c:pt>
                <c:pt idx="7">
                  <c:v>177.44103525603333</c:v>
                </c:pt>
                <c:pt idx="8">
                  <c:v>224.46087484828539</c:v>
                </c:pt>
                <c:pt idx="9">
                  <c:v>276.95652750168318</c:v>
                </c:pt>
                <c:pt idx="10">
                  <c:v>334.90946464236657</c:v>
                </c:pt>
                <c:pt idx="11">
                  <c:v>398.29926784266809</c:v>
                </c:pt>
                <c:pt idx="12">
                  <c:v>467.10364672473219</c:v>
                </c:pt>
                <c:pt idx="13">
                  <c:v>541.2984584500897</c:v>
                </c:pt>
                <c:pt idx="14">
                  <c:v>620.85772876355554</c:v>
                </c:pt>
                <c:pt idx="15">
                  <c:v>705.75367455743094</c:v>
                </c:pt>
                <c:pt idx="16">
                  <c:v>795.95672791970264</c:v>
                </c:pt>
                <c:pt idx="17">
                  <c:v>891.43556162772381</c:v>
                </c:pt>
                <c:pt idx="18">
                  <c:v>992.15711604676108</c:v>
                </c:pt>
                <c:pt idx="19">
                  <c:v>1098.0866273907909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4A-49A2-A8D2-AB9BDD54D82D}"/>
            </c:ext>
          </c:extLst>
        </c:ser>
        <c:ser>
          <c:idx val="5"/>
          <c:order val="5"/>
          <c:tx>
            <c:strRef>
              <c:f>'V2'!$I$12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'V2'!$I$13:$I$32</c:f>
              <c:numCache>
                <c:formatCode>0</c:formatCode>
                <c:ptCount val="20"/>
                <c:pt idx="0">
                  <c:v>3.3332646942881659</c:v>
                </c:pt>
                <c:pt idx="1">
                  <c:v>13.332235176449453</c:v>
                </c:pt>
                <c:pt idx="2">
                  <c:v>29.99444115307092</c:v>
                </c:pt>
                <c:pt idx="3">
                  <c:v>53.315767163533565</c:v>
                </c:pt>
                <c:pt idx="4">
                  <c:v>83.290455120564786</c:v>
                </c:pt>
                <c:pt idx="5">
                  <c:v>119.91110786291304</c:v>
                </c:pt>
                <c:pt idx="6">
                  <c:v>163.16869371605492</c:v>
                </c:pt>
                <c:pt idx="7">
                  <c:v>213.05255205568946</c:v>
                </c:pt>
                <c:pt idx="8">
                  <c:v>269.55039986762853</c:v>
                </c:pt>
                <c:pt idx="9">
                  <c:v>332.64833929655845</c:v>
                </c:pt>
                <c:pt idx="10">
                  <c:v>402.33086617502732</c:v>
                </c:pt>
                <c:pt idx="11">
                  <c:v>478.58087952290845</c:v>
                </c:pt>
                <c:pt idx="12">
                  <c:v>561.37969200650446</c:v>
                </c:pt>
                <c:pt idx="13">
                  <c:v>650.70704134538857</c:v>
                </c:pt>
                <c:pt idx="14">
                  <c:v>746.54110265403642</c:v>
                </c:pt>
                <c:pt idx="15">
                  <c:v>848.85850170427886</c:v>
                </c:pt>
                <c:pt idx="16">
                  <c:v>957.63432909361097</c:v>
                </c:pt>
                <c:pt idx="17">
                  <c:v>1072.8421553034241</c:v>
                </c:pt>
                <c:pt idx="18">
                  <c:v>1194.4540466302835</c:v>
                </c:pt>
                <c:pt idx="19">
                  <c:v>1322.4405819724716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4A-49A2-A8D2-AB9BDD54D82D}"/>
            </c:ext>
          </c:extLst>
        </c:ser>
        <c:ser>
          <c:idx val="6"/>
          <c:order val="6"/>
          <c:tx>
            <c:strRef>
              <c:f>'V2'!$J$12</c:f>
              <c:strCache>
                <c:ptCount val="1"/>
                <c:pt idx="0">
                  <c:v>3500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'V2'!$J$13:$J$32</c:f>
              <c:numCache>
                <c:formatCode>0</c:formatCode>
                <c:ptCount val="20"/>
                <c:pt idx="0">
                  <c:v>3.8888300551001871</c:v>
                </c:pt>
                <c:pt idx="1">
                  <c:v>15.554614257658137</c:v>
                </c:pt>
                <c:pt idx="2">
                  <c:v>34.99523503981596</c:v>
                </c:pt>
                <c:pt idx="3">
                  <c:v>62.207164189438934</c:v>
                </c:pt>
                <c:pt idx="4">
                  <c:v>97.185464450608805</c:v>
                </c:pt>
                <c:pt idx="5">
                  <c:v>139.9237917624169</c:v>
                </c:pt>
                <c:pt idx="6">
                  <c:v>190.41439813416281</c:v>
                </c:pt>
                <c:pt idx="7">
                  <c:v>248.64813515452752</c:v>
                </c:pt>
                <c:pt idx="8">
                  <c:v>314.61445813175607</c:v>
                </c:pt>
                <c:pt idx="9">
                  <c:v>388.30143086135564</c:v>
                </c:pt>
                <c:pt idx="10">
                  <c:v>469.69573101729088</c:v>
                </c:pt>
                <c:pt idx="11">
                  <c:v>558.7826561621365</c:v>
                </c:pt>
                <c:pt idx="12">
                  <c:v>655.54613037113756</c:v>
                </c:pt>
                <c:pt idx="13">
                  <c:v>759.96871146461842</c:v>
                </c:pt>
                <c:pt idx="14">
                  <c:v>872.03159884268428</c:v>
                </c:pt>
                <c:pt idx="15">
                  <c:v>991.71464191566622</c:v>
                </c:pt>
                <c:pt idx="16">
                  <c:v>1118.9963491232838</c:v>
                </c:pt>
                <c:pt idx="17">
                  <c:v>1253.8538975350182</c:v>
                </c:pt>
                <c:pt idx="18">
                  <c:v>1396.2631430237352</c:v>
                </c:pt>
                <c:pt idx="19">
                  <c:v>1546.1986310041384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4A-49A2-A8D2-AB9BDD54D82D}"/>
            </c:ext>
          </c:extLst>
        </c:ser>
        <c:ser>
          <c:idx val="7"/>
          <c:order val="7"/>
          <c:tx>
            <c:strRef>
              <c:f>'V2'!$K$12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704127838532845"/>
                  <c:y val="-0.16684156503588685"/>
                </c:manualLayout>
              </c:layout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'V2'!$K$13:$K$32</c:f>
              <c:numCache>
                <c:formatCode>0</c:formatCode>
                <c:ptCount val="20"/>
                <c:pt idx="0">
                  <c:v>4.444392964696795</c:v>
                </c:pt>
                <c:pt idx="1">
                  <c:v>17.77695413043616</c:v>
                </c:pt>
                <c:pt idx="2">
                  <c:v>39.995830526798521</c:v>
                </c:pt>
                <c:pt idx="3">
                  <c:v>71.09793458505699</c:v>
                </c:pt>
                <c:pt idx="4">
                  <c:v>111.078945210649</c:v>
                </c:pt>
                <c:pt idx="5">
                  <c:v>159.93330928366285</c:v>
                </c:pt>
                <c:pt idx="6">
                  <c:v>217.65424358636719</c:v>
                </c:pt>
                <c:pt idx="7">
                  <c:v>284.23373715653463</c:v>
                </c:pt>
                <c:pt idx="8">
                  <c:v>359.66255406503643</c:v>
                </c:pt>
                <c:pt idx="9">
                  <c:v>443.93023661591195</c:v>
                </c:pt>
                <c:pt idx="10">
                  <c:v>537.02510896684555</c:v>
                </c:pt>
                <c:pt idx="11">
                  <c:v>638.93428116771213</c:v>
                </c:pt>
                <c:pt idx="12">
                  <c:v>749.64365361459068</c:v>
                </c:pt>
                <c:pt idx="13">
                  <c:v>869.13792191637606</c:v>
                </c:pt>
                <c:pt idx="14">
                  <c:v>997.40058217085971</c:v>
                </c:pt>
                <c:pt idx="15">
                  <c:v>1134.4139366468942</c:v>
                </c:pt>
                <c:pt idx="16">
                  <c:v>1280.1590998689999</c:v>
                </c:pt>
                <c:pt idx="17">
                  <c:v>1434.6160051005215</c:v>
                </c:pt>
                <c:pt idx="18">
                  <c:v>1597.7634112211961</c:v>
                </c:pt>
                <c:pt idx="19">
                  <c:v>1769.5789099947531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4A-49A2-A8D2-AB9BDD54D82D}"/>
            </c:ext>
          </c:extLst>
        </c:ser>
        <c:ser>
          <c:idx val="8"/>
          <c:order val="8"/>
          <c:tx>
            <c:strRef>
              <c:f>'V2'!$L$12</c:f>
              <c:strCache>
                <c:ptCount val="1"/>
                <c:pt idx="0">
                  <c:v>4500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055258997123538"/>
                  <c:y val="-0.19444505560556447"/>
                </c:manualLayout>
              </c:layout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'V2'!$L$13:$L$32</c:f>
              <c:numCache>
                <c:formatCode>0</c:formatCode>
                <c:ptCount val="20"/>
                <c:pt idx="0">
                  <c:v>4.9999542401130688</c:v>
                </c:pt>
                <c:pt idx="1">
                  <c:v>19.999267861910642</c:v>
                </c:pt>
                <c:pt idx="2">
                  <c:v>44.996293720516903</c:v>
                </c:pt>
                <c:pt idx="3">
                  <c:v>79.988287076891851</c:v>
                </c:pt>
                <c:pt idx="4">
                  <c:v>124.97140635119057</c:v>
                </c:pt>
                <c:pt idx="5">
                  <c:v>179.94071417692575</c:v>
                </c:pt>
                <c:pt idx="6">
                  <c:v>244.89017875539372</c:v>
                </c:pt>
                <c:pt idx="7">
                  <c:v>319.81267550967044</c:v>
                </c:pt>
                <c:pt idx="8">
                  <c:v>404.69998903733148</c:v>
                </c:pt>
                <c:pt idx="9">
                  <c:v>499.54281536089763</c:v>
                </c:pt>
                <c:pt idx="10">
                  <c:v>604.33076447485507</c:v>
                </c:pt>
                <c:pt idx="11">
                  <c:v>719.05236318795198</c:v>
                </c:pt>
                <c:pt idx="12">
                  <c:v>843.69505825931958</c:v>
                </c:pt>
                <c:pt idx="13">
                  <c:v>978.24521982682131</c:v>
                </c:pt>
                <c:pt idx="14">
                  <c:v>1122.6881451258848</c:v>
                </c:pt>
                <c:pt idx="15">
                  <c:v>1277.0080624969253</c:v>
                </c:pt>
                <c:pt idx="16">
                  <c:v>1441.1881356793288</c:v>
                </c:pt>
                <c:pt idx="17">
                  <c:v>1615.210468389816</c:v>
                </c:pt>
                <c:pt idx="18">
                  <c:v>1799.0561091828715</c:v>
                </c:pt>
                <c:pt idx="19">
                  <c:v>1992.7050565907805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4A-49A2-A8D2-AB9BDD54D82D}"/>
            </c:ext>
          </c:extLst>
        </c:ser>
        <c:ser>
          <c:idx val="9"/>
          <c:order val="9"/>
          <c:tx>
            <c:strRef>
              <c:f>'V2'!$M$12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'V2'!$M$13:$M$32</c:f>
              <c:numCache>
                <c:formatCode>0</c:formatCode>
                <c:ptCount val="20"/>
                <c:pt idx="0">
                  <c:v>5.555514371585704</c:v>
                </c:pt>
                <c:pt idx="1">
                  <c:v>22.221563293358745</c:v>
                </c:pt>
                <c:pt idx="2">
                  <c:v>49.996664296265664</c:v>
                </c:pt>
                <c:pt idx="3">
                  <c:v>88.878346964834279</c:v>
                </c:pt>
                <c:pt idx="4">
                  <c:v>138.86315348643944</c:v>
                </c:pt>
                <c:pt idx="5">
                  <c:v>199.94663941995583</c:v>
                </c:pt>
                <c:pt idx="6">
                  <c:v>272.12337468347926</c:v>
                </c:pt>
                <c:pt idx="7">
                  <c:v>355.38694476070606</c:v>
                </c:pt>
                <c:pt idx="8">
                  <c:v>449.72995212547164</c:v>
                </c:pt>
                <c:pt idx="9">
                  <c:v>555.14401788385669</c:v>
                </c:pt>
                <c:pt idx="10">
                  <c:v>671.61978363318178</c:v>
                </c:pt>
                <c:pt idx="11">
                  <c:v>799.14691353712089</c:v>
                </c:pt>
                <c:pt idx="12">
                  <c:v>937.71409661607538</c:v>
                </c:pt>
                <c:pt idx="13">
                  <c:v>1087.3090492518631</c:v>
                </c:pt>
                <c:pt idx="14">
                  <c:v>1247.9185179056876</c:v>
                </c:pt>
                <c:pt idx="15">
                  <c:v>1419.5282820482666</c:v>
                </c:pt>
                <c:pt idx="16">
                  <c:v>1602.1231573009143</c:v>
                </c:pt>
                <c:pt idx="17">
                  <c:v>1795.6869987862831</c:v>
                </c:pt>
                <c:pt idx="18">
                  <c:v>2000.2027046873902</c:v>
                </c:pt>
                <c:pt idx="19">
                  <c:v>2215.6522200134655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4A-49A2-A8D2-AB9BDD54D82D}"/>
            </c:ext>
          </c:extLst>
        </c:ser>
        <c:ser>
          <c:idx val="10"/>
          <c:order val="10"/>
          <c:tx>
            <c:strRef>
              <c:f>'V2'!$N$12</c:f>
              <c:strCache>
                <c:ptCount val="1"/>
                <c:pt idx="0">
                  <c:v>5500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'V2'!$N$13:$N$32</c:f>
              <c:numCache>
                <c:formatCode>0</c:formatCode>
                <c:ptCount val="20"/>
                <c:pt idx="0">
                  <c:v>6.1110736710903497</c:v>
                </c:pt>
                <c:pt idx="1">
                  <c:v>24.443845415122208</c:v>
                </c:pt>
                <c:pt idx="2">
                  <c:v>54.996967506948053</c:v>
                </c:pt>
                <c:pt idx="3">
                  <c:v>97.768194013193849</c:v>
                </c:pt>
                <c:pt idx="4">
                  <c:v>152.75438120496773</c:v>
                </c:pt>
                <c:pt idx="5">
                  <c:v>219.95148813545384</c:v>
                </c:pt>
                <c:pt idx="6">
                  <c:v>299.3545773821935</c:v>
                </c:pt>
                <c:pt idx="7">
                  <c:v>390.9578159537989</c:v>
                </c:pt>
                <c:pt idx="8">
                  <c:v>494.75447636078923</c:v>
                </c:pt>
                <c:pt idx="9">
                  <c:v>610.73693785018133</c:v>
                </c:pt>
                <c:pt idx="10">
                  <c:v>738.89668780341333</c:v>
                </c:pt>
                <c:pt idx="11">
                  <c:v>879.2243232971224</c:v>
                </c:pt>
                <c:pt idx="12">
                  <c:v>1031.7095528262425</c:v>
                </c:pt>
                <c:pt idx="13">
                  <c:v>1196.3411981888337</c:v>
                </c:pt>
                <c:pt idx="14">
                  <c:v>1373.1071965320002</c:v>
                </c:pt>
                <c:pt idx="15">
                  <c:v>1561.9946025581953</c:v>
                </c:pt>
                <c:pt idx="16">
                  <c:v>1762.9895908911694</c:v>
                </c:pt>
                <c:pt idx="17">
                  <c:v>1976.0774586007437</c:v>
                </c:pt>
                <c:pt idx="18">
                  <c:v>2201.242627885561</c:v>
                </c:pt>
                <c:pt idx="19">
                  <c:v>2438.4686489128972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54A-49A2-A8D2-AB9BDD54D82D}"/>
            </c:ext>
          </c:extLst>
        </c:ser>
        <c:ser>
          <c:idx val="11"/>
          <c:order val="11"/>
          <c:tx>
            <c:strRef>
              <c:f>'V2'!$O$12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'V2'!$C$13:$C$32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'V2'!$O$13:$O$32</c:f>
              <c:numCache>
                <c:formatCode>0</c:formatCode>
                <c:ptCount val="20"/>
                <c:pt idx="0">
                  <c:v>6.6666323466140511</c:v>
                </c:pt>
                <c:pt idx="1">
                  <c:v>26.666117554305327</c:v>
                </c:pt>
                <c:pt idx="2">
                  <c:v>59.997220190222031</c:v>
                </c:pt>
                <c:pt idx="3">
                  <c:v>106.65788141159562</c:v>
                </c:pt>
                <c:pt idx="4">
                  <c:v>166.64521928365332</c:v>
                </c:pt>
                <c:pt idx="5">
                  <c:v>239.95552922456736</c:v>
                </c:pt>
                <c:pt idx="6">
                  <c:v>326.5842845773127</c:v>
                </c:pt>
                <c:pt idx="7">
                  <c:v>426.52613730826852</c:v>
                </c:pt>
                <c:pt idx="8">
                  <c:v>539.77491883236212</c:v>
                </c:pt>
                <c:pt idx="9">
                  <c:v>666.32364096451829</c:v>
                </c:pt>
                <c:pt idx="10">
                  <c:v>806.16449699713883</c:v>
                </c:pt>
                <c:pt idx="11">
                  <c:v>959.28886290330433</c:v>
                </c:pt>
                <c:pt idx="12">
                  <c:v>1125.6872986653507</c:v>
                </c:pt>
                <c:pt idx="13">
                  <c:v>1305.3495497284393</c:v>
                </c:pt>
                <c:pt idx="14">
                  <c:v>1498.2645485787032</c:v>
                </c:pt>
                <c:pt idx="15">
                  <c:v>1704.4204164455157</c:v>
                </c:pt>
                <c:pt idx="16">
                  <c:v>1923.8044651273967</c:v>
                </c:pt>
                <c:pt idx="17">
                  <c:v>2156.4031989410282</c:v>
                </c:pt>
                <c:pt idx="18">
                  <c:v>2402.2023167928251</c:v>
                </c:pt>
                <c:pt idx="19">
                  <c:v>2661.1867143724676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54A-49A2-A8D2-AB9BDD54D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444687"/>
        <c:axId val="1089442287"/>
      </c:scatterChart>
      <c:valAx>
        <c:axId val="108944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089442287"/>
        <c:crosses val="autoZero"/>
        <c:crossBetween val="midCat"/>
      </c:valAx>
      <c:valAx>
        <c:axId val="108944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089444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'V2'!$C$279</c:f>
              <c:strCache>
                <c:ptCount val="1"/>
                <c:pt idx="0">
                  <c:v>cte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'V2'!$D$12:$O$12</c:f>
              <c:numCache>
                <c:formatCode>General</c:formatCode>
                <c:ptCount val="12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</c:numCache>
            </c:numRef>
          </c:xVal>
          <c:yVal>
            <c:numRef>
              <c:f>'V2'!$D$279:$O$279</c:f>
              <c:numCache>
                <c:formatCode>0.00</c:formatCode>
                <c:ptCount val="12"/>
                <c:pt idx="0">
                  <c:v>0.60570958698999999</c:v>
                </c:pt>
                <c:pt idx="1">
                  <c:v>1.1377999999999999</c:v>
                </c:pt>
                <c:pt idx="2">
                  <c:v>1.6847000000000001</c:v>
                </c:pt>
                <c:pt idx="3">
                  <c:v>2.2357999999999998</c:v>
                </c:pt>
                <c:pt idx="4">
                  <c:v>2.7886000000000002</c:v>
                </c:pt>
                <c:pt idx="5">
                  <c:v>3.3424</c:v>
                </c:pt>
                <c:pt idx="6">
                  <c:v>3.8967000000000001</c:v>
                </c:pt>
                <c:pt idx="7">
                  <c:v>4.4512483040999999</c:v>
                </c:pt>
                <c:pt idx="8">
                  <c:v>5.0060496495000004</c:v>
                </c:pt>
                <c:pt idx="9">
                  <c:v>5.5610013831999998</c:v>
                </c:pt>
                <c:pt idx="10">
                  <c:v>6.1160626327000003</c:v>
                </c:pt>
                <c:pt idx="11">
                  <c:v>6.6712060979999999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B-48A6-B669-08DE7EA70847}"/>
            </c:ext>
          </c:extLst>
        </c:ser>
        <c:ser>
          <c:idx val="1"/>
          <c:order val="1"/>
          <c:tx>
            <c:strRef>
              <c:f>'V2'!$C$280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'V2'!$D$12:$O$12</c:f>
              <c:numCache>
                <c:formatCode>General</c:formatCode>
                <c:ptCount val="12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</c:numCache>
            </c:numRef>
          </c:xVal>
          <c:yVal>
            <c:numRef>
              <c:f>'V2'!$D$280:$O$280</c:f>
              <c:numCache>
                <c:formatCode>0.00</c:formatCode>
                <c:ptCount val="12"/>
                <c:pt idx="0">
                  <c:v>1.9130139778999999</c:v>
                </c:pt>
                <c:pt idx="1">
                  <c:v>1.9764999999999999</c:v>
                </c:pt>
                <c:pt idx="2">
                  <c:v>1.9894000000000001</c:v>
                </c:pt>
                <c:pt idx="3">
                  <c:v>1.994</c:v>
                </c:pt>
                <c:pt idx="4">
                  <c:v>1.9962</c:v>
                </c:pt>
                <c:pt idx="5">
                  <c:v>1.9973000000000001</c:v>
                </c:pt>
                <c:pt idx="6">
                  <c:v>1.998</c:v>
                </c:pt>
                <c:pt idx="7">
                  <c:v>1.998493254</c:v>
                </c:pt>
                <c:pt idx="8">
                  <c:v>1.9988090365</c:v>
                </c:pt>
                <c:pt idx="9">
                  <c:v>1.9990350595999999</c:v>
                </c:pt>
                <c:pt idx="10">
                  <c:v>1.9992023696000001</c:v>
                </c:pt>
                <c:pt idx="11">
                  <c:v>1.9993296672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0B-48A6-B669-08DE7EA70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365455"/>
        <c:axId val="1089365935"/>
      </c:scatterChart>
      <c:valAx>
        <c:axId val="10893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089365935"/>
        <c:crosses val="autoZero"/>
        <c:crossBetween val="midCat"/>
      </c:valAx>
      <c:valAx>
        <c:axId val="10893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0893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Mbps / Total Satcount</a:t>
            </a:r>
          </a:p>
          <a:p>
            <a:pPr>
              <a:defRPr/>
            </a:pPr>
            <a:r>
              <a:rPr lang="en-US"/>
              <a:t>Optimal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'V2'!$AH$12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'V2'!$AH$13:$AH$278</c:f>
              <c:numCache>
                <c:formatCode>0.000</c:formatCode>
                <c:ptCount val="266"/>
                <c:pt idx="0">
                  <c:v>1.1102880357677133E-3</c:v>
                </c:pt>
                <c:pt idx="1">
                  <c:v>2.2156522200134652E-3</c:v>
                </c:pt>
                <c:pt idx="2">
                  <c:v>3.3112412200722958E-3</c:v>
                </c:pt>
                <c:pt idx="3">
                  <c:v>4.3923465095631643E-3</c:v>
                </c:pt>
                <c:pt idx="4">
                  <c:v>5.45446830989071E-3</c:v>
                </c:pt>
                <c:pt idx="5">
                  <c:v>6.4933752959093084E-3</c:v>
                </c:pt>
                <c:pt idx="6">
                  <c:v>7.5051564905279549E-3</c:v>
                </c:pt>
                <c:pt idx="7">
                  <c:v>8.4862641539633198E-3</c:v>
                </c:pt>
                <c:pt idx="8">
                  <c:v>9.4335468928334141E-3</c:v>
                </c:pt>
                <c:pt idx="9">
                  <c:v>1.0344272643609147E-2</c:v>
                </c:pt>
                <c:pt idx="10">
                  <c:v>1.1216141597016139E-2</c:v>
                </c:pt>
                <c:pt idx="11">
                  <c:v>1.2047289501580769E-2</c:v>
                </c:pt>
                <c:pt idx="12">
                  <c:v>1.2836282097876432E-2</c:v>
                </c:pt>
                <c:pt idx="13">
                  <c:v>1.3582101678678984E-2</c:v>
                </c:pt>
                <c:pt idx="14">
                  <c:v>1.4284126939109793E-2</c:v>
                </c:pt>
                <c:pt idx="15">
                  <c:v>1.4942107375712388E-2</c:v>
                </c:pt>
                <c:pt idx="16">
                  <c:v>1.555613351990456E-2</c:v>
                </c:pt>
                <c:pt idx="17">
                  <c:v>1.6126604258572534E-2</c:v>
                </c:pt>
                <c:pt idx="18">
                  <c:v>1.6654192414136487E-2</c:v>
                </c:pt>
                <c:pt idx="19">
                  <c:v>1.7139809640549099E-2</c:v>
                </c:pt>
                <c:pt idx="20">
                  <c:v>1.7584571552551002E-2</c:v>
                </c:pt>
                <c:pt idx="21">
                  <c:v>1.7989763854247248E-2</c:v>
                </c:pt>
                <c:pt idx="22">
                  <c:v>1.8356810079260013E-2</c:v>
                </c:pt>
                <c:pt idx="23">
                  <c:v>1.868724140604933E-2</c:v>
                </c:pt>
                <c:pt idx="24">
                  <c:v>1.8982668874210774E-2</c:v>
                </c:pt>
                <c:pt idx="25">
                  <c:v>1.9244758204524436E-2</c:v>
                </c:pt>
                <c:pt idx="26">
                  <c:v>1.9475207319448302E-2</c:v>
                </c:pt>
                <c:pt idx="27">
                  <c:v>1.967572657244206E-2</c:v>
                </c:pt>
                <c:pt idx="28">
                  <c:v>1.9848021623707114E-2</c:v>
                </c:pt>
                <c:pt idx="29">
                  <c:v>1.9993778845576557E-2</c:v>
                </c:pt>
                <c:pt idx="30">
                  <c:v>2.0114653101299968E-2</c:v>
                </c:pt>
                <c:pt idx="31">
                  <c:v>2.0212257714457622E-2</c:v>
                </c:pt>
                <c:pt idx="32">
                  <c:v>2.0288156430704096E-2</c:v>
                </c:pt>
                <c:pt idx="33">
                  <c:v>2.0343857166999893E-2</c:v>
                </c:pt>
                <c:pt idx="34">
                  <c:v>2.0380807344073014E-2</c:v>
                </c:pt>
                <c:pt idx="35">
                  <c:v>2.0400390603871284E-2</c:v>
                </c:pt>
                <c:pt idx="36">
                  <c:v>2.0403924723740904E-2</c:v>
                </c:pt>
                <c:pt idx="37">
                  <c:v>2.0392660551741222E-2</c:v>
                </c:pt>
                <c:pt idx="38">
                  <c:v>2.0367781801842781E-2</c:v>
                </c:pt>
                <c:pt idx="39">
                  <c:v>2.0330405562923228E-2</c:v>
                </c:pt>
                <c:pt idx="40">
                  <c:v>2.0281583390825801E-2</c:v>
                </c:pt>
                <c:pt idx="41">
                  <c:v>2.0222302867790289E-2</c:v>
                </c:pt>
                <c:pt idx="42">
                  <c:v>2.0153489527956332E-2</c:v>
                </c:pt>
                <c:pt idx="43">
                  <c:v>2.0076009061134357E-2</c:v>
                </c:pt>
                <c:pt idx="44">
                  <c:v>1.9990669719492735E-2</c:v>
                </c:pt>
                <c:pt idx="45">
                  <c:v>1.9898224863144034E-2</c:v>
                </c:pt>
                <c:pt idx="46">
                  <c:v>1.9799375590806224E-2</c:v>
                </c:pt>
                <c:pt idx="47">
                  <c:v>1.969477341078316E-2</c:v>
                </c:pt>
                <c:pt idx="48">
                  <c:v>1.95850229155002E-2</c:v>
                </c:pt>
                <c:pt idx="49">
                  <c:v>1.9470684429808816E-2</c:v>
                </c:pt>
                <c:pt idx="50">
                  <c:v>1.9352276609316803E-2</c:v>
                </c:pt>
                <c:pt idx="51">
                  <c:v>1.9230278970190508E-2</c:v>
                </c:pt>
                <c:pt idx="52">
                  <c:v>1.9105134336296535E-2</c:v>
                </c:pt>
                <c:pt idx="53">
                  <c:v>1.8977251193286897E-2</c:v>
                </c:pt>
                <c:pt idx="54">
                  <c:v>1.8847005942362372E-2</c:v>
                </c:pt>
                <c:pt idx="55">
                  <c:v>1.8714745049049127E-2</c:v>
                </c:pt>
                <c:pt idx="56">
                  <c:v>1.858078708446298E-2</c:v>
                </c:pt>
                <c:pt idx="57">
                  <c:v>1.84454246582758E-2</c:v>
                </c:pt>
                <c:pt idx="58">
                  <c:v>1.8308926243997596E-2</c:v>
                </c:pt>
                <c:pt idx="59">
                  <c:v>1.8171537898295093E-2</c:v>
                </c:pt>
                <c:pt idx="60">
                  <c:v>1.8033484876928574E-2</c:v>
                </c:pt>
                <c:pt idx="61">
                  <c:v>1.7894973150542136E-2</c:v>
                </c:pt>
                <c:pt idx="62">
                  <c:v>1.7756190824022942E-2</c:v>
                </c:pt>
                <c:pt idx="63">
                  <c:v>1.7617309463481598E-2</c:v>
                </c:pt>
                <c:pt idx="64">
                  <c:v>1.7478485335124486E-2</c:v>
                </c:pt>
                <c:pt idx="65">
                  <c:v>1.7339860560410977E-2</c:v>
                </c:pt>
                <c:pt idx="66">
                  <c:v>1.7201564191933146E-2</c:v>
                </c:pt>
                <c:pt idx="67">
                  <c:v>1.7063713214437976E-2</c:v>
                </c:pt>
                <c:pt idx="68">
                  <c:v>1.6926413475345837E-2</c:v>
                </c:pt>
                <c:pt idx="69">
                  <c:v>1.6789760549015119E-2</c:v>
                </c:pt>
                <c:pt idx="70">
                  <c:v>1.6653840538870552E-2</c:v>
                </c:pt>
                <c:pt idx="71">
                  <c:v>1.6518730821359569E-2</c:v>
                </c:pt>
                <c:pt idx="72">
                  <c:v>1.6384500735533648E-2</c:v>
                </c:pt>
                <c:pt idx="73">
                  <c:v>1.6251212221874475E-2</c:v>
                </c:pt>
                <c:pt idx="74">
                  <c:v>1.6118920413802779E-2</c:v>
                </c:pt>
                <c:pt idx="75">
                  <c:v>1.5987674185123726E-2</c:v>
                </c:pt>
                <c:pt idx="76">
                  <c:v>1.5857516656479564E-2</c:v>
                </c:pt>
                <c:pt idx="77">
                  <c:v>1.5728485663700022E-2</c:v>
                </c:pt>
                <c:pt idx="78">
                  <c:v>1.5600614190764899E-2</c:v>
                </c:pt>
                <c:pt idx="79">
                  <c:v>1.5473930769923313E-2</c:v>
                </c:pt>
                <c:pt idx="80">
                  <c:v>1.5348459851350055E-2</c:v>
                </c:pt>
                <c:pt idx="81">
                  <c:v>1.5224222144562947E-2</c:v>
                </c:pt>
                <c:pt idx="82">
                  <c:v>1.510123493367585E-2</c:v>
                </c:pt>
                <c:pt idx="83">
                  <c:v>1.4979512368420215E-2</c:v>
                </c:pt>
                <c:pt idx="84">
                  <c:v>1.4859065732734308E-2</c:v>
                </c:pt>
                <c:pt idx="85">
                  <c:v>1.4739903692592954E-2</c:v>
                </c:pt>
                <c:pt idx="86">
                  <c:v>1.4622032524631737E-2</c:v>
                </c:pt>
                <c:pt idx="87">
                  <c:v>1.4505456327008403E-2</c:v>
                </c:pt>
                <c:pt idx="88">
                  <c:v>1.4390177213839745E-2</c:v>
                </c:pt>
                <c:pt idx="89">
                  <c:v>1.4276195494454672E-2</c:v>
                </c:pt>
                <c:pt idx="90">
                  <c:v>1.4163509838613185E-2</c:v>
                </c:pt>
                <c:pt idx="91">
                  <c:v>1.4052117428756125E-2</c:v>
                </c:pt>
                <c:pt idx="92">
                  <c:v>1.3942014100271396E-2</c:v>
                </c:pt>
                <c:pt idx="93">
                  <c:v>1.3833194470689061E-2</c:v>
                </c:pt>
                <c:pt idx="94">
                  <c:v>1.3725652058649332E-2</c:v>
                </c:pt>
                <c:pt idx="95">
                  <c:v>1.3619379393424056E-2</c:v>
                </c:pt>
                <c:pt idx="96">
                  <c:v>1.3514368115713573E-2</c:v>
                </c:pt>
                <c:pt idx="97">
                  <c:v>1.3410609070386279E-2</c:v>
                </c:pt>
                <c:pt idx="98">
                  <c:v>1.330809239177771E-2</c:v>
                </c:pt>
                <c:pt idx="99">
                  <c:v>1.3206807582119163E-2</c:v>
                </c:pt>
                <c:pt idx="100">
                  <c:v>1.3106743583622694E-2</c:v>
                </c:pt>
                <c:pt idx="101">
                  <c:v>1.3007888844709171E-2</c:v>
                </c:pt>
                <c:pt idx="102">
                  <c:v>1.2910231380829031E-2</c:v>
                </c:pt>
                <c:pt idx="103">
                  <c:v>1.2813758830291174E-2</c:v>
                </c:pt>
                <c:pt idx="104">
                  <c:v>1.2718458505483829E-2</c:v>
                </c:pt>
                <c:pt idx="105">
                  <c:v>1.2624317439841728E-2</c:v>
                </c:pt>
                <c:pt idx="106">
                  <c:v>1.2531322430887219E-2</c:v>
                </c:pt>
                <c:pt idx="107">
                  <c:v>1.2439460079647684E-2</c:v>
                </c:pt>
                <c:pt idx="108">
                  <c:v>1.2348716826728751E-2</c:v>
                </c:pt>
                <c:pt idx="109">
                  <c:v>1.2259078985301333E-2</c:v>
                </c:pt>
                <c:pt idx="110">
                  <c:v>1.2170532771240968E-2</c:v>
                </c:pt>
                <c:pt idx="111">
                  <c:v>1.2083064330639695E-2</c:v>
                </c:pt>
                <c:pt idx="112">
                  <c:v>1.1996659764893872E-2</c:v>
                </c:pt>
                <c:pt idx="113">
                  <c:v>1.1911305153555981E-2</c:v>
                </c:pt>
                <c:pt idx="114">
                  <c:v>1.1826986575123995E-2</c:v>
                </c:pt>
                <c:pt idx="115">
                  <c:v>1.1743690125928774E-2</c:v>
                </c:pt>
                <c:pt idx="116">
                  <c:v>1.1661401937267696E-2</c:v>
                </c:pt>
                <c:pt idx="117">
                  <c:v>1.158010819092148E-2</c:v>
                </c:pt>
                <c:pt idx="118">
                  <c:v>1.1499795133180757E-2</c:v>
                </c:pt>
                <c:pt idx="119">
                  <c:v>1.1420449087499278E-2</c:v>
                </c:pt>
                <c:pt idx="120">
                  <c:v>1.1342056465881887E-2</c:v>
                </c:pt>
                <c:pt idx="121">
                  <c:v>1.126460377910699E-2</c:v>
                </c:pt>
                <c:pt idx="122">
                  <c:v>1.1188077645875911E-2</c:v>
                </c:pt>
                <c:pt idx="123">
                  <c:v>1.1112464800974317E-2</c:v>
                </c:pt>
                <c:pt idx="124">
                  <c:v>1.1037752102524574E-2</c:v>
                </c:pt>
                <c:pt idx="125">
                  <c:v>1.0963926538401812E-2</c:v>
                </c:pt>
                <c:pt idx="126">
                  <c:v>1.0890975231881086E-2</c:v>
                </c:pt>
                <c:pt idx="127">
                  <c:v>1.081888544657774E-2</c:v>
                </c:pt>
                <c:pt idx="128">
                  <c:v>1.074764459073854E-2</c:v>
                </c:pt>
                <c:pt idx="129">
                  <c:v>1.0677240220936692E-2</c:v>
                </c:pt>
                <c:pt idx="130">
                  <c:v>1.0607660045219812E-2</c:v>
                </c:pt>
                <c:pt idx="131">
                  <c:v>1.0538891925756279E-2</c:v>
                </c:pt>
                <c:pt idx="132">
                  <c:v>1.0470923881021872E-2</c:v>
                </c:pt>
                <c:pt idx="133">
                  <c:v>1.0403744087565435E-2</c:v>
                </c:pt>
                <c:pt idx="134">
                  <c:v>1.033734088138941E-2</c:v>
                </c:pt>
                <c:pt idx="135">
                  <c:v>1.0271702758978261E-2</c:v>
                </c:pt>
                <c:pt idx="136">
                  <c:v>1.0206818378005422E-2</c:v>
                </c:pt>
                <c:pt idx="137">
                  <c:v>1.014267655774694E-2</c:v>
                </c:pt>
                <c:pt idx="138">
                  <c:v>1.0079266279227898E-2</c:v>
                </c:pt>
                <c:pt idx="139">
                  <c:v>1.0016576685125754E-2</c:v>
                </c:pt>
                <c:pt idx="140">
                  <c:v>9.9545970794527611E-3</c:v>
                </c:pt>
                <c:pt idx="141">
                  <c:v>9.8933169270380237E-3</c:v>
                </c:pt>
                <c:pt idx="142">
                  <c:v>9.8327258528281593E-3</c:v>
                </c:pt>
                <c:pt idx="143">
                  <c:v>9.7728136410240394E-3</c:v>
                </c:pt>
                <c:pt idx="144">
                  <c:v>9.7135702340697145E-3</c:v>
                </c:pt>
                <c:pt idx="145">
                  <c:v>9.6549857315084767E-3</c:v>
                </c:pt>
                <c:pt idx="146">
                  <c:v>9.5970503887196877E-3</c:v>
                </c:pt>
                <c:pt idx="147">
                  <c:v>9.5397546155491196E-3</c:v>
                </c:pt>
                <c:pt idx="148">
                  <c:v>9.4830889748443916E-3</c:v>
                </c:pt>
                <c:pt idx="149">
                  <c:v>9.4270441809062681E-3</c:v>
                </c:pt>
                <c:pt idx="150">
                  <c:v>9.3716110978657383E-3</c:v>
                </c:pt>
                <c:pt idx="151">
                  <c:v>9.3167807379959111E-3</c:v>
                </c:pt>
                <c:pt idx="152">
                  <c:v>9.262544259967153E-3</c:v>
                </c:pt>
                <c:pt idx="153">
                  <c:v>9.2088929670531353E-3</c:v>
                </c:pt>
                <c:pt idx="154">
                  <c:v>9.1558183052948775E-3</c:v>
                </c:pt>
                <c:pt idx="155">
                  <c:v>9.1033118616292777E-3</c:v>
                </c:pt>
                <c:pt idx="156">
                  <c:v>9.0513653619880702E-3</c:v>
                </c:pt>
                <c:pt idx="157">
                  <c:v>8.9999706693727234E-3</c:v>
                </c:pt>
                <c:pt idx="158">
                  <c:v>8.949119781910219E-3</c:v>
                </c:pt>
                <c:pt idx="159">
                  <c:v>8.8988048308943409E-3</c:v>
                </c:pt>
                <c:pt idx="160">
                  <c:v>8.8490180788166565E-3</c:v>
                </c:pt>
                <c:pt idx="161">
                  <c:v>8.799751917390998E-3</c:v>
                </c:pt>
                <c:pt idx="162">
                  <c:v>8.7509988655749375E-3</c:v>
                </c:pt>
                <c:pt idx="163">
                  <c:v>8.7027515675914789E-3</c:v>
                </c:pt>
                <c:pt idx="164">
                  <c:v>8.6550027909537957E-3</c:v>
                </c:pt>
                <c:pt idx="165">
                  <c:v>8.6077454244956747E-3</c:v>
                </c:pt>
                <c:pt idx="166">
                  <c:v>8.5609724764100729E-3</c:v>
                </c:pt>
                <c:pt idx="167">
                  <c:v>8.5146770722978847E-3</c:v>
                </c:pt>
                <c:pt idx="168">
                  <c:v>8.4688524532289151E-3</c:v>
                </c:pt>
                <c:pt idx="169">
                  <c:v>8.4234919738168015E-3</c:v>
                </c:pt>
                <c:pt idx="170">
                  <c:v>8.3785891003094418E-3</c:v>
                </c:pt>
                <c:pt idx="171">
                  <c:v>8.334137408696346E-3</c:v>
                </c:pt>
                <c:pt idx="172">
                  <c:v>8.2901305828341869E-3</c:v>
                </c:pt>
                <c:pt idx="173">
                  <c:v>8.2465624125916299E-3</c:v>
                </c:pt>
                <c:pt idx="174">
                  <c:v>8.2034267920144694E-3</c:v>
                </c:pt>
                <c:pt idx="175">
                  <c:v>8.1607177175119141E-3</c:v>
                </c:pt>
                <c:pt idx="176">
                  <c:v>8.1184292860647812E-3</c:v>
                </c:pt>
                <c:pt idx="177">
                  <c:v>8.0765556934562829E-3</c:v>
                </c:pt>
                <c:pt idx="178">
                  <c:v>8.0350912325259163E-3</c:v>
                </c:pt>
                <c:pt idx="179">
                  <c:v>7.9940302914470098E-3</c:v>
                </c:pt>
                <c:pt idx="180">
                  <c:v>7.953367352028241E-3</c:v>
                </c:pt>
                <c:pt idx="181">
                  <c:v>7.9130969880395492E-3</c:v>
                </c:pt>
                <c:pt idx="182">
                  <c:v>7.8732138635626038E-3</c:v>
                </c:pt>
                <c:pt idx="183">
                  <c:v>7.8337127313661218E-3</c:v>
                </c:pt>
                <c:pt idx="184">
                  <c:v>7.7945884313061226E-3</c:v>
                </c:pt>
                <c:pt idx="185">
                  <c:v>7.7558358887512176E-3</c:v>
                </c:pt>
                <c:pt idx="186">
                  <c:v>7.7174501130330316E-3</c:v>
                </c:pt>
                <c:pt idx="187">
                  <c:v>7.6794261959217125E-3</c:v>
                </c:pt>
                <c:pt idx="188">
                  <c:v>7.6417593101265049E-3</c:v>
                </c:pt>
                <c:pt idx="189">
                  <c:v>7.6044447078213546E-3</c:v>
                </c:pt>
                <c:pt idx="190">
                  <c:v>7.5674777191954024E-3</c:v>
                </c:pt>
                <c:pt idx="191">
                  <c:v>7.5308537510282809E-3</c:v>
                </c:pt>
                <c:pt idx="192">
                  <c:v>7.4945682852900035E-3</c:v>
                </c:pt>
                <c:pt idx="193">
                  <c:v>7.4586168777653625E-3</c:v>
                </c:pt>
                <c:pt idx="194">
                  <c:v>7.4229951567025233E-3</c:v>
                </c:pt>
                <c:pt idx="195">
                  <c:v>7.3876988214857039E-3</c:v>
                </c:pt>
                <c:pt idx="196">
                  <c:v>7.3527236413316287E-3</c:v>
                </c:pt>
                <c:pt idx="197">
                  <c:v>7.3180654540095542E-3</c:v>
                </c:pt>
                <c:pt idx="198">
                  <c:v>7.2837201645845825E-3</c:v>
                </c:pt>
                <c:pt idx="199">
                  <c:v>7.2496837441840042E-3</c:v>
                </c:pt>
                <c:pt idx="200">
                  <c:v>7.2159522287863764E-3</c:v>
                </c:pt>
                <c:pt idx="201">
                  <c:v>7.1825217180330357E-3</c:v>
                </c:pt>
                <c:pt idx="202">
                  <c:v>7.1493883740617811E-3</c:v>
                </c:pt>
                <c:pt idx="203">
                  <c:v>7.1165484203623642E-3</c:v>
                </c:pt>
                <c:pt idx="204">
                  <c:v>7.0839981406535359E-3</c:v>
                </c:pt>
                <c:pt idx="205">
                  <c:v>7.0517338777812749E-3</c:v>
                </c:pt>
                <c:pt idx="206">
                  <c:v>7.0197520326379338E-3</c:v>
                </c:pt>
                <c:pt idx="207">
                  <c:v>6.9880490631019391E-3</c:v>
                </c:pt>
                <c:pt idx="208">
                  <c:v>6.9566214829977161E-3</c:v>
                </c:pt>
                <c:pt idx="209">
                  <c:v>6.9254658610755637E-3</c:v>
                </c:pt>
                <c:pt idx="210">
                  <c:v>6.8945788200110878E-3</c:v>
                </c:pt>
                <c:pt idx="211">
                  <c:v>6.8639570354239099E-3</c:v>
                </c:pt>
                <c:pt idx="212">
                  <c:v>6.8335972349153054E-3</c:v>
                </c:pt>
                <c:pt idx="213">
                  <c:v>6.8034961971244513E-3</c:v>
                </c:pt>
                <c:pt idx="214">
                  <c:v>6.7736507508029519E-3</c:v>
                </c:pt>
                <c:pt idx="215">
                  <c:v>6.7440577739073292E-3</c:v>
                </c:pt>
                <c:pt idx="216">
                  <c:v>6.7147141927091517E-3</c:v>
                </c:pt>
                <c:pt idx="217">
                  <c:v>6.6856169809224684E-3</c:v>
                </c:pt>
                <c:pt idx="218">
                  <c:v>6.6567631588482692E-3</c:v>
                </c:pt>
                <c:pt idx="219">
                  <c:v>6.6281497925356151E-3</c:v>
                </c:pt>
                <c:pt idx="220">
                  <c:v>6.5997739929591478E-3</c:v>
                </c:pt>
                <c:pt idx="221">
                  <c:v>6.5716329152126834E-3</c:v>
                </c:pt>
                <c:pt idx="222">
                  <c:v>6.5437237577185637E-3</c:v>
                </c:pt>
                <c:pt idx="223">
                  <c:v>6.5160437614524653E-3</c:v>
                </c:pt>
                <c:pt idx="224">
                  <c:v>6.4885902091834022E-3</c:v>
                </c:pt>
                <c:pt idx="225">
                  <c:v>6.4613604247285988E-3</c:v>
                </c:pt>
                <c:pt idx="226">
                  <c:v>6.4343517722229258E-3</c:v>
                </c:pt>
                <c:pt idx="227">
                  <c:v>6.4075616554026809E-3</c:v>
                </c:pt>
                <c:pt idx="228">
                  <c:v>6.3809875169033798E-3</c:v>
                </c:pt>
                <c:pt idx="229">
                  <c:v>6.3546268375712818E-3</c:v>
                </c:pt>
                <c:pt idx="230">
                  <c:v>6.3284771357884056E-3</c:v>
                </c:pt>
                <c:pt idx="231">
                  <c:v>6.3025359668107562E-3</c:v>
                </c:pt>
                <c:pt idx="232">
                  <c:v>6.2768009221194901E-3</c:v>
                </c:pt>
                <c:pt idx="233">
                  <c:v>6.251269628784771E-3</c:v>
                </c:pt>
                <c:pt idx="234">
                  <c:v>6.2259397488420619E-3</c:v>
                </c:pt>
                <c:pt idx="235">
                  <c:v>6.2008089786805866E-3</c:v>
                </c:pt>
                <c:pt idx="236">
                  <c:v>6.1758750484437481E-3</c:v>
                </c:pt>
                <c:pt idx="237">
                  <c:v>6.1511357214412248E-3</c:v>
                </c:pt>
                <c:pt idx="238">
                  <c:v>6.1265887935725207E-3</c:v>
                </c:pt>
                <c:pt idx="239">
                  <c:v>6.1022320927617696E-3</c:v>
                </c:pt>
                <c:pt idx="240">
                  <c:v>6.078063478403505E-3</c:v>
                </c:pt>
                <c:pt idx="241">
                  <c:v>6.0540808408192075E-3</c:v>
                </c:pt>
                <c:pt idx="242">
                  <c:v>6.0302821007244241E-3</c:v>
                </c:pt>
                <c:pt idx="243">
                  <c:v>6.0066652087062003E-3</c:v>
                </c:pt>
                <c:pt idx="244">
                  <c:v>5.9832281447106464E-3</c:v>
                </c:pt>
                <c:pt idx="245">
                  <c:v>5.9599689175404208E-3</c:v>
                </c:pt>
                <c:pt idx="246">
                  <c:v>5.9368855643619246E-3</c:v>
                </c:pt>
                <c:pt idx="247">
                  <c:v>5.9139761502220141E-3</c:v>
                </c:pt>
                <c:pt idx="248">
                  <c:v>5.8912387675740139E-3</c:v>
                </c:pt>
                <c:pt idx="249">
                  <c:v>5.8686715358128886E-3</c:v>
                </c:pt>
                <c:pt idx="250">
                  <c:v>5.8462726008193071E-3</c:v>
                </c:pt>
                <c:pt idx="251">
                  <c:v>5.8240401345125078E-3</c:v>
                </c:pt>
                <c:pt idx="252">
                  <c:v>5.8019723344116996E-3</c:v>
                </c:pt>
                <c:pt idx="253">
                  <c:v>5.7800674232058825E-3</c:v>
                </c:pt>
                <c:pt idx="254">
                  <c:v>5.758323648331877E-3</c:v>
                </c:pt>
                <c:pt idx="255">
                  <c:v>5.7367392815604107E-3</c:v>
                </c:pt>
                <c:pt idx="256">
                  <c:v>5.7153126185901029E-3</c:v>
                </c:pt>
                <c:pt idx="257">
                  <c:v>5.6940419786491552E-3</c:v>
                </c:pt>
                <c:pt idx="258">
                  <c:v>5.6729257041046224E-3</c:v>
                </c:pt>
                <c:pt idx="259">
                  <c:v>5.6519621600790828E-3</c:v>
                </c:pt>
                <c:pt idx="260">
                  <c:v>5.6311497340745765E-3</c:v>
                </c:pt>
                <c:pt idx="261">
                  <c:v>5.6104868356036345E-3</c:v>
                </c:pt>
                <c:pt idx="262">
                  <c:v>5.5899718958272839E-3</c:v>
                </c:pt>
                <c:pt idx="263">
                  <c:v>5.5696033671998602E-3</c:v>
                </c:pt>
                <c:pt idx="264">
                  <c:v>5.5493797231205046E-3</c:v>
                </c:pt>
                <c:pt idx="265">
                  <c:v>5.5292994575911894E-3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F-4886-A882-3ABE7D78F030}"/>
            </c:ext>
          </c:extLst>
        </c:ser>
        <c:ser>
          <c:idx val="1"/>
          <c:order val="1"/>
          <c:tx>
            <c:strRef>
              <c:f>'V2'!$AI$12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'V2'!$AI$13:$AI$278</c:f>
              <c:numCache>
                <c:formatCode>0.000</c:formatCode>
                <c:ptCount val="266"/>
                <c:pt idx="0">
                  <c:v>1.1109052278915155E-3</c:v>
                </c:pt>
                <c:pt idx="1">
                  <c:v>2.2205760715354266E-3</c:v>
                </c:pt>
                <c:pt idx="2">
                  <c:v>3.3277827144151673E-3</c:v>
                </c:pt>
                <c:pt idx="3">
                  <c:v>4.4313044400269303E-3</c:v>
                </c:pt>
                <c:pt idx="4">
                  <c:v>5.5299340937336036E-3</c:v>
                </c:pt>
                <c:pt idx="5">
                  <c:v>6.6224824401445916E-3</c:v>
                </c:pt>
                <c:pt idx="6">
                  <c:v>7.707782383349882E-3</c:v>
                </c:pt>
                <c:pt idx="7">
                  <c:v>8.7846930191263287E-3</c:v>
                </c:pt>
                <c:pt idx="8">
                  <c:v>9.8521034904033456E-3</c:v>
                </c:pt>
                <c:pt idx="9">
                  <c:v>1.090893661978142E-2</c:v>
                </c:pt>
                <c:pt idx="10">
                  <c:v>1.1954152295692005E-2</c:v>
                </c:pt>
                <c:pt idx="11">
                  <c:v>1.2986750591818617E-2</c:v>
                </c:pt>
                <c:pt idx="12">
                  <c:v>1.400577460261066E-2</c:v>
                </c:pt>
                <c:pt idx="13">
                  <c:v>1.501031298105591E-2</c:v>
                </c:pt>
                <c:pt idx="14">
                  <c:v>1.5999502168277165E-2</c:v>
                </c:pt>
                <c:pt idx="15">
                  <c:v>1.697252830792664E-2</c:v>
                </c:pt>
                <c:pt idx="16">
                  <c:v>1.7928628841713697E-2</c:v>
                </c:pt>
                <c:pt idx="17">
                  <c:v>1.8867093785666828E-2</c:v>
                </c:pt>
                <c:pt idx="18">
                  <c:v>1.9787266689853367E-2</c:v>
                </c:pt>
                <c:pt idx="19">
                  <c:v>2.0688545287218293E-2</c:v>
                </c:pt>
                <c:pt idx="20">
                  <c:v>2.1570381839922628E-2</c:v>
                </c:pt>
                <c:pt idx="21">
                  <c:v>2.2432283194032277E-2</c:v>
                </c:pt>
                <c:pt idx="22">
                  <c:v>2.3273810555608135E-2</c:v>
                </c:pt>
                <c:pt idx="23">
                  <c:v>2.4094579003161538E-2</c:v>
                </c:pt>
                <c:pt idx="24">
                  <c:v>2.4894256753055857E-2</c:v>
                </c:pt>
                <c:pt idx="25">
                  <c:v>2.5672564195752864E-2</c:v>
                </c:pt>
                <c:pt idx="26">
                  <c:v>2.6429272721821623E-2</c:v>
                </c:pt>
                <c:pt idx="27">
                  <c:v>2.7164203357357967E-2</c:v>
                </c:pt>
                <c:pt idx="28">
                  <c:v>2.7877225228913213E-2</c:v>
                </c:pt>
                <c:pt idx="29">
                  <c:v>2.8568253878219586E-2</c:v>
                </c:pt>
                <c:pt idx="30">
                  <c:v>2.923724944694411E-2</c:v>
                </c:pt>
                <c:pt idx="31">
                  <c:v>2.9884214751424776E-2</c:v>
                </c:pt>
                <c:pt idx="32">
                  <c:v>3.050919326686493E-2</c:v>
                </c:pt>
                <c:pt idx="33">
                  <c:v>3.111226703980912E-2</c:v>
                </c:pt>
                <c:pt idx="34">
                  <c:v>3.1693554546919751E-2</c:v>
                </c:pt>
                <c:pt idx="35">
                  <c:v>3.2253208517145068E-2</c:v>
                </c:pt>
                <c:pt idx="36">
                  <c:v>3.2791413733337486E-2</c:v>
                </c:pt>
                <c:pt idx="37">
                  <c:v>3.3308384828272974E-2</c:v>
                </c:pt>
                <c:pt idx="38">
                  <c:v>3.3804364088856467E-2</c:v>
                </c:pt>
                <c:pt idx="39">
                  <c:v>3.4279619281098198E-2</c:v>
                </c:pt>
                <c:pt idx="40">
                  <c:v>3.47344415072285E-2</c:v>
                </c:pt>
                <c:pt idx="41">
                  <c:v>3.5169143105102003E-2</c:v>
                </c:pt>
                <c:pt idx="42">
                  <c:v>3.558405559884089E-2</c:v>
                </c:pt>
                <c:pt idx="43">
                  <c:v>3.5979527708494496E-2</c:v>
                </c:pt>
                <c:pt idx="44">
                  <c:v>3.6355923425359316E-2</c:v>
                </c:pt>
                <c:pt idx="45">
                  <c:v>3.6713620158520026E-2</c:v>
                </c:pt>
                <c:pt idx="46">
                  <c:v>3.7053006957144259E-2</c:v>
                </c:pt>
                <c:pt idx="47">
                  <c:v>3.737448281209866E-2</c:v>
                </c:pt>
                <c:pt idx="48">
                  <c:v>3.7678455039554581E-2</c:v>
                </c:pt>
                <c:pt idx="49">
                  <c:v>3.7965337748421549E-2</c:v>
                </c:pt>
                <c:pt idx="50">
                  <c:v>3.8235550392686654E-2</c:v>
                </c:pt>
                <c:pt idx="51">
                  <c:v>3.8489516409048873E-2</c:v>
                </c:pt>
                <c:pt idx="52">
                  <c:v>3.8727661939617949E-2</c:v>
                </c:pt>
                <c:pt idx="53">
                  <c:v>3.8950414638896605E-2</c:v>
                </c:pt>
                <c:pt idx="54">
                  <c:v>3.9158202563779866E-2</c:v>
                </c:pt>
                <c:pt idx="55">
                  <c:v>3.935145314488412E-2</c:v>
                </c:pt>
                <c:pt idx="56">
                  <c:v>3.953059223715695E-2</c:v>
                </c:pt>
                <c:pt idx="57">
                  <c:v>3.9696043247414228E-2</c:v>
                </c:pt>
                <c:pt idx="58">
                  <c:v>3.9848226336198986E-2</c:v>
                </c:pt>
                <c:pt idx="59">
                  <c:v>3.9987557691153114E-2</c:v>
                </c:pt>
                <c:pt idx="60">
                  <c:v>4.0114448868935226E-2</c:v>
                </c:pt>
                <c:pt idx="61">
                  <c:v>4.0229306202599936E-2</c:v>
                </c:pt>
                <c:pt idx="62">
                  <c:v>4.03325302712738E-2</c:v>
                </c:pt>
                <c:pt idx="63">
                  <c:v>4.0424515428915245E-2</c:v>
                </c:pt>
                <c:pt idx="64">
                  <c:v>4.0505649388928457E-2</c:v>
                </c:pt>
                <c:pt idx="65">
                  <c:v>4.0576312861408191E-2</c:v>
                </c:pt>
                <c:pt idx="66">
                  <c:v>4.0636879239823745E-2</c:v>
                </c:pt>
                <c:pt idx="67">
                  <c:v>4.0687714333999786E-2</c:v>
                </c:pt>
                <c:pt idx="68">
                  <c:v>4.0729176146318234E-2</c:v>
                </c:pt>
                <c:pt idx="69">
                  <c:v>4.0761614688146028E-2</c:v>
                </c:pt>
                <c:pt idx="70">
                  <c:v>4.0785371833585181E-2</c:v>
                </c:pt>
                <c:pt idx="71">
                  <c:v>4.0800781207742567E-2</c:v>
                </c:pt>
                <c:pt idx="72">
                  <c:v>4.0808168106825443E-2</c:v>
                </c:pt>
                <c:pt idx="73">
                  <c:v>4.0807849447481809E-2</c:v>
                </c:pt>
                <c:pt idx="74">
                  <c:v>4.0800133742922656E-2</c:v>
                </c:pt>
                <c:pt idx="75">
                  <c:v>4.0785321103482444E-2</c:v>
                </c:pt>
                <c:pt idx="76">
                  <c:v>4.0763703259395372E-2</c:v>
                </c:pt>
                <c:pt idx="77">
                  <c:v>4.0735563603685562E-2</c:v>
                </c:pt>
                <c:pt idx="78">
                  <c:v>4.0701177253189377E-2</c:v>
                </c:pt>
                <c:pt idx="79">
                  <c:v>4.0660811125846456E-2</c:v>
                </c:pt>
                <c:pt idx="80">
                  <c:v>4.0614724032511422E-2</c:v>
                </c:pt>
                <c:pt idx="81">
                  <c:v>4.0563166781651602E-2</c:v>
                </c:pt>
                <c:pt idx="82">
                  <c:v>4.0506382295405249E-2</c:v>
                </c:pt>
                <c:pt idx="83">
                  <c:v>4.0444605735580577E-2</c:v>
                </c:pt>
                <c:pt idx="84">
                  <c:v>4.0378064638277693E-2</c:v>
                </c:pt>
                <c:pt idx="85">
                  <c:v>4.0306979055912663E-2</c:v>
                </c:pt>
                <c:pt idx="86">
                  <c:v>4.0231561705516283E-2</c:v>
                </c:pt>
                <c:pt idx="87">
                  <c:v>4.0152018122268714E-2</c:v>
                </c:pt>
                <c:pt idx="88">
                  <c:v>4.0068546817314851E-2</c:v>
                </c:pt>
                <c:pt idx="89">
                  <c:v>3.9981339438985471E-2</c:v>
                </c:pt>
                <c:pt idx="90">
                  <c:v>3.9890580936623753E-2</c:v>
                </c:pt>
                <c:pt idx="91">
                  <c:v>3.9796449726288069E-2</c:v>
                </c:pt>
                <c:pt idx="92">
                  <c:v>3.9699117857667915E-2</c:v>
                </c:pt>
                <c:pt idx="93">
                  <c:v>3.9598751181612449E-2</c:v>
                </c:pt>
                <c:pt idx="94">
                  <c:v>3.9495509517729406E-2</c:v>
                </c:pt>
                <c:pt idx="95">
                  <c:v>3.9389546821566319E-2</c:v>
                </c:pt>
                <c:pt idx="96">
                  <c:v>3.928101135093659E-2</c:v>
                </c:pt>
                <c:pt idx="97">
                  <c:v>3.9170045831000401E-2</c:v>
                </c:pt>
                <c:pt idx="98">
                  <c:v>3.9056787617753483E-2</c:v>
                </c:pt>
                <c:pt idx="99">
                  <c:v>3.8941368859617631E-2</c:v>
                </c:pt>
                <c:pt idx="100">
                  <c:v>3.8823916656863834E-2</c:v>
                </c:pt>
                <c:pt idx="101">
                  <c:v>3.8704553218633607E-2</c:v>
                </c:pt>
                <c:pt idx="102">
                  <c:v>3.85833960173552E-2</c:v>
                </c:pt>
                <c:pt idx="103">
                  <c:v>3.8460557940381015E-2</c:v>
                </c:pt>
                <c:pt idx="104">
                  <c:v>3.8336147438698738E-2</c:v>
                </c:pt>
                <c:pt idx="105">
                  <c:v>3.821026867259307E-2</c:v>
                </c:pt>
                <c:pt idx="106">
                  <c:v>3.8083021654157265E-2</c:v>
                </c:pt>
                <c:pt idx="107">
                  <c:v>3.7954502386573795E-2</c:v>
                </c:pt>
                <c:pt idx="108">
                  <c:v>3.7824803000101694E-2</c:v>
                </c:pt>
                <c:pt idx="109">
                  <c:v>3.7694011884724744E-2</c:v>
                </c:pt>
                <c:pt idx="110">
                  <c:v>3.7562213819429861E-2</c:v>
                </c:pt>
                <c:pt idx="111">
                  <c:v>3.7429490098098255E-2</c:v>
                </c:pt>
                <c:pt idx="112">
                  <c:v>3.7295918652003997E-2</c:v>
                </c:pt>
                <c:pt idx="113">
                  <c:v>3.7161574168925959E-2</c:v>
                </c:pt>
                <c:pt idx="114">
                  <c:v>3.7026528208888021E-2</c:v>
                </c:pt>
                <c:pt idx="115">
                  <c:v>3.6890849316551601E-2</c:v>
                </c:pt>
                <c:pt idx="116">
                  <c:v>3.6754603130291781E-2</c:v>
                </c:pt>
                <c:pt idx="117">
                  <c:v>3.6617852487995192E-2</c:v>
                </c:pt>
                <c:pt idx="118">
                  <c:v>3.6480657529623289E-2</c:v>
                </c:pt>
                <c:pt idx="119">
                  <c:v>3.6343075796590185E-2</c:v>
                </c:pt>
                <c:pt idx="120">
                  <c:v>3.6205162328008078E-2</c:v>
                </c:pt>
                <c:pt idx="121">
                  <c:v>3.6066969753857148E-2</c:v>
                </c:pt>
                <c:pt idx="122">
                  <c:v>3.5928548385140181E-2</c:v>
                </c:pt>
                <c:pt idx="123">
                  <c:v>3.5789946301084272E-2</c:v>
                </c:pt>
                <c:pt idx="124">
                  <c:v>3.5651209433454512E-2</c:v>
                </c:pt>
                <c:pt idx="125">
                  <c:v>3.5512381648045883E-2</c:v>
                </c:pt>
                <c:pt idx="126">
                  <c:v>3.5373504823421151E-2</c:v>
                </c:pt>
                <c:pt idx="127">
                  <c:v>3.5234618926963196E-2</c:v>
                </c:pt>
                <c:pt idx="128">
                  <c:v>3.5095762088311035E-2</c:v>
                </c:pt>
                <c:pt idx="129">
                  <c:v>3.4956970670248971E-2</c:v>
                </c:pt>
                <c:pt idx="130">
                  <c:v>3.4818279337118445E-2</c:v>
                </c:pt>
                <c:pt idx="131">
                  <c:v>3.4679721120821953E-2</c:v>
                </c:pt>
                <c:pt idx="132">
                  <c:v>3.4541327484488127E-2</c:v>
                </c:pt>
                <c:pt idx="133">
                  <c:v>3.4403128383866291E-2</c:v>
                </c:pt>
                <c:pt idx="134">
                  <c:v>3.4265152326518535E-2</c:v>
                </c:pt>
                <c:pt idx="135">
                  <c:v>3.4127426428875951E-2</c:v>
                </c:pt>
                <c:pt idx="136">
                  <c:v>3.3989976471225453E-2</c:v>
                </c:pt>
                <c:pt idx="137">
                  <c:v>3.3852826950691674E-2</c:v>
                </c:pt>
                <c:pt idx="138">
                  <c:v>3.3716001132278156E-2</c:v>
                </c:pt>
                <c:pt idx="139">
                  <c:v>3.3579521098030238E-2</c:v>
                </c:pt>
                <c:pt idx="140">
                  <c:v>3.3443407794381153E-2</c:v>
                </c:pt>
                <c:pt idx="141">
                  <c:v>3.3307681077741104E-2</c:v>
                </c:pt>
                <c:pt idx="142">
                  <c:v>3.3172359758388316E-2</c:v>
                </c:pt>
                <c:pt idx="143">
                  <c:v>3.3037461642719139E-2</c:v>
                </c:pt>
                <c:pt idx="144">
                  <c:v>3.2903003573913077E-2</c:v>
                </c:pt>
                <c:pt idx="145">
                  <c:v>3.2769001471067295E-2</c:v>
                </c:pt>
                <c:pt idx="146">
                  <c:v>3.2635470366853533E-2</c:v>
                </c:pt>
                <c:pt idx="147">
                  <c:v>3.2502424443748949E-2</c:v>
                </c:pt>
                <c:pt idx="148">
                  <c:v>3.2369877068891072E-2</c:v>
                </c:pt>
                <c:pt idx="149">
                  <c:v>3.2237840827605557E-2</c:v>
                </c:pt>
                <c:pt idx="150">
                  <c:v>3.2106327555653985E-2</c:v>
                </c:pt>
                <c:pt idx="151">
                  <c:v>3.1975348370247451E-2</c:v>
                </c:pt>
                <c:pt idx="152">
                  <c:v>3.1844913699870622E-2</c:v>
                </c:pt>
                <c:pt idx="153">
                  <c:v>3.1715033312959127E-2</c:v>
                </c:pt>
                <c:pt idx="154">
                  <c:v>3.1585716345472047E-2</c:v>
                </c:pt>
                <c:pt idx="155">
                  <c:v>3.1456971327400045E-2</c:v>
                </c:pt>
                <c:pt idx="156">
                  <c:v>3.1328806208247927E-2</c:v>
                </c:pt>
                <c:pt idx="157">
                  <c:v>3.1201228381529798E-2</c:v>
                </c:pt>
                <c:pt idx="158">
                  <c:v>3.1074244708313044E-2</c:v>
                </c:pt>
                <c:pt idx="159">
                  <c:v>3.0947861539846626E-2</c:v>
                </c:pt>
                <c:pt idx="160">
                  <c:v>3.0822084739307781E-2</c:v>
                </c:pt>
                <c:pt idx="161">
                  <c:v>3.069691970270011E-2</c:v>
                </c:pt>
                <c:pt idx="162">
                  <c:v>3.0572371378934815E-2</c:v>
                </c:pt>
                <c:pt idx="163">
                  <c:v>3.0448444289125895E-2</c:v>
                </c:pt>
                <c:pt idx="164">
                  <c:v>3.0325142545128889E-2</c:v>
                </c:pt>
                <c:pt idx="165">
                  <c:v>3.02024698673517E-2</c:v>
                </c:pt>
                <c:pt idx="166">
                  <c:v>3.0080429601865265E-2</c:v>
                </c:pt>
                <c:pt idx="167">
                  <c:v>2.995902473684043E-2</c:v>
                </c:pt>
                <c:pt idx="168">
                  <c:v>2.9838257918336858E-2</c:v>
                </c:pt>
                <c:pt idx="169">
                  <c:v>2.9718131465468617E-2</c:v>
                </c:pt>
                <c:pt idx="170">
                  <c:v>2.9598647384970179E-2</c:v>
                </c:pt>
                <c:pt idx="171">
                  <c:v>2.9479807385185908E-2</c:v>
                </c:pt>
                <c:pt idx="172">
                  <c:v>2.9361612889505038E-2</c:v>
                </c:pt>
                <c:pt idx="173">
                  <c:v>2.9244065049263475E-2</c:v>
                </c:pt>
                <c:pt idx="174">
                  <c:v>2.9127164756132876E-2</c:v>
                </c:pt>
                <c:pt idx="175">
                  <c:v>2.9010912654016806E-2</c:v>
                </c:pt>
                <c:pt idx="176">
                  <c:v>2.8895309150472934E-2</c:v>
                </c:pt>
                <c:pt idx="177">
                  <c:v>2.878035442767949E-2</c:v>
                </c:pt>
                <c:pt idx="178">
                  <c:v>2.8666048452963749E-2</c:v>
                </c:pt>
                <c:pt idx="179">
                  <c:v>2.8552390988909344E-2</c:v>
                </c:pt>
                <c:pt idx="180">
                  <c:v>2.8439381603058676E-2</c:v>
                </c:pt>
                <c:pt idx="181">
                  <c:v>2.8327019677226371E-2</c:v>
                </c:pt>
                <c:pt idx="182">
                  <c:v>2.8215304416438478E-2</c:v>
                </c:pt>
                <c:pt idx="183">
                  <c:v>2.8104234857512251E-2</c:v>
                </c:pt>
                <c:pt idx="184">
                  <c:v>2.7993809877290339E-2</c:v>
                </c:pt>
                <c:pt idx="185">
                  <c:v>2.7884028200542792E-2</c:v>
                </c:pt>
                <c:pt idx="186">
                  <c:v>2.7774888407549887E-2</c:v>
                </c:pt>
                <c:pt idx="187">
                  <c:v>2.7666388941378121E-2</c:v>
                </c:pt>
                <c:pt idx="188">
                  <c:v>2.7558528114861376E-2</c:v>
                </c:pt>
                <c:pt idx="189">
                  <c:v>2.7451304117298663E-2</c:v>
                </c:pt>
                <c:pt idx="190">
                  <c:v>2.7344715020879592E-2</c:v>
                </c:pt>
                <c:pt idx="191">
                  <c:v>2.7238758786848113E-2</c:v>
                </c:pt>
                <c:pt idx="192">
                  <c:v>2.7133433271414733E-2</c:v>
                </c:pt>
                <c:pt idx="193">
                  <c:v>2.7028736231427146E-2</c:v>
                </c:pt>
                <c:pt idx="194">
                  <c:v>2.692466532980849E-2</c:v>
                </c:pt>
                <c:pt idx="195">
                  <c:v>2.6821218140772558E-2</c:v>
                </c:pt>
                <c:pt idx="196">
                  <c:v>2.6718392154824491E-2</c:v>
                </c:pt>
                <c:pt idx="197">
                  <c:v>2.661618478355542E-2</c:v>
                </c:pt>
                <c:pt idx="198">
                  <c:v>2.65145933642391E-2</c:v>
                </c:pt>
                <c:pt idx="199">
                  <c:v>2.6413615164238326E-2</c:v>
                </c:pt>
                <c:pt idx="200">
                  <c:v>2.6313247385228465E-2</c:v>
                </c:pt>
                <c:pt idx="201">
                  <c:v>2.6213487167245388E-2</c:v>
                </c:pt>
                <c:pt idx="202">
                  <c:v>2.6114331592564637E-2</c:v>
                </c:pt>
                <c:pt idx="203">
                  <c:v>2.6015777689418342E-2</c:v>
                </c:pt>
                <c:pt idx="204">
                  <c:v>2.5917822435556435E-2</c:v>
                </c:pt>
                <c:pt idx="205">
                  <c:v>2.5820462761658062E-2</c:v>
                </c:pt>
                <c:pt idx="206">
                  <c:v>2.572369555459925E-2</c:v>
                </c:pt>
                <c:pt idx="207">
                  <c:v>2.5627517660582348E-2</c:v>
                </c:pt>
                <c:pt idx="208">
                  <c:v>2.5531925888132679E-2</c:v>
                </c:pt>
                <c:pt idx="209">
                  <c:v>2.5436917010967657E-2</c:v>
                </c:pt>
                <c:pt idx="210">
                  <c:v>2.5342487770743383E-2</c:v>
                </c:pt>
                <c:pt idx="211">
                  <c:v>2.5248634879683457E-2</c:v>
                </c:pt>
                <c:pt idx="212">
                  <c:v>2.5155355023094742E-2</c:v>
                </c:pt>
                <c:pt idx="213">
                  <c:v>2.5062644861774439E-2</c:v>
                </c:pt>
                <c:pt idx="214">
                  <c:v>2.4970501034312757E-2</c:v>
                </c:pt>
                <c:pt idx="215">
                  <c:v>2.4878920159295367E-2</c:v>
                </c:pt>
                <c:pt idx="216">
                  <c:v>2.4787898837409512E-2</c:v>
                </c:pt>
                <c:pt idx="217">
                  <c:v>2.4697433653457501E-2</c:v>
                </c:pt>
                <c:pt idx="218">
                  <c:v>2.4607521178281484E-2</c:v>
                </c:pt>
                <c:pt idx="219">
                  <c:v>2.4518157970602666E-2</c:v>
                </c:pt>
                <c:pt idx="220">
                  <c:v>2.4429340578778651E-2</c:v>
                </c:pt>
                <c:pt idx="221">
                  <c:v>2.4341065542481936E-2</c:v>
                </c:pt>
                <c:pt idx="222">
                  <c:v>2.4253329394302785E-2</c:v>
                </c:pt>
                <c:pt idx="223">
                  <c:v>2.4166128661279391E-2</c:v>
                </c:pt>
                <c:pt idx="224">
                  <c:v>2.4079459866358285E-2</c:v>
                </c:pt>
                <c:pt idx="225">
                  <c:v>2.3993319529787744E-2</c:v>
                </c:pt>
                <c:pt idx="226">
                  <c:v>2.3907704170446693E-2</c:v>
                </c:pt>
                <c:pt idx="227">
                  <c:v>2.3822610307111962E-2</c:v>
                </c:pt>
                <c:pt idx="228">
                  <c:v>2.373803445966606E-2</c:v>
                </c:pt>
                <c:pt idx="229">
                  <c:v>2.3653973150247989E-2</c:v>
                </c:pt>
                <c:pt idx="230">
                  <c:v>2.357042290434928E-2</c:v>
                </c:pt>
                <c:pt idx="231">
                  <c:v>2.3487380251857547E-2</c:v>
                </c:pt>
                <c:pt idx="232">
                  <c:v>2.340484172804946E-2</c:v>
                </c:pt>
                <c:pt idx="233">
                  <c:v>2.3322803874535392E-2</c:v>
                </c:pt>
                <c:pt idx="234">
                  <c:v>2.3241263240157461E-2</c:v>
                </c:pt>
                <c:pt idx="235">
                  <c:v>2.3160216381842961E-2</c:v>
                </c:pt>
                <c:pt idx="236">
                  <c:v>2.3079659865414916E-2</c:v>
                </c:pt>
                <c:pt idx="237">
                  <c:v>2.2999590266361513E-2</c:v>
                </c:pt>
                <c:pt idx="238">
                  <c:v>2.2920004170565954E-2</c:v>
                </c:pt>
                <c:pt idx="239">
                  <c:v>2.2840898174998556E-2</c:v>
                </c:pt>
                <c:pt idx="240">
                  <c:v>2.2762268888372343E-2</c:v>
                </c:pt>
                <c:pt idx="241">
                  <c:v>2.2684112931763773E-2</c:v>
                </c:pt>
                <c:pt idx="242">
                  <c:v>2.2606426939200005E-2</c:v>
                </c:pt>
                <c:pt idx="243">
                  <c:v>2.2529207558213981E-2</c:v>
                </c:pt>
                <c:pt idx="244">
                  <c:v>2.2452451450368682E-2</c:v>
                </c:pt>
                <c:pt idx="245">
                  <c:v>2.2376155291751822E-2</c:v>
                </c:pt>
                <c:pt idx="246">
                  <c:v>2.2300315773442173E-2</c:v>
                </c:pt>
                <c:pt idx="247">
                  <c:v>2.2224929601948634E-2</c:v>
                </c:pt>
                <c:pt idx="248">
                  <c:v>2.2149993499623245E-2</c:v>
                </c:pt>
                <c:pt idx="249">
                  <c:v>2.2075504205049147E-2</c:v>
                </c:pt>
                <c:pt idx="250">
                  <c:v>2.2001458473404532E-2</c:v>
                </c:pt>
                <c:pt idx="251">
                  <c:v>2.1927853076803623E-2</c:v>
                </c:pt>
                <c:pt idx="252">
                  <c:v>2.1854684804615564E-2</c:v>
                </c:pt>
                <c:pt idx="253">
                  <c:v>2.1781950463762172E-2</c:v>
                </c:pt>
                <c:pt idx="254">
                  <c:v>2.170964687899541E-2</c:v>
                </c:pt>
                <c:pt idx="255">
                  <c:v>2.1637770893155481E-2</c:v>
                </c:pt>
                <c:pt idx="256">
                  <c:v>2.156631936741029E-2</c:v>
                </c:pt>
                <c:pt idx="257">
                  <c:v>2.1495289181477081E-2</c:v>
                </c:pt>
                <c:pt idx="258">
                  <c:v>2.142467723382702E-2</c:v>
                </c:pt>
                <c:pt idx="259">
                  <c:v>2.1354480441873384E-2</c:v>
                </c:pt>
                <c:pt idx="260">
                  <c:v>2.1284695742144168E-2</c:v>
                </c:pt>
                <c:pt idx="261">
                  <c:v>2.1215320090439624E-2</c:v>
                </c:pt>
                <c:pt idx="262">
                  <c:v>2.1146350461975504E-2</c:v>
                </c:pt>
                <c:pt idx="263">
                  <c:v>2.1077783851512558E-2</c:v>
                </c:pt>
                <c:pt idx="264">
                  <c:v>2.1009617273472891E-2</c:v>
                </c:pt>
                <c:pt idx="265">
                  <c:v>2.0941847762043744E-2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F-4886-A882-3ABE7D78F030}"/>
            </c:ext>
          </c:extLst>
        </c:ser>
        <c:ser>
          <c:idx val="2"/>
          <c:order val="2"/>
          <c:tx>
            <c:strRef>
              <c:f>'V2'!$AJ$12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'V2'!$AJ$13:$AJ$278</c:f>
              <c:numCache>
                <c:formatCode>0.000</c:formatCode>
                <c:ptCount val="266"/>
                <c:pt idx="0">
                  <c:v>1.1110195980374544E-3</c:v>
                </c:pt>
                <c:pt idx="1">
                  <c:v>2.2214902984805654E-3</c:v>
                </c:pt>
                <c:pt idx="2">
                  <c:v>3.3308641073031401E-3</c:v>
                </c:pt>
                <c:pt idx="3">
                  <c:v>4.4385948344935304E-3</c:v>
                </c:pt>
                <c:pt idx="4">
                  <c:v>5.5441389882759737E-3</c:v>
                </c:pt>
                <c:pt idx="5">
                  <c:v>6.6469566600403955E-3</c:v>
                </c:pt>
                <c:pt idx="6">
                  <c:v>7.7465123969689114E-3</c:v>
                </c:pt>
                <c:pt idx="7">
                  <c:v>8.8422760594195713E-3</c:v>
                </c:pt>
                <c:pt idx="8">
                  <c:v>9.93372366021689E-3</c:v>
                </c:pt>
                <c:pt idx="9">
                  <c:v>1.1020338183103931E-2</c:v>
                </c:pt>
                <c:pt idx="10">
                  <c:v>1.2101610377730897E-2</c:v>
                </c:pt>
                <c:pt idx="11">
                  <c:v>1.3177039528689491E-2</c:v>
                </c:pt>
                <c:pt idx="12">
                  <c:v>1.4246134196249573E-2</c:v>
                </c:pt>
                <c:pt idx="13">
                  <c:v>1.5308412926613422E-2</c:v>
                </c:pt>
                <c:pt idx="14">
                  <c:v>1.6363404929672132E-2</c:v>
                </c:pt>
                <c:pt idx="15">
                  <c:v>1.7410650722426556E-2</c:v>
                </c:pt>
                <c:pt idx="16">
                  <c:v>1.8449702736420867E-2</c:v>
                </c:pt>
                <c:pt idx="17">
                  <c:v>1.9480125887727927E-2</c:v>
                </c:pt>
                <c:pt idx="18">
                  <c:v>2.0501498108221664E-2</c:v>
                </c:pt>
                <c:pt idx="19">
                  <c:v>2.151341083707025E-2</c:v>
                </c:pt>
                <c:pt idx="20">
                  <c:v>2.2515469471583865E-2</c:v>
                </c:pt>
                <c:pt idx="21">
                  <c:v>2.3507293776751231E-2</c:v>
                </c:pt>
                <c:pt idx="22">
                  <c:v>2.4488518252997214E-2</c:v>
                </c:pt>
                <c:pt idx="23">
                  <c:v>2.5458792461889961E-2</c:v>
                </c:pt>
                <c:pt idx="24">
                  <c:v>2.6417781309717375E-2</c:v>
                </c:pt>
                <c:pt idx="25">
                  <c:v>2.7365165289039123E-2</c:v>
                </c:pt>
                <c:pt idx="26">
                  <c:v>2.8300640678500241E-2</c:v>
                </c:pt>
                <c:pt idx="27">
                  <c:v>2.9223919701364669E-2</c:v>
                </c:pt>
                <c:pt idx="28">
                  <c:v>3.0134730643390988E-2</c:v>
                </c:pt>
                <c:pt idx="29">
                  <c:v>3.1032817930827437E-2</c:v>
                </c:pt>
                <c:pt idx="30">
                  <c:v>3.1917942169448245E-2</c:v>
                </c:pt>
                <c:pt idx="31">
                  <c:v>3.2789880145687171E-2</c:v>
                </c:pt>
                <c:pt idx="32">
                  <c:v>3.3648424791048417E-2</c:v>
                </c:pt>
                <c:pt idx="33">
                  <c:v>3.4493385111086072E-2</c:v>
                </c:pt>
                <c:pt idx="34">
                  <c:v>3.532458608034475E-2</c:v>
                </c:pt>
                <c:pt idx="35">
                  <c:v>3.6141868504742297E-2</c:v>
                </c:pt>
                <c:pt idx="36">
                  <c:v>3.6945088852952682E-2</c:v>
                </c:pt>
                <c:pt idx="37">
                  <c:v>3.7734119058412591E-2</c:v>
                </c:pt>
                <c:pt idx="38">
                  <c:v>3.8508846293629294E-2</c:v>
                </c:pt>
                <c:pt idx="39">
                  <c:v>3.9269172718509368E-2</c:v>
                </c:pt>
                <c:pt idx="40">
                  <c:v>4.001501520446029E-2</c:v>
                </c:pt>
                <c:pt idx="41">
                  <c:v>4.0746305036036955E-2</c:v>
                </c:pt>
                <c:pt idx="42">
                  <c:v>4.1462987591916974E-2</c:v>
                </c:pt>
                <c:pt idx="43">
                  <c:v>4.2165022006988774E-2</c:v>
                </c:pt>
                <c:pt idx="44">
                  <c:v>4.285238081732938E-2</c:v>
                </c:pt>
                <c:pt idx="45">
                  <c:v>4.3525049589831784E-2</c:v>
                </c:pt>
                <c:pt idx="46">
                  <c:v>4.4183026538217367E-2</c:v>
                </c:pt>
                <c:pt idx="47">
                  <c:v>4.4826322127137157E-2</c:v>
                </c:pt>
                <c:pt idx="48">
                  <c:v>4.5454958666027223E-2</c:v>
                </c:pt>
                <c:pt idx="49">
                  <c:v>4.6068969894338729E-2</c:v>
                </c:pt>
                <c:pt idx="50">
                  <c:v>4.6668400559713677E-2</c:v>
                </c:pt>
                <c:pt idx="51">
                  <c:v>4.7253305990622413E-2</c:v>
                </c:pt>
                <c:pt idx="52">
                  <c:v>4.7823751664920096E-2</c:v>
                </c:pt>
                <c:pt idx="53">
                  <c:v>4.8379812775717602E-2</c:v>
                </c:pt>
                <c:pt idx="54">
                  <c:v>4.8921573795896532E-2</c:v>
                </c:pt>
                <c:pt idx="55">
                  <c:v>4.9449128042530988E-2</c:v>
                </c:pt>
                <c:pt idx="56">
                  <c:v>4.9962577242409455E-2</c:v>
                </c:pt>
                <c:pt idx="57">
                  <c:v>5.0462031099779363E-2</c:v>
                </c:pt>
                <c:pt idx="58">
                  <c:v>5.0947606867366241E-2</c:v>
                </c:pt>
                <c:pt idx="59">
                  <c:v>5.1419428921647289E-2</c:v>
                </c:pt>
                <c:pt idx="60">
                  <c:v>5.1877628343288316E-2</c:v>
                </c:pt>
                <c:pt idx="61">
                  <c:v>5.2322342503581622E-2</c:v>
                </c:pt>
                <c:pt idx="62">
                  <c:v>5.2753714657653009E-2</c:v>
                </c:pt>
                <c:pt idx="63">
                  <c:v>5.317189354513694E-2</c:v>
                </c:pt>
                <c:pt idx="64">
                  <c:v>5.3577032998951848E-2</c:v>
                </c:pt>
                <c:pt idx="65">
                  <c:v>5.3969291562741745E-2</c:v>
                </c:pt>
                <c:pt idx="66">
                  <c:v>5.4348832117487506E-2</c:v>
                </c:pt>
                <c:pt idx="67">
                  <c:v>5.4715821517728865E-2</c:v>
                </c:pt>
                <c:pt idx="68">
                  <c:v>5.5070430237780049E-2</c:v>
                </c:pt>
                <c:pt idx="69">
                  <c:v>5.5412832028264712E-2</c:v>
                </c:pt>
                <c:pt idx="70">
                  <c:v>5.5743203583242577E-2</c:v>
                </c:pt>
                <c:pt idx="71">
                  <c:v>5.6061724218147993E-2</c:v>
                </c:pt>
                <c:pt idx="72">
                  <c:v>5.6368575558712976E-2</c:v>
                </c:pt>
                <c:pt idx="73">
                  <c:v>5.6663941241000652E-2</c:v>
                </c:pt>
                <c:pt idx="74">
                  <c:v>5.6948006622632316E-2</c:v>
                </c:pt>
                <c:pt idx="75">
                  <c:v>5.7220958505251017E-2</c:v>
                </c:pt>
                <c:pt idx="76">
                  <c:v>5.7482984868226672E-2</c:v>
                </c:pt>
                <c:pt idx="77">
                  <c:v>5.7734274613573305E-2</c:v>
                </c:pt>
                <c:pt idx="78">
                  <c:v>5.7975017322016299E-2</c:v>
                </c:pt>
                <c:pt idx="79">
                  <c:v>5.820540302011825E-2</c:v>
                </c:pt>
                <c:pt idx="80">
                  <c:v>5.84256219583449E-2</c:v>
                </c:pt>
                <c:pt idx="81">
                  <c:v>5.8635864399927719E-2</c:v>
                </c:pt>
                <c:pt idx="82">
                  <c:v>5.8836320420357913E-2</c:v>
                </c:pt>
                <c:pt idx="83">
                  <c:v>5.9027179717326184E-2</c:v>
                </c:pt>
                <c:pt idx="84">
                  <c:v>5.9208631430905094E-2</c:v>
                </c:pt>
                <c:pt idx="85">
                  <c:v>5.9380863973755076E-2</c:v>
                </c:pt>
                <c:pt idx="86">
                  <c:v>5.9544064871121356E-2</c:v>
                </c:pt>
                <c:pt idx="87">
                  <c:v>5.969842061037714E-2</c:v>
                </c:pt>
                <c:pt idx="88">
                  <c:v>5.9844116499858796E-2</c:v>
                </c:pt>
                <c:pt idx="89">
                  <c:v>5.9981336536729671E-2</c:v>
                </c:pt>
                <c:pt idx="90">
                  <c:v>6.011026328360277E-2</c:v>
                </c:pt>
                <c:pt idx="91">
                  <c:v>6.0231077753647382E-2</c:v>
                </c:pt>
                <c:pt idx="92">
                  <c:v>6.0343959303899929E-2</c:v>
                </c:pt>
                <c:pt idx="93">
                  <c:v>6.0449085536497665E-2</c:v>
                </c:pt>
                <c:pt idx="94">
                  <c:v>6.0546632207551354E-2</c:v>
                </c:pt>
                <c:pt idx="95">
                  <c:v>6.0636773143372867E-2</c:v>
                </c:pt>
                <c:pt idx="96">
                  <c:v>6.0719680163774561E-2</c:v>
                </c:pt>
                <c:pt idx="97">
                  <c:v>6.0795523012158008E-2</c:v>
                </c:pt>
                <c:pt idx="98">
                  <c:v>6.086446929211229E-2</c:v>
                </c:pt>
                <c:pt idx="99">
                  <c:v>6.0926684410244951E-2</c:v>
                </c:pt>
                <c:pt idx="100">
                  <c:v>6.0982331524972268E-2</c:v>
                </c:pt>
                <c:pt idx="101">
                  <c:v>6.1031571500999679E-2</c:v>
                </c:pt>
                <c:pt idx="102">
                  <c:v>6.1074562869228119E-2</c:v>
                </c:pt>
                <c:pt idx="103">
                  <c:v>6.1111461791826756E-2</c:v>
                </c:pt>
                <c:pt idx="104">
                  <c:v>6.1142422032219049E-2</c:v>
                </c:pt>
                <c:pt idx="105">
                  <c:v>6.1167594929733872E-2</c:v>
                </c:pt>
                <c:pt idx="106">
                  <c:v>6.1187129378680739E-2</c:v>
                </c:pt>
                <c:pt idx="107">
                  <c:v>6.1201171811613844E-2</c:v>
                </c:pt>
                <c:pt idx="108">
                  <c:v>6.120986618655691E-2</c:v>
                </c:pt>
                <c:pt idx="109">
                  <c:v>6.12133539779669E-2</c:v>
                </c:pt>
                <c:pt idx="110">
                  <c:v>6.121177417122272E-2</c:v>
                </c:pt>
                <c:pt idx="111">
                  <c:v>6.120526326043077E-2</c:v>
                </c:pt>
                <c:pt idx="112">
                  <c:v>6.1193955249347218E-2</c:v>
                </c:pt>
                <c:pt idx="113">
                  <c:v>6.1177981655223666E-2</c:v>
                </c:pt>
                <c:pt idx="114">
                  <c:v>6.1157471515389771E-2</c:v>
                </c:pt>
                <c:pt idx="115">
                  <c:v>6.1132551396393717E-2</c:v>
                </c:pt>
                <c:pt idx="116">
                  <c:v>6.110334540552833E-2</c:v>
                </c:pt>
                <c:pt idx="117">
                  <c:v>6.1069975204577444E-2</c:v>
                </c:pt>
                <c:pt idx="118">
                  <c:v>6.1032560025624266E-2</c:v>
                </c:pt>
                <c:pt idx="119">
                  <c:v>6.0991216688769681E-2</c:v>
                </c:pt>
                <c:pt idx="120">
                  <c:v>6.0946059621615777E-2</c:v>
                </c:pt>
                <c:pt idx="121">
                  <c:v>6.089720088037566E-2</c:v>
                </c:pt>
                <c:pt idx="122">
                  <c:v>6.084475017247741E-2</c:v>
                </c:pt>
                <c:pt idx="123">
                  <c:v>6.0788814880535974E-2</c:v>
                </c:pt>
                <c:pt idx="124">
                  <c:v>6.0729500087573086E-2</c:v>
                </c:pt>
                <c:pt idx="125">
                  <c:v>6.0666908603370873E-2</c:v>
                </c:pt>
                <c:pt idx="126">
                  <c:v>6.0601140991850648E-2</c:v>
                </c:pt>
                <c:pt idx="127">
                  <c:v>6.0532295599374085E-2</c:v>
                </c:pt>
                <c:pt idx="128">
                  <c:v>6.0460468583868984E-2</c:v>
                </c:pt>
                <c:pt idx="129">
                  <c:v>6.0385753944687343E-2</c:v>
                </c:pt>
                <c:pt idx="130">
                  <c:v>6.0308243553108237E-2</c:v>
                </c:pt>
                <c:pt idx="131">
                  <c:v>6.0228027183403074E-2</c:v>
                </c:pt>
                <c:pt idx="132">
                  <c:v>6.0145192544385134E-2</c:v>
                </c:pt>
                <c:pt idx="133">
                  <c:v>6.0059825311370059E-2</c:v>
                </c:pt>
                <c:pt idx="134">
                  <c:v>5.9972009158478189E-2</c:v>
                </c:pt>
                <c:pt idx="135">
                  <c:v>5.9881825791213782E-2</c:v>
                </c:pt>
                <c:pt idx="136">
                  <c:v>5.9789354979259898E-2</c:v>
                </c:pt>
                <c:pt idx="137">
                  <c:v>5.969467458943211E-2</c:v>
                </c:pt>
                <c:pt idx="138">
                  <c:v>5.9597860618737113E-2</c:v>
                </c:pt>
                <c:pt idx="139">
                  <c:v>5.9498987227486498E-2</c:v>
                </c:pt>
                <c:pt idx="140">
                  <c:v>5.9398126772418666E-2</c:v>
                </c:pt>
                <c:pt idx="141">
                  <c:v>5.9295349839785474E-2</c:v>
                </c:pt>
                <c:pt idx="142">
                  <c:v>5.9190725278363117E-2</c:v>
                </c:pt>
                <c:pt idx="143">
                  <c:v>5.9084320232349469E-2</c:v>
                </c:pt>
                <c:pt idx="144">
                  <c:v>5.8976200174113112E-2</c:v>
                </c:pt>
                <c:pt idx="145">
                  <c:v>5.8866428936761826E-2</c:v>
                </c:pt>
                <c:pt idx="146">
                  <c:v>5.8755068746500598E-2</c:v>
                </c:pt>
                <c:pt idx="147">
                  <c:v>5.8642180254751868E-2</c:v>
                </c:pt>
                <c:pt idx="148">
                  <c:v>5.8527822570012766E-2</c:v>
                </c:pt>
                <c:pt idx="149">
                  <c:v>5.8412053289426433E-2</c:v>
                </c:pt>
                <c:pt idx="150">
                  <c:v>5.8294928530046065E-2</c:v>
                </c:pt>
                <c:pt idx="151">
                  <c:v>5.8176502959772863E-2</c:v>
                </c:pt>
                <c:pt idx="152">
                  <c:v>5.8056829827950407E-2</c:v>
                </c:pt>
                <c:pt idx="153">
                  <c:v>5.7935960995599806E-2</c:v>
                </c:pt>
                <c:pt idx="154">
                  <c:v>5.7813946965281526E-2</c:v>
                </c:pt>
                <c:pt idx="155">
                  <c:v>5.7690836910571537E-2</c:v>
                </c:pt>
                <c:pt idx="156">
                  <c:v>5.7566678705140366E-2</c:v>
                </c:pt>
                <c:pt idx="157">
                  <c:v>5.7441518951425706E-2</c:v>
                </c:pt>
                <c:pt idx="158">
                  <c:v>5.7315403008889605E-2</c:v>
                </c:pt>
                <c:pt idx="159">
                  <c:v>5.7188375021853179E-2</c:v>
                </c:pt>
                <c:pt idx="160">
                  <c:v>5.7060477946902527E-2</c:v>
                </c:pt>
                <c:pt idx="161">
                  <c:v>5.693175357986071E-2</c:v>
                </c:pt>
                <c:pt idx="162">
                  <c:v>5.6802242582321374E-2</c:v>
                </c:pt>
                <c:pt idx="163">
                  <c:v>5.6671984507741031E-2</c:v>
                </c:pt>
                <c:pt idx="164">
                  <c:v>5.6541017827087113E-2</c:v>
                </c:pt>
                <c:pt idx="165">
                  <c:v>5.6409379954040495E-2</c:v>
                </c:pt>
                <c:pt idx="166">
                  <c:v>5.6277107269751235E-2</c:v>
                </c:pt>
                <c:pt idx="167">
                  <c:v>5.6144235147147392E-2</c:v>
                </c:pt>
                <c:pt idx="168">
                  <c:v>5.601079797479732E-2</c:v>
                </c:pt>
                <c:pt idx="169">
                  <c:v>5.5876829180326285E-2</c:v>
                </c:pt>
                <c:pt idx="170">
                  <c:v>5.5742361253388939E-2</c:v>
                </c:pt>
                <c:pt idx="171">
                  <c:v>5.5607425768199596E-2</c:v>
                </c:pt>
                <c:pt idx="172">
                  <c:v>5.5472053405622883E-2</c:v>
                </c:pt>
                <c:pt idx="173">
                  <c:v>5.5336273974827405E-2</c:v>
                </c:pt>
                <c:pt idx="174">
                  <c:v>5.5200116434505994E-2</c:v>
                </c:pt>
                <c:pt idx="175">
                  <c:v>5.5063608913665865E-2</c:v>
                </c:pt>
                <c:pt idx="176">
                  <c:v>5.4926778731992788E-2</c:v>
                </c:pt>
                <c:pt idx="177">
                  <c:v>5.4789652419793451E-2</c:v>
                </c:pt>
                <c:pt idx="178">
                  <c:v>5.4652255737520555E-2</c:v>
                </c:pt>
                <c:pt idx="179">
                  <c:v>5.4514613694885292E-2</c:v>
                </c:pt>
                <c:pt idx="180">
                  <c:v>5.4376750569562218E-2</c:v>
                </c:pt>
                <c:pt idx="181">
                  <c:v>5.4238689925491836E-2</c:v>
                </c:pt>
                <c:pt idx="182">
                  <c:v>5.4100454630785721E-2</c:v>
                </c:pt>
                <c:pt idx="183">
                  <c:v>5.3962066875240321E-2</c:v>
                </c:pt>
                <c:pt idx="184">
                  <c:v>5.3823548187464418E-2</c:v>
                </c:pt>
                <c:pt idx="185">
                  <c:v>5.3684919451626421E-2</c:v>
                </c:pt>
                <c:pt idx="186">
                  <c:v>5.3546200923826927E-2</c:v>
                </c:pt>
                <c:pt idx="187">
                  <c:v>5.3407412248102894E-2</c:v>
                </c:pt>
                <c:pt idx="188">
                  <c:v>5.3268572472068822E-2</c:v>
                </c:pt>
                <c:pt idx="189">
                  <c:v>5.3129700062201475E-2</c:v>
                </c:pt>
                <c:pt idx="190">
                  <c:v>5.2990812918773875E-2</c:v>
                </c:pt>
                <c:pt idx="191">
                  <c:v>5.2851928390444801E-2</c:v>
                </c:pt>
                <c:pt idx="192">
                  <c:v>5.2713063288509727E-2</c:v>
                </c:pt>
                <c:pt idx="193">
                  <c:v>5.2574233900819646E-2</c:v>
                </c:pt>
                <c:pt idx="194">
                  <c:v>5.2435456005373457E-2</c:v>
                </c:pt>
                <c:pt idx="195">
                  <c:v>5.2296744883590318E-2</c:v>
                </c:pt>
                <c:pt idx="196">
                  <c:v>5.2158115333267953E-2</c:v>
                </c:pt>
                <c:pt idx="197">
                  <c:v>5.2019581681232933E-2</c:v>
                </c:pt>
                <c:pt idx="198">
                  <c:v>5.1881157795689012E-2</c:v>
                </c:pt>
                <c:pt idx="199">
                  <c:v>5.1742857098269472E-2</c:v>
                </c:pt>
                <c:pt idx="200">
                  <c:v>5.160469257579945E-2</c:v>
                </c:pt>
                <c:pt idx="201">
                  <c:v>5.1466676791774024E-2</c:v>
                </c:pt>
                <c:pt idx="202">
                  <c:v>5.1328821897558156E-2</c:v>
                </c:pt>
                <c:pt idx="203">
                  <c:v>5.1191139643313927E-2</c:v>
                </c:pt>
                <c:pt idx="204">
                  <c:v>5.1053641388661093E-2</c:v>
                </c:pt>
                <c:pt idx="205">
                  <c:v>5.0916338113076429E-2</c:v>
                </c:pt>
                <c:pt idx="206">
                  <c:v>5.0779240426037507E-2</c:v>
                </c:pt>
                <c:pt idx="207">
                  <c:v>5.0642358576916506E-2</c:v>
                </c:pt>
                <c:pt idx="208">
                  <c:v>5.0505702464629286E-2</c:v>
                </c:pt>
                <c:pt idx="209">
                  <c:v>5.0369281647045357E-2</c:v>
                </c:pt>
                <c:pt idx="210">
                  <c:v>5.023310535016378E-2</c:v>
                </c:pt>
                <c:pt idx="211">
                  <c:v>5.009718247706043E-2</c:v>
                </c:pt>
                <c:pt idx="212">
                  <c:v>4.9961521616611659E-2</c:v>
                </c:pt>
                <c:pt idx="213">
                  <c:v>4.9826131051999262E-2</c:v>
                </c:pt>
                <c:pt idx="214">
                  <c:v>4.9691018769002074E-2</c:v>
                </c:pt>
                <c:pt idx="215">
                  <c:v>4.9556192464078691E-2</c:v>
                </c:pt>
                <c:pt idx="216">
                  <c:v>4.9421659552246401E-2</c:v>
                </c:pt>
                <c:pt idx="217">
                  <c:v>4.9287427174760777E-2</c:v>
                </c:pt>
                <c:pt idx="218">
                  <c:v>4.915350220660096E-2</c:v>
                </c:pt>
                <c:pt idx="219">
                  <c:v>4.901989126376468E-2</c:v>
                </c:pt>
                <c:pt idx="220">
                  <c:v>4.8886600710377946E-2</c:v>
                </c:pt>
                <c:pt idx="221">
                  <c:v>4.8753636665623427E-2</c:v>
                </c:pt>
                <c:pt idx="222">
                  <c:v>4.862100501049204E-2</c:v>
                </c:pt>
                <c:pt idx="223">
                  <c:v>4.8488711394361818E-2</c:v>
                </c:pt>
                <c:pt idx="224">
                  <c:v>4.8356761241408336E-2</c:v>
                </c:pt>
                <c:pt idx="225">
                  <c:v>4.8225159756850627E-2</c:v>
                </c:pt>
                <c:pt idx="226">
                  <c:v>4.8093911933036471E-2</c:v>
                </c:pt>
                <c:pt idx="227">
                  <c:v>4.7963022555371167E-2</c:v>
                </c:pt>
                <c:pt idx="228">
                  <c:v>4.7832496208093538E-2</c:v>
                </c:pt>
                <c:pt idx="229">
                  <c:v>4.7702337279902543E-2</c:v>
                </c:pt>
                <c:pt idx="230">
                  <c:v>4.7572549969438695E-2</c:v>
                </c:pt>
                <c:pt idx="231">
                  <c:v>4.7443138290623431E-2</c:v>
                </c:pt>
                <c:pt idx="232">
                  <c:v>4.7314106077860137E-2</c:v>
                </c:pt>
                <c:pt idx="233">
                  <c:v>4.7185456991100057E-2</c:v>
                </c:pt>
                <c:pt idx="234">
                  <c:v>4.7057194520776627E-2</c:v>
                </c:pt>
                <c:pt idx="235">
                  <c:v>4.6929321992611406E-2</c:v>
                </c:pt>
                <c:pt idx="236">
                  <c:v>4.6801842572294687E-2</c:v>
                </c:pt>
                <c:pt idx="237">
                  <c:v>4.6674759270044143E-2</c:v>
                </c:pt>
                <c:pt idx="238">
                  <c:v>4.6548074945044274E-2</c:v>
                </c:pt>
                <c:pt idx="239">
                  <c:v>4.6421792309769942E-2</c:v>
                </c:pt>
                <c:pt idx="240">
                  <c:v>4.6295913934196624E-2</c:v>
                </c:pt>
                <c:pt idx="241">
                  <c:v>4.6170442249900336E-2</c:v>
                </c:pt>
                <c:pt idx="242">
                  <c:v>4.6045379554050164E-2</c:v>
                </c:pt>
                <c:pt idx="243">
                  <c:v>4.5920728013295761E-2</c:v>
                </c:pt>
                <c:pt idx="244">
                  <c:v>4.5796489667552814E-2</c:v>
                </c:pt>
                <c:pt idx="245">
                  <c:v>4.5672666433688849E-2</c:v>
                </c:pt>
                <c:pt idx="246">
                  <c:v>4.5549260109111964E-2</c:v>
                </c:pt>
                <c:pt idx="247">
                  <c:v>4.5426272375265038E-2</c:v>
                </c:pt>
                <c:pt idx="248">
                  <c:v>4.5303704801027557E-2</c:v>
                </c:pt>
                <c:pt idx="249">
                  <c:v>4.5181558846027842E-2</c:v>
                </c:pt>
                <c:pt idx="250">
                  <c:v>4.5059835863867491E-2</c:v>
                </c:pt>
                <c:pt idx="251">
                  <c:v>4.4938537105260641E-2</c:v>
                </c:pt>
                <c:pt idx="252">
                  <c:v>4.4817663721090022E-2</c:v>
                </c:pt>
                <c:pt idx="253">
                  <c:v>4.4697216765382054E-2</c:v>
                </c:pt>
                <c:pt idx="254">
                  <c:v>4.4577197198202925E-2</c:v>
                </c:pt>
                <c:pt idx="255">
                  <c:v>4.4457605888477872E-2</c:v>
                </c:pt>
                <c:pt idx="256">
                  <c:v>4.4338443616735473E-2</c:v>
                </c:pt>
                <c:pt idx="257">
                  <c:v>4.4219711077778862E-2</c:v>
                </c:pt>
                <c:pt idx="258">
                  <c:v>4.4101408883286029E-2</c:v>
                </c:pt>
                <c:pt idx="259">
                  <c:v>4.3983537564340577E-2</c:v>
                </c:pt>
                <c:pt idx="260">
                  <c:v>4.3866097573895209E-2</c:v>
                </c:pt>
                <c:pt idx="261">
                  <c:v>4.3749089289169235E-2</c:v>
                </c:pt>
                <c:pt idx="262">
                  <c:v>4.3632513013982258E-2</c:v>
                </c:pt>
                <c:pt idx="263">
                  <c:v>4.3516368981025205E-2</c:v>
                </c:pt>
                <c:pt idx="264">
                  <c:v>4.3400657354070851E-2</c:v>
                </c:pt>
                <c:pt idx="265">
                  <c:v>4.3285378230124828E-2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F-4886-A882-3ABE7D78F030}"/>
            </c:ext>
          </c:extLst>
        </c:ser>
        <c:ser>
          <c:idx val="3"/>
          <c:order val="3"/>
          <c:tx>
            <c:strRef>
              <c:f>'V2'!$AK$12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'V2'!$AK$13:$AK$278</c:f>
              <c:numCache>
                <c:formatCode>0.000</c:formatCode>
                <c:ptCount val="266"/>
                <c:pt idx="0">
                  <c:v>1.11105963315226E-3</c:v>
                </c:pt>
                <c:pt idx="1">
                  <c:v>2.221810455783031E-3</c:v>
                </c:pt>
                <c:pt idx="2">
                  <c:v>3.3319439434096429E-3</c:v>
                </c:pt>
                <c:pt idx="3">
                  <c:v>4.4411521430708532E-3</c:v>
                </c:pt>
                <c:pt idx="4">
                  <c:v>5.5491279576988994E-3</c:v>
                </c:pt>
                <c:pt idx="5">
                  <c:v>6.6555654288303345E-3</c:v>
                </c:pt>
                <c:pt idx="6">
                  <c:v>7.7601600171105008E-3</c:v>
                </c:pt>
                <c:pt idx="7">
                  <c:v>8.8626088800538606E-3</c:v>
                </c:pt>
                <c:pt idx="8">
                  <c:v>9.9626111465313996E-3</c:v>
                </c:pt>
                <c:pt idx="9">
                  <c:v>1.1059868187467207E-2</c:v>
                </c:pt>
                <c:pt idx="10">
                  <c:v>1.2154083882238717E-2</c:v>
                </c:pt>
                <c:pt idx="11">
                  <c:v>1.3244964880289183E-2</c:v>
                </c:pt>
                <c:pt idx="12">
                  <c:v>1.4332220857476536E-2</c:v>
                </c:pt>
                <c:pt idx="13">
                  <c:v>1.5415564766699764E-2</c:v>
                </c:pt>
                <c:pt idx="14">
                  <c:v>1.6494713082362455E-2</c:v>
                </c:pt>
                <c:pt idx="15">
                  <c:v>1.7569386038252657E-2</c:v>
                </c:pt>
                <c:pt idx="16">
                  <c:v>1.8639307858439227E-2</c:v>
                </c:pt>
                <c:pt idx="17">
                  <c:v>1.9704206980806691E-2</c:v>
                </c:pt>
                <c:pt idx="18">
                  <c:v>2.0763816272873548E-2</c:v>
                </c:pt>
                <c:pt idx="19">
                  <c:v>2.181787323956284E-2</c:v>
                </c:pt>
                <c:pt idx="20">
                  <c:v>2.2866120222618205E-2</c:v>
                </c:pt>
                <c:pt idx="21">
                  <c:v>2.3908304591384009E-2</c:v>
                </c:pt>
                <c:pt idx="22">
                  <c:v>2.4944178924693756E-2</c:v>
                </c:pt>
                <c:pt idx="23">
                  <c:v>2.5973501183637233E-2</c:v>
                </c:pt>
                <c:pt idx="24">
                  <c:v>2.69960348750032E-2</c:v>
                </c:pt>
                <c:pt idx="25">
                  <c:v>2.8011549205221319E-2</c:v>
                </c:pt>
                <c:pt idx="26">
                  <c:v>2.9019819224653513E-2</c:v>
                </c:pt>
                <c:pt idx="27">
                  <c:v>3.0020625962111819E-2</c:v>
                </c:pt>
                <c:pt idx="28">
                  <c:v>3.1013756549506517E-2</c:v>
                </c:pt>
                <c:pt idx="29">
                  <c:v>3.1999004336554331E-2</c:v>
                </c:pt>
                <c:pt idx="30">
                  <c:v>3.2976168995502923E-2</c:v>
                </c:pt>
                <c:pt idx="31">
                  <c:v>3.3945056615853279E-2</c:v>
                </c:pt>
                <c:pt idx="32">
                  <c:v>3.4905479789086667E-2</c:v>
                </c:pt>
                <c:pt idx="33">
                  <c:v>3.5857257683427395E-2</c:v>
                </c:pt>
                <c:pt idx="34">
                  <c:v>3.6800216108696396E-2</c:v>
                </c:pt>
                <c:pt idx="35">
                  <c:v>3.7734187571333656E-2</c:v>
                </c:pt>
                <c:pt idx="36">
                  <c:v>3.8659011319689532E-2</c:v>
                </c:pt>
                <c:pt idx="37">
                  <c:v>3.9574533379706733E-2</c:v>
                </c:pt>
                <c:pt idx="38">
                  <c:v>4.0480606581134525E-2</c:v>
                </c:pt>
                <c:pt idx="39">
                  <c:v>4.1377090574436587E-2</c:v>
                </c:pt>
                <c:pt idx="40">
                  <c:v>4.2263851838571884E-2</c:v>
                </c:pt>
                <c:pt idx="41">
                  <c:v>4.3140763679845255E-2</c:v>
                </c:pt>
                <c:pt idx="42">
                  <c:v>4.4007706222040636E-2</c:v>
                </c:pt>
                <c:pt idx="43">
                  <c:v>4.4864566388064554E-2</c:v>
                </c:pt>
                <c:pt idx="44">
                  <c:v>4.5711237873341644E-2</c:v>
                </c:pt>
                <c:pt idx="45">
                  <c:v>4.654762111121627E-2</c:v>
                </c:pt>
                <c:pt idx="46">
                  <c:v>4.7373623230626036E-2</c:v>
                </c:pt>
                <c:pt idx="47">
                  <c:v>4.8189158006323077E-2</c:v>
                </c:pt>
                <c:pt idx="48">
                  <c:v>4.8994145801928304E-2</c:v>
                </c:pt>
                <c:pt idx="49">
                  <c:v>4.9788513506111715E-2</c:v>
                </c:pt>
                <c:pt idx="50">
                  <c:v>5.057219446219835E-2</c:v>
                </c:pt>
                <c:pt idx="51">
                  <c:v>5.1345128391505727E-2</c:v>
                </c:pt>
                <c:pt idx="52">
                  <c:v>5.2107261310722672E-2</c:v>
                </c:pt>
                <c:pt idx="53">
                  <c:v>5.2858545443643247E-2</c:v>
                </c:pt>
                <c:pt idx="54">
                  <c:v>5.3598939127571688E-2</c:v>
                </c:pt>
                <c:pt idx="55">
                  <c:v>5.4328406714715935E-2</c:v>
                </c:pt>
                <c:pt idx="56">
                  <c:v>5.5046918468887707E-2</c:v>
                </c:pt>
                <c:pt idx="57">
                  <c:v>5.5754450457826427E-2</c:v>
                </c:pt>
                <c:pt idx="58">
                  <c:v>5.6450984441463285E-2</c:v>
                </c:pt>
                <c:pt idx="59">
                  <c:v>5.7136507756439171E-2</c:v>
                </c:pt>
                <c:pt idx="60">
                  <c:v>5.7811013197187386E-2</c:v>
                </c:pt>
                <c:pt idx="61">
                  <c:v>5.847449889388822E-2</c:v>
                </c:pt>
                <c:pt idx="62">
                  <c:v>5.9126968187597918E-2</c:v>
                </c:pt>
                <c:pt idx="63">
                  <c:v>5.9768429502849552E-2</c:v>
                </c:pt>
                <c:pt idx="64">
                  <c:v>6.0398896218017327E-2</c:v>
                </c:pt>
                <c:pt idx="65">
                  <c:v>6.101838653372986E-2</c:v>
                </c:pt>
                <c:pt idx="66">
                  <c:v>6.1626923339610881E-2</c:v>
                </c:pt>
                <c:pt idx="67">
                  <c:v>6.2224534079618241E-2</c:v>
                </c:pt>
                <c:pt idx="68">
                  <c:v>6.2811250616245318E-2</c:v>
                </c:pt>
                <c:pt idx="69">
                  <c:v>6.3387109093839503E-2</c:v>
                </c:pt>
                <c:pt idx="70">
                  <c:v>6.3952149801285413E-2</c:v>
                </c:pt>
                <c:pt idx="71">
                  <c:v>6.4506417034290137E-2</c:v>
                </c:pt>
                <c:pt idx="72">
                  <c:v>6.5049958957501042E-2</c:v>
                </c:pt>
                <c:pt idx="73">
                  <c:v>6.5582827466674973E-2</c:v>
                </c:pt>
                <c:pt idx="74">
                  <c:v>6.6105078051110808E-2</c:v>
                </c:pt>
                <c:pt idx="75">
                  <c:v>6.6616769656545949E-2</c:v>
                </c:pt>
                <c:pt idx="76">
                  <c:v>6.7117964548709344E-2</c:v>
                </c:pt>
                <c:pt idx="77">
                  <c:v>6.7608728177712935E-2</c:v>
                </c:pt>
                <c:pt idx="78">
                  <c:v>6.8089129043454696E-2</c:v>
                </c:pt>
                <c:pt idx="79">
                  <c:v>6.8559238562196395E-2</c:v>
                </c:pt>
                <c:pt idx="80">
                  <c:v>6.9019130934469985E-2</c:v>
                </c:pt>
                <c:pt idx="81">
                  <c:v>6.9468883014457E-2</c:v>
                </c:pt>
                <c:pt idx="82">
                  <c:v>6.9908574180975971E-2</c:v>
                </c:pt>
                <c:pt idx="83">
                  <c:v>7.0338286210204007E-2</c:v>
                </c:pt>
                <c:pt idx="84">
                  <c:v>7.0758103150249163E-2</c:v>
                </c:pt>
                <c:pt idx="85">
                  <c:v>7.116811119768178E-2</c:v>
                </c:pt>
                <c:pt idx="86">
                  <c:v>7.1568398576124126E-2</c:v>
                </c:pt>
                <c:pt idx="87">
                  <c:v>7.1959055416988993E-2</c:v>
                </c:pt>
                <c:pt idx="88">
                  <c:v>7.2340173642450073E-2</c:v>
                </c:pt>
                <c:pt idx="89">
                  <c:v>7.2711846850718631E-2</c:v>
                </c:pt>
                <c:pt idx="90">
                  <c:v>7.3074170203692945E-2</c:v>
                </c:pt>
                <c:pt idx="91">
                  <c:v>7.3427240317040052E-2</c:v>
                </c:pt>
                <c:pt idx="92">
                  <c:v>7.3771155152761628E-2</c:v>
                </c:pt>
                <c:pt idx="93">
                  <c:v>7.4106013914288518E-2</c:v>
                </c:pt>
                <c:pt idx="94">
                  <c:v>7.443191694414264E-2</c:v>
                </c:pt>
                <c:pt idx="95">
                  <c:v>7.4748965624197319E-2</c:v>
                </c:pt>
                <c:pt idx="96">
                  <c:v>7.505726227856177E-2</c:v>
                </c:pt>
                <c:pt idx="97">
                  <c:v>7.5356910079109163E-2</c:v>
                </c:pt>
                <c:pt idx="98">
                  <c:v>7.5648012953661956E-2</c:v>
                </c:pt>
                <c:pt idx="99">
                  <c:v>7.5930675496843097E-2</c:v>
                </c:pt>
                <c:pt idx="100">
                  <c:v>7.6205002883596162E-2</c:v>
                </c:pt>
                <c:pt idx="101">
                  <c:v>7.6471100785373308E-2</c:v>
                </c:pt>
                <c:pt idx="102">
                  <c:v>7.6729075288984455E-2</c:v>
                </c:pt>
                <c:pt idx="103">
                  <c:v>7.6979032818097745E-2</c:v>
                </c:pt>
                <c:pt idx="104">
                  <c:v>7.7221080057376712E-2</c:v>
                </c:pt>
                <c:pt idx="105">
                  <c:v>7.7455323879235899E-2</c:v>
                </c:pt>
                <c:pt idx="106">
                  <c:v>7.7681871273192982E-2</c:v>
                </c:pt>
                <c:pt idx="107">
                  <c:v>7.790082927779321E-2</c:v>
                </c:pt>
                <c:pt idx="108">
                  <c:v>7.8112304915076786E-2</c:v>
                </c:pt>
                <c:pt idx="109">
                  <c:v>7.8316405127559732E-2</c:v>
                </c:pt>
                <c:pt idx="110">
                  <c:v>7.8513236717693446E-2</c:v>
                </c:pt>
                <c:pt idx="111">
                  <c:v>7.870290628976824E-2</c:v>
                </c:pt>
                <c:pt idx="112">
                  <c:v>7.8885520194221861E-2</c:v>
                </c:pt>
                <c:pt idx="113">
                  <c:v>7.90611844743139E-2</c:v>
                </c:pt>
                <c:pt idx="114">
                  <c:v>7.9230004815123614E-2</c:v>
                </c:pt>
                <c:pt idx="115">
                  <c:v>7.9392086494828457E-2</c:v>
                </c:pt>
                <c:pt idx="116">
                  <c:v>7.954753433821804E-2</c:v>
                </c:pt>
                <c:pt idx="117">
                  <c:v>7.9696452672397972E-2</c:v>
                </c:pt>
                <c:pt idx="118">
                  <c:v>7.98389452846366E-2</c:v>
                </c:pt>
                <c:pt idx="119">
                  <c:v>7.9975115382306228E-2</c:v>
                </c:pt>
                <c:pt idx="120">
                  <c:v>8.0105065554870861E-2</c:v>
                </c:pt>
                <c:pt idx="121">
                  <c:v>8.0228897737870453E-2</c:v>
                </c:pt>
                <c:pt idx="122">
                  <c:v>8.0346713178852419E-2</c:v>
                </c:pt>
                <c:pt idx="123">
                  <c:v>8.0458612405199872E-2</c:v>
                </c:pt>
                <c:pt idx="124">
                  <c:v>8.0564695193806601E-2</c:v>
                </c:pt>
                <c:pt idx="125">
                  <c:v>8.0665060542547601E-2</c:v>
                </c:pt>
                <c:pt idx="126">
                  <c:v>8.0759806643495261E-2</c:v>
                </c:pt>
                <c:pt idx="127">
                  <c:v>8.0849030857830489E-2</c:v>
                </c:pt>
                <c:pt idx="128">
                  <c:v>8.0932829692398095E-2</c:v>
                </c:pt>
                <c:pt idx="129">
                  <c:v>8.1011298777856913E-2</c:v>
                </c:pt>
                <c:pt idx="130">
                  <c:v>8.1084532848374344E-2</c:v>
                </c:pt>
                <c:pt idx="131">
                  <c:v>8.1152625722816382E-2</c:v>
                </c:pt>
                <c:pt idx="132">
                  <c:v>8.1215670287384023E-2</c:v>
                </c:pt>
                <c:pt idx="133">
                  <c:v>8.127375847964749E-2</c:v>
                </c:pt>
                <c:pt idx="134">
                  <c:v>8.1326981273930884E-2</c:v>
                </c:pt>
                <c:pt idx="135">
                  <c:v>8.1375428667999572E-2</c:v>
                </c:pt>
                <c:pt idx="136">
                  <c:v>8.1419189671004408E-2</c:v>
                </c:pt>
                <c:pt idx="137">
                  <c:v>8.1458352292636468E-2</c:v>
                </c:pt>
                <c:pt idx="138">
                  <c:v>8.1493003533447489E-2</c:v>
                </c:pt>
                <c:pt idx="139">
                  <c:v>8.1523229376292056E-2</c:v>
                </c:pt>
                <c:pt idx="140">
                  <c:v>8.1549114778847645E-2</c:v>
                </c:pt>
                <c:pt idx="141">
                  <c:v>8.1570743667170362E-2</c:v>
                </c:pt>
                <c:pt idx="142">
                  <c:v>8.1588198930244465E-2</c:v>
                </c:pt>
                <c:pt idx="143">
                  <c:v>8.1601562415485135E-2</c:v>
                </c:pt>
                <c:pt idx="144">
                  <c:v>8.1610914925154335E-2</c:v>
                </c:pt>
                <c:pt idx="145">
                  <c:v>8.1616336213650886E-2</c:v>
                </c:pt>
                <c:pt idx="146">
                  <c:v>8.161790498563698E-2</c:v>
                </c:pt>
                <c:pt idx="147">
                  <c:v>8.1615698894963618E-2</c:v>
                </c:pt>
                <c:pt idx="148">
                  <c:v>8.1609794544359099E-2</c:v>
                </c:pt>
                <c:pt idx="149">
                  <c:v>8.1600267485845313E-2</c:v>
                </c:pt>
                <c:pt idx="150">
                  <c:v>8.158719222184764E-2</c:v>
                </c:pt>
                <c:pt idx="151">
                  <c:v>8.1570642206964888E-2</c:v>
                </c:pt>
                <c:pt idx="152">
                  <c:v>8.1550689850367272E-2</c:v>
                </c:pt>
                <c:pt idx="153">
                  <c:v>8.1527406518790743E-2</c:v>
                </c:pt>
                <c:pt idx="154">
                  <c:v>8.1500862540097183E-2</c:v>
                </c:pt>
                <c:pt idx="155">
                  <c:v>8.1471127207371125E-2</c:v>
                </c:pt>
                <c:pt idx="156">
                  <c:v>8.1438268783524045E-2</c:v>
                </c:pt>
                <c:pt idx="157">
                  <c:v>8.1402354506378755E-2</c:v>
                </c:pt>
                <c:pt idx="158">
                  <c:v>8.1363450594206771E-2</c:v>
                </c:pt>
                <c:pt idx="159">
                  <c:v>8.1321622251692913E-2</c:v>
                </c:pt>
                <c:pt idx="160">
                  <c:v>8.1276933676301899E-2</c:v>
                </c:pt>
                <c:pt idx="161">
                  <c:v>8.1229448065022844E-2</c:v>
                </c:pt>
                <c:pt idx="162">
                  <c:v>8.1179227621467939E-2</c:v>
                </c:pt>
                <c:pt idx="163">
                  <c:v>8.1126333563303205E-2</c:v>
                </c:pt>
                <c:pt idx="164">
                  <c:v>8.1070826129989157E-2</c:v>
                </c:pt>
                <c:pt idx="165">
                  <c:v>8.1012764590810499E-2</c:v>
                </c:pt>
                <c:pt idx="166">
                  <c:v>8.0952207253174924E-2</c:v>
                </c:pt>
                <c:pt idx="167">
                  <c:v>8.0889211471161154E-2</c:v>
                </c:pt>
                <c:pt idx="168">
                  <c:v>8.0823833654297877E-2</c:v>
                </c:pt>
                <c:pt idx="169">
                  <c:v>8.0756129276555386E-2</c:v>
                </c:pt>
                <c:pt idx="170">
                  <c:v>8.0686152885533033E-2</c:v>
                </c:pt>
                <c:pt idx="171">
                  <c:v>8.0613958111825326E-2</c:v>
                </c:pt>
                <c:pt idx="172">
                  <c:v>8.0539597678551456E-2</c:v>
                </c:pt>
                <c:pt idx="173">
                  <c:v>8.0463123411032567E-2</c:v>
                </c:pt>
                <c:pt idx="174">
                  <c:v>8.0384586246602469E-2</c:v>
                </c:pt>
                <c:pt idx="175">
                  <c:v>8.0304036244537427E-2</c:v>
                </c:pt>
                <c:pt idx="176">
                  <c:v>8.0221522596092332E-2</c:v>
                </c:pt>
                <c:pt idx="177">
                  <c:v>8.0137093634629702E-2</c:v>
                </c:pt>
                <c:pt idx="178">
                  <c:v>8.0050796845829955E-2</c:v>
                </c:pt>
                <c:pt idx="179">
                  <c:v>7.9962678877970941E-2</c:v>
                </c:pt>
                <c:pt idx="180">
                  <c:v>7.9872785552265582E-2</c:v>
                </c:pt>
                <c:pt idx="181">
                  <c:v>7.9781161873247505E-2</c:v>
                </c:pt>
                <c:pt idx="182">
                  <c:v>7.9687852039193832E-2</c:v>
                </c:pt>
                <c:pt idx="183">
                  <c:v>7.9592899452576138E-2</c:v>
                </c:pt>
                <c:pt idx="184">
                  <c:v>7.9496346730530229E-2</c:v>
                </c:pt>
                <c:pt idx="185">
                  <c:v>7.939823571533583E-2</c:v>
                </c:pt>
                <c:pt idx="186">
                  <c:v>7.9298607484898406E-2</c:v>
                </c:pt>
                <c:pt idx="187">
                  <c:v>7.9197502363224898E-2</c:v>
                </c:pt>
                <c:pt idx="188">
                  <c:v>7.9094959930886111E-2</c:v>
                </c:pt>
                <c:pt idx="189">
                  <c:v>7.8991019035458812E-2</c:v>
                </c:pt>
                <c:pt idx="190">
                  <c:v>7.8885717801940786E-2</c:v>
                </c:pt>
                <c:pt idx="191">
                  <c:v>7.8779093643132639E-2</c:v>
                </c:pt>
                <c:pt idx="192">
                  <c:v>7.8671183269980308E-2</c:v>
                </c:pt>
                <c:pt idx="193">
                  <c:v>7.856202270187318E-2</c:v>
                </c:pt>
                <c:pt idx="194">
                  <c:v>7.8451647276891745E-2</c:v>
                </c:pt>
                <c:pt idx="195">
                  <c:v>7.8340091662000802E-2</c:v>
                </c:pt>
                <c:pt idx="196">
                  <c:v>7.8227389863182673E-2</c:v>
                </c:pt>
                <c:pt idx="197">
                  <c:v>7.8113575235506966E-2</c:v>
                </c:pt>
                <c:pt idx="198">
                  <c:v>7.7998680493132092E-2</c:v>
                </c:pt>
                <c:pt idx="199">
                  <c:v>7.7882737719235262E-2</c:v>
                </c:pt>
                <c:pt idx="200">
                  <c:v>7.7765778375867053E-2</c:v>
                </c:pt>
                <c:pt idx="201">
                  <c:v>7.7647833313727668E-2</c:v>
                </c:pt>
                <c:pt idx="202">
                  <c:v>7.7528932781861487E-2</c:v>
                </c:pt>
                <c:pt idx="203">
                  <c:v>7.7409106437267214E-2</c:v>
                </c:pt>
                <c:pt idx="204">
                  <c:v>7.7288383354421022E-2</c:v>
                </c:pt>
                <c:pt idx="205">
                  <c:v>7.7166792034710399E-2</c:v>
                </c:pt>
                <c:pt idx="206">
                  <c:v>7.704436041577635E-2</c:v>
                </c:pt>
                <c:pt idx="207">
                  <c:v>7.6921115880762031E-2</c:v>
                </c:pt>
                <c:pt idx="208">
                  <c:v>7.6797085267465801E-2</c:v>
                </c:pt>
                <c:pt idx="209">
                  <c:v>7.6672294877397476E-2</c:v>
                </c:pt>
                <c:pt idx="210">
                  <c:v>7.6546770484735807E-2</c:v>
                </c:pt>
                <c:pt idx="211">
                  <c:v>7.642053734518614E-2</c:v>
                </c:pt>
                <c:pt idx="212">
                  <c:v>7.6293620204736984E-2</c:v>
                </c:pt>
                <c:pt idx="213">
                  <c:v>7.6166043308314529E-2</c:v>
                </c:pt>
                <c:pt idx="214">
                  <c:v>7.6037830408334062E-2</c:v>
                </c:pt>
                <c:pt idx="215">
                  <c:v>7.590900477314759E-2</c:v>
                </c:pt>
                <c:pt idx="216">
                  <c:v>7.5779589195387256E-2</c:v>
                </c:pt>
                <c:pt idx="217">
                  <c:v>7.5649606000203387E-2</c:v>
                </c:pt>
                <c:pt idx="218">
                  <c:v>7.5519077053397513E-2</c:v>
                </c:pt>
                <c:pt idx="219">
                  <c:v>7.5388023769449489E-2</c:v>
                </c:pt>
                <c:pt idx="220">
                  <c:v>7.52564671194388E-2</c:v>
                </c:pt>
                <c:pt idx="221">
                  <c:v>7.5124427638859723E-2</c:v>
                </c:pt>
                <c:pt idx="222">
                  <c:v>7.4991925435330536E-2</c:v>
                </c:pt>
                <c:pt idx="223">
                  <c:v>7.4858980196196509E-2</c:v>
                </c:pt>
                <c:pt idx="224">
                  <c:v>7.4725611196027178E-2</c:v>
                </c:pt>
                <c:pt idx="225">
                  <c:v>7.4591837304007994E-2</c:v>
                </c:pt>
                <c:pt idx="226">
                  <c:v>7.4457676991226171E-2</c:v>
                </c:pt>
                <c:pt idx="227">
                  <c:v>7.4323148337851919E-2</c:v>
                </c:pt>
                <c:pt idx="228">
                  <c:v>7.418826904021486E-2</c:v>
                </c:pt>
                <c:pt idx="229">
                  <c:v>7.4053056417776042E-2</c:v>
                </c:pt>
                <c:pt idx="230">
                  <c:v>7.3917527419996631E-2</c:v>
                </c:pt>
                <c:pt idx="231">
                  <c:v>7.3781698633103202E-2</c:v>
                </c:pt>
                <c:pt idx="232">
                  <c:v>7.3645586286750706E-2</c:v>
                </c:pt>
                <c:pt idx="233">
                  <c:v>7.3509206260583562E-2</c:v>
                </c:pt>
                <c:pt idx="234">
                  <c:v>7.3372574090695766E-2</c:v>
                </c:pt>
                <c:pt idx="235">
                  <c:v>7.3235704975990384E-2</c:v>
                </c:pt>
                <c:pt idx="236">
                  <c:v>7.3098613784439687E-2</c:v>
                </c:pt>
                <c:pt idx="237">
                  <c:v>7.2961315059246579E-2</c:v>
                </c:pt>
                <c:pt idx="238">
                  <c:v>7.2823823024907766E-2</c:v>
                </c:pt>
                <c:pt idx="239">
                  <c:v>7.268615159318037E-2</c:v>
                </c:pt>
                <c:pt idx="240">
                  <c:v>7.2548314368952094E-2</c:v>
                </c:pt>
                <c:pt idx="241">
                  <c:v>7.2410324656016156E-2</c:v>
                </c:pt>
                <c:pt idx="242">
                  <c:v>7.2272195462752334E-2</c:v>
                </c:pt>
                <c:pt idx="243">
                  <c:v>7.2133939507714295E-2</c:v>
                </c:pt>
                <c:pt idx="244">
                  <c:v>7.1995569225124956E-2</c:v>
                </c:pt>
                <c:pt idx="245">
                  <c:v>7.1857096770280363E-2</c:v>
                </c:pt>
                <c:pt idx="246">
                  <c:v>7.1718534024863459E-2</c:v>
                </c:pt>
                <c:pt idx="247">
                  <c:v>7.1579892602168543E-2</c:v>
                </c:pt>
                <c:pt idx="248">
                  <c:v>7.1441183852237494E-2</c:v>
                </c:pt>
                <c:pt idx="249">
                  <c:v>7.1302418866909023E-2</c:v>
                </c:pt>
                <c:pt idx="250">
                  <c:v>7.1163608484781621E-2</c:v>
                </c:pt>
                <c:pt idx="251">
                  <c:v>7.1024763296091767E-2</c:v>
                </c:pt>
                <c:pt idx="252">
                  <c:v>7.0885893647507997E-2</c:v>
                </c:pt>
                <c:pt idx="253">
                  <c:v>7.0747009646842302E-2</c:v>
                </c:pt>
                <c:pt idx="254">
                  <c:v>7.0608121167679533E-2</c:v>
                </c:pt>
                <c:pt idx="255">
                  <c:v>7.0469237853926392E-2</c:v>
                </c:pt>
                <c:pt idx="256">
                  <c:v>7.0330369124280687E-2</c:v>
                </c:pt>
                <c:pt idx="257">
                  <c:v>7.0191524176622069E-2</c:v>
                </c:pt>
                <c:pt idx="258">
                  <c:v>7.0052711992325448E-2</c:v>
                </c:pt>
                <c:pt idx="259">
                  <c:v>6.9913941340497943E-2</c:v>
                </c:pt>
                <c:pt idx="260">
                  <c:v>6.9775220782140795E-2</c:v>
                </c:pt>
                <c:pt idx="261">
                  <c:v>6.963655867423689E-2</c:v>
                </c:pt>
                <c:pt idx="262">
                  <c:v>6.9497963173765318E-2</c:v>
                </c:pt>
                <c:pt idx="263">
                  <c:v>6.9359442241643907E-2</c:v>
                </c:pt>
                <c:pt idx="264">
                  <c:v>6.9221003646600859E-2</c:v>
                </c:pt>
                <c:pt idx="265">
                  <c:v>6.9082654968976254E-2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F-4886-A882-3ABE7D78F030}"/>
            </c:ext>
          </c:extLst>
        </c:ser>
        <c:ser>
          <c:idx val="4"/>
          <c:order val="4"/>
          <c:tx>
            <c:strRef>
              <c:f>'V2'!$AL$12</c:f>
              <c:strCache>
                <c:ptCount val="1"/>
                <c:pt idx="0">
                  <c:v>2500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'V2'!$AL$13:$AL$278</c:f>
              <c:numCache>
                <c:formatCode>0.000</c:formatCode>
                <c:ptCount val="266"/>
                <c:pt idx="0">
                  <c:v>1.1110781646679372E-3</c:v>
                </c:pt>
                <c:pt idx="1">
                  <c:v>2.2219586741208568E-3</c:v>
                </c:pt>
                <c:pt idx="2">
                  <c:v>3.3324439903325972E-3</c:v>
                </c:pt>
                <c:pt idx="3">
                  <c:v>4.4423368095088261E-3</c:v>
                </c:pt>
                <c:pt idx="4">
                  <c:v>5.5514401788385667E-3</c:v>
                </c:pt>
                <c:pt idx="5">
                  <c:v>6.6595576128093406E-3</c:v>
                </c:pt>
                <c:pt idx="6">
                  <c:v>7.7664932089418796E-3</c:v>
                </c:pt>
                <c:pt idx="7">
                  <c:v>8.8720517628016662E-3</c:v>
                </c:pt>
                <c:pt idx="8">
                  <c:v>9.9760388821460173E-3</c:v>
                </c:pt>
                <c:pt idx="9">
                  <c:v>1.1078261100067327E-2</c:v>
                </c:pt>
                <c:pt idx="10">
                  <c:v>1.2178525986995148E-2</c:v>
                </c:pt>
                <c:pt idx="11">
                  <c:v>1.3276642261422269E-2</c:v>
                </c:pt>
                <c:pt idx="12">
                  <c:v>1.4372419899222529E-2</c:v>
                </c:pt>
                <c:pt idx="13">
                  <c:v>1.5465670241431135E-2</c:v>
                </c:pt>
                <c:pt idx="14">
                  <c:v>1.655620610036148E-2</c:v>
                </c:pt>
                <c:pt idx="15">
                  <c:v>1.7643841863935774E-2</c:v>
                </c:pt>
                <c:pt idx="16">
                  <c:v>1.8728393598110651E-2</c:v>
                </c:pt>
                <c:pt idx="17">
                  <c:v>1.9809679147282752E-2</c:v>
                </c:pt>
                <c:pt idx="18">
                  <c:v>2.0887518232563389E-2</c:v>
                </c:pt>
                <c:pt idx="19">
                  <c:v>2.1961732547815818E-2</c:v>
                </c:pt>
                <c:pt idx="20">
                  <c:v>2.3032145853353017E-2</c:v>
                </c:pt>
                <c:pt idx="21">
                  <c:v>2.4098584067198725E-2</c:v>
                </c:pt>
                <c:pt idx="22">
                  <c:v>2.516087535381923E-2</c:v>
                </c:pt>
                <c:pt idx="23">
                  <c:v>2.6218850210238391E-2</c:v>
                </c:pt>
                <c:pt idx="24">
                  <c:v>2.7272341549453554E-2</c:v>
                </c:pt>
                <c:pt idx="25">
                  <c:v>2.8321184781075242E-2</c:v>
                </c:pt>
                <c:pt idx="26">
                  <c:v>2.9365217889118809E-2</c:v>
                </c:pt>
                <c:pt idx="27">
                  <c:v>3.0404281506881691E-2</c:v>
                </c:pt>
                <c:pt idx="28">
                  <c:v>3.1438218988845329E-2</c:v>
                </c:pt>
                <c:pt idx="29">
                  <c:v>3.246687647954654E-2</c:v>
                </c:pt>
                <c:pt idx="30">
                  <c:v>3.3490102979368414E-2</c:v>
                </c:pt>
                <c:pt idx="31">
                  <c:v>3.4507750407206744E-2</c:v>
                </c:pt>
                <c:pt idx="32">
                  <c:v>3.5519673659973383E-2</c:v>
                </c:pt>
                <c:pt idx="33">
                  <c:v>3.6525730668903536E-2</c:v>
                </c:pt>
                <c:pt idx="34">
                  <c:v>3.7525782452639773E-2</c:v>
                </c:pt>
                <c:pt idx="35">
                  <c:v>3.8519693167070927E-2</c:v>
                </c:pt>
                <c:pt idx="36">
                  <c:v>3.9507330151909513E-2</c:v>
                </c:pt>
                <c:pt idx="37">
                  <c:v>4.0488563973996992E-2</c:v>
                </c:pt>
                <c:pt idx="38">
                  <c:v>4.1463268467331338E-2</c:v>
                </c:pt>
                <c:pt idx="39">
                  <c:v>4.2431320769816615E-2</c:v>
                </c:pt>
                <c:pt idx="40">
                  <c:v>4.3392601356739814E-2</c:v>
                </c:pt>
                <c:pt idx="41">
                  <c:v>4.434699407098492E-2</c:v>
                </c:pt>
                <c:pt idx="42">
                  <c:v>4.5294386149999109E-2</c:v>
                </c:pt>
                <c:pt idx="43">
                  <c:v>4.6234668249531256E-2</c:v>
                </c:pt>
                <c:pt idx="44">
                  <c:v>4.7167734464167069E-2</c:v>
                </c:pt>
                <c:pt idx="45">
                  <c:v>4.809348234469011E-2</c:v>
                </c:pt>
                <c:pt idx="46">
                  <c:v>4.9011812912302125E-2</c:v>
                </c:pt>
                <c:pt idx="47">
                  <c:v>4.992263066974046E-2</c:v>
                </c:pt>
                <c:pt idx="48">
                  <c:v>5.0825843609334356E-2</c:v>
                </c:pt>
                <c:pt idx="49">
                  <c:v>5.1721363218045741E-2</c:v>
                </c:pt>
                <c:pt idx="50">
                  <c:v>5.2609104479543971E-2</c:v>
                </c:pt>
                <c:pt idx="51">
                  <c:v>5.3488985873367353E-2</c:v>
                </c:pt>
                <c:pt idx="52">
                  <c:v>5.4360929371227711E-2</c:v>
                </c:pt>
                <c:pt idx="53">
                  <c:v>5.5224860430517345E-2</c:v>
                </c:pt>
                <c:pt idx="54">
                  <c:v>5.6080707985080698E-2</c:v>
                </c:pt>
                <c:pt idx="55">
                  <c:v>5.6928404433315725E-2</c:v>
                </c:pt>
                <c:pt idx="56">
                  <c:v>5.7767885623672792E-2</c:v>
                </c:pt>
                <c:pt idx="57">
                  <c:v>5.8599090837620695E-2</c:v>
                </c:pt>
                <c:pt idx="58">
                  <c:v>5.9421962770152333E-2</c:v>
                </c:pt>
                <c:pt idx="59">
                  <c:v>6.0236447507903829E-2</c:v>
                </c:pt>
                <c:pt idx="60">
                  <c:v>6.1042494504963053E-2</c:v>
                </c:pt>
                <c:pt idx="61">
                  <c:v>6.1840056556444922E-2</c:v>
                </c:pt>
                <c:pt idx="62">
                  <c:v>6.2629089769912438E-2</c:v>
                </c:pt>
                <c:pt idx="63">
                  <c:v>6.3409553534723107E-2</c:v>
                </c:pt>
                <c:pt idx="64">
                  <c:v>6.4181410489382154E-2</c:v>
                </c:pt>
                <c:pt idx="65">
                  <c:v>6.4944626486984014E-2</c:v>
                </c:pt>
                <c:pt idx="66">
                  <c:v>6.5699170558824682E-2</c:v>
                </c:pt>
                <c:pt idx="67">
                  <c:v>6.644501487626793E-2</c:v>
                </c:pt>
                <c:pt idx="68">
                  <c:v>6.7182134710948319E-2</c:v>
                </c:pt>
                <c:pt idx="69">
                  <c:v>6.7910508393394922E-2</c:v>
                </c:pt>
                <c:pt idx="70">
                  <c:v>6.8630117270158345E-2</c:v>
                </c:pt>
                <c:pt idx="71">
                  <c:v>6.9340945659524991E-2</c:v>
                </c:pt>
                <c:pt idx="72">
                  <c:v>7.0042980805900643E-2</c:v>
                </c:pt>
                <c:pt idx="73">
                  <c:v>7.0736212832946552E-2</c:v>
                </c:pt>
                <c:pt idx="74">
                  <c:v>7.1420634695548962E-2</c:v>
                </c:pt>
                <c:pt idx="75">
                  <c:v>7.2096242130703717E-2</c:v>
                </c:pt>
                <c:pt idx="76">
                  <c:v>7.2763033607395902E-2</c:v>
                </c:pt>
                <c:pt idx="77">
                  <c:v>7.3421010275553741E-2</c:v>
                </c:pt>
                <c:pt idx="78">
                  <c:v>7.4070175914154865E-2</c:v>
                </c:pt>
                <c:pt idx="79">
                  <c:v>7.4710536878561939E-2</c:v>
                </c:pt>
                <c:pt idx="80">
                  <c:v>7.5342102047163323E-2</c:v>
                </c:pt>
                <c:pt idx="81">
                  <c:v>7.5964882767393022E-2</c:v>
                </c:pt>
                <c:pt idx="82">
                  <c:v>7.6578892801202642E-2</c:v>
                </c:pt>
                <c:pt idx="83">
                  <c:v>7.718414827005704E-2</c:v>
                </c:pt>
                <c:pt idx="84">
                  <c:v>7.7780667599522804E-2</c:v>
                </c:pt>
                <c:pt idx="85">
                  <c:v>7.836847146351815E-2</c:v>
                </c:pt>
                <c:pt idx="86">
                  <c:v>7.894758272829E-2</c:v>
                </c:pt>
                <c:pt idx="87">
                  <c:v>7.9518026396183314E-2</c:v>
                </c:pt>
                <c:pt idx="88">
                  <c:v>8.0079829549264903E-2</c:v>
                </c:pt>
                <c:pt idx="89">
                  <c:v>8.0633021292862692E-2</c:v>
                </c:pt>
                <c:pt idx="90">
                  <c:v>8.1177632699079447E-2</c:v>
                </c:pt>
                <c:pt idx="91">
                  <c:v>8.1713696750338044E-2</c:v>
                </c:pt>
                <c:pt idx="92">
                  <c:v>8.2241248283012811E-2</c:v>
                </c:pt>
                <c:pt idx="93">
                  <c:v>8.2760323931200627E-2</c:v>
                </c:pt>
                <c:pt idx="94">
                  <c:v>8.3270962070682436E-2</c:v>
                </c:pt>
                <c:pt idx="95">
                  <c:v>8.377320276312436E-2</c:v>
                </c:pt>
                <c:pt idx="96">
                  <c:v>8.4267087700565568E-2</c:v>
                </c:pt>
                <c:pt idx="97">
                  <c:v>8.4752660150237691E-2</c:v>
                </c:pt>
                <c:pt idx="98">
                  <c:v>8.5229964899759175E-2</c:v>
                </c:pt>
                <c:pt idx="99">
                  <c:v>8.5699048202745501E-2</c:v>
                </c:pt>
                <c:pt idx="100">
                  <c:v>8.6159957724874045E-2</c:v>
                </c:pt>
                <c:pt idx="101">
                  <c:v>8.6612742490441472E-2</c:v>
                </c:pt>
                <c:pt idx="102">
                  <c:v>8.705745282944774E-2</c:v>
                </c:pt>
                <c:pt idx="103">
                  <c:v>8.7494140325241221E-2</c:v>
                </c:pt>
                <c:pt idx="104">
                  <c:v>8.7922857762755005E-2</c:v>
                </c:pt>
                <c:pt idx="105">
                  <c:v>8.8343659077364939E-2</c:v>
                </c:pt>
                <c:pt idx="106">
                  <c:v>8.875659930439625E-2</c:v>
                </c:pt>
                <c:pt idx="107">
                  <c:v>8.9161734529305092E-2</c:v>
                </c:pt>
                <c:pt idx="108">
                  <c:v>8.9559121838558617E-2</c:v>
                </c:pt>
                <c:pt idx="109">
                  <c:v>8.9948819271236227E-2</c:v>
                </c:pt>
                <c:pt idx="110">
                  <c:v>9.0330885771372313E-2</c:v>
                </c:pt>
                <c:pt idx="111">
                  <c:v>9.0705381141059527E-2</c:v>
                </c:pt>
                <c:pt idx="112">
                  <c:v>9.1072365994329885E-2</c:v>
                </c:pt>
                <c:pt idx="113">
                  <c:v>9.1431901711829355E-2</c:v>
                </c:pt>
                <c:pt idx="114">
                  <c:v>9.1784050396300082E-2</c:v>
                </c:pt>
                <c:pt idx="115">
                  <c:v>9.2128874828882948E-2</c:v>
                </c:pt>
                <c:pt idx="116">
                  <c:v>9.2466438426251796E-2</c:v>
                </c:pt>
                <c:pt idx="117">
                  <c:v>9.2796805198588753E-2</c:v>
                </c:pt>
                <c:pt idx="118">
                  <c:v>9.3120039708409791E-2</c:v>
                </c:pt>
                <c:pt idx="119">
                  <c:v>9.3436207030246646E-2</c:v>
                </c:pt>
                <c:pt idx="120">
                  <c:v>9.3745372711192154E-2</c:v>
                </c:pt>
                <c:pt idx="121">
                  <c:v>9.4047602732312538E-2</c:v>
                </c:pt>
                <c:pt idx="122">
                  <c:v>9.4342963470931004E-2</c:v>
                </c:pt>
                <c:pt idx="123">
                  <c:v>9.4631521663784288E-2</c:v>
                </c:pt>
                <c:pt idx="124">
                  <c:v>9.4913344371053865E-2</c:v>
                </c:pt>
                <c:pt idx="125">
                  <c:v>9.5188498941271973E-2</c:v>
                </c:pt>
                <c:pt idx="126">
                  <c:v>9.5457052977101331E-2</c:v>
                </c:pt>
                <c:pt idx="127">
                  <c:v>9.5719074301987464E-2</c:v>
                </c:pt>
                <c:pt idx="128">
                  <c:v>9.5974630927680299E-2</c:v>
                </c:pt>
                <c:pt idx="129">
                  <c:v>9.6223791022622185E-2</c:v>
                </c:pt>
                <c:pt idx="130">
                  <c:v>9.6466622881197575E-2</c:v>
                </c:pt>
                <c:pt idx="131">
                  <c:v>9.6703194893839647E-2</c:v>
                </c:pt>
                <c:pt idx="132">
                  <c:v>9.6933575517987869E-2</c:v>
                </c:pt>
                <c:pt idx="133">
                  <c:v>9.7157833249889941E-2</c:v>
                </c:pt>
                <c:pt idx="134">
                  <c:v>9.7376036597241505E-2</c:v>
                </c:pt>
                <c:pt idx="135">
                  <c:v>9.7588254052655032E-2</c:v>
                </c:pt>
                <c:pt idx="136">
                  <c:v>9.7794554067950373E-2</c:v>
                </c:pt>
                <c:pt idx="137">
                  <c:v>9.799500502925769E-2</c:v>
                </c:pt>
                <c:pt idx="138">
                  <c:v>9.8189675232923546E-2</c:v>
                </c:pt>
                <c:pt idx="139">
                  <c:v>9.8378632862210283E-2</c:v>
                </c:pt>
                <c:pt idx="140">
                  <c:v>9.8561945964778644E-2</c:v>
                </c:pt>
                <c:pt idx="141">
                  <c:v>9.873968243094268E-2</c:v>
                </c:pt>
                <c:pt idx="142">
                  <c:v>9.8911909972686243E-2</c:v>
                </c:pt>
                <c:pt idx="143">
                  <c:v>9.9078696103429842E-2</c:v>
                </c:pt>
                <c:pt idx="144">
                  <c:v>9.9240108118535592E-2</c:v>
                </c:pt>
                <c:pt idx="145">
                  <c:v>9.93962130765393E-2</c:v>
                </c:pt>
                <c:pt idx="146">
                  <c:v>9.9547077781096713E-2</c:v>
                </c:pt>
                <c:pt idx="147">
                  <c:v>9.9692768763632159E-2</c:v>
                </c:pt>
                <c:pt idx="148">
                  <c:v>9.9833352266676584E-2</c:v>
                </c:pt>
                <c:pt idx="149">
                  <c:v>9.9968894227882785E-2</c:v>
                </c:pt>
                <c:pt idx="150">
                  <c:v>0.10009946026470437</c:v>
                </c:pt>
                <c:pt idx="151">
                  <c:v>0.10022511565972614</c:v>
                </c:pt>
                <c:pt idx="152">
                  <c:v>0.10034592534663207</c:v>
                </c:pt>
                <c:pt idx="153">
                  <c:v>0.10046195389679875</c:v>
                </c:pt>
                <c:pt idx="154">
                  <c:v>0.10057326550649986</c:v>
                </c:pt>
                <c:pt idx="155">
                  <c:v>0.10067992398470949</c:v>
                </c:pt>
                <c:pt idx="156">
                  <c:v>0.10078199274149059</c:v>
                </c:pt>
                <c:pt idx="157">
                  <c:v>0.10087953477695516</c:v>
                </c:pt>
                <c:pt idx="158">
                  <c:v>0.10097261267078345</c:v>
                </c:pt>
                <c:pt idx="159">
                  <c:v>0.10106128857228812</c:v>
                </c:pt>
                <c:pt idx="160">
                  <c:v>0.10114562419101132</c:v>
                </c:pt>
                <c:pt idx="161">
                  <c:v>0.10122568078784049</c:v>
                </c:pt>
                <c:pt idx="162">
                  <c:v>0.10130151916663035</c:v>
                </c:pt>
                <c:pt idx="163">
                  <c:v>0.10137319966631843</c:v>
                </c:pt>
                <c:pt idx="164">
                  <c:v>0.10144078215352048</c:v>
                </c:pt>
                <c:pt idx="165">
                  <c:v>0.1015043260155938</c:v>
                </c:pt>
                <c:pt idx="166">
                  <c:v>0.10156389015415516</c:v>
                </c:pt>
                <c:pt idx="167">
                  <c:v>0.10161953297904167</c:v>
                </c:pt>
                <c:pt idx="168">
                  <c:v>0.10167131240270087</c:v>
                </c:pt>
                <c:pt idx="169">
                  <c:v>0.10171928583499948</c:v>
                </c:pt>
                <c:pt idx="170">
                  <c:v>0.1017635101784372</c:v>
                </c:pt>
                <c:pt idx="171">
                  <c:v>0.10180404182375444</c:v>
                </c:pt>
                <c:pt idx="172">
                  <c:v>0.10184093664592221</c:v>
                </c:pt>
                <c:pt idx="173">
                  <c:v>0.10187425000050208</c:v>
                </c:pt>
                <c:pt idx="174">
                  <c:v>0.1019040367203651</c:v>
                </c:pt>
                <c:pt idx="175">
                  <c:v>0.10193035111275849</c:v>
                </c:pt>
                <c:pt idx="176">
                  <c:v>0.10195324695670888</c:v>
                </c:pt>
                <c:pt idx="177">
                  <c:v>0.10197277750075091</c:v>
                </c:pt>
                <c:pt idx="178">
                  <c:v>0.10198899546097123</c:v>
                </c:pt>
                <c:pt idx="179">
                  <c:v>0.10200195301935643</c:v>
                </c:pt>
                <c:pt idx="180">
                  <c:v>0.10201170182243541</c:v>
                </c:pt>
                <c:pt idx="181">
                  <c:v>0.10201829298020543</c:v>
                </c:pt>
                <c:pt idx="182">
                  <c:v>0.10202177706533241</c:v>
                </c:pt>
                <c:pt idx="183">
                  <c:v>0.10202220411261517</c:v>
                </c:pt>
                <c:pt idx="184">
                  <c:v>0.10201962361870454</c:v>
                </c:pt>
                <c:pt idx="185">
                  <c:v>0.1020140845420678</c:v>
                </c:pt>
                <c:pt idx="186">
                  <c:v>0.10200563530318921</c:v>
                </c:pt>
                <c:pt idx="187">
                  <c:v>0.10199432378499801</c:v>
                </c:pt>
                <c:pt idx="188">
                  <c:v>0.10198019733351442</c:v>
                </c:pt>
                <c:pt idx="189">
                  <c:v>0.10196330275870612</c:v>
                </c:pt>
                <c:pt idx="190">
                  <c:v>0.10194368633554589</c:v>
                </c:pt>
                <c:pt idx="191">
                  <c:v>0.10192139380526273</c:v>
                </c:pt>
                <c:pt idx="192">
                  <c:v>0.10189647037677853</c:v>
                </c:pt>
                <c:pt idx="193">
                  <c:v>0.10186896072832219</c:v>
                </c:pt>
                <c:pt idx="194">
                  <c:v>0.10183890900921388</c:v>
                </c:pt>
                <c:pt idx="195">
                  <c:v>0.10180635884181213</c:v>
                </c:pt>
                <c:pt idx="196">
                  <c:v>0.10177135332361607</c:v>
                </c:pt>
                <c:pt idx="197">
                  <c:v>0.10173393502951636</c:v>
                </c:pt>
                <c:pt idx="198">
                  <c:v>0.10169414601418769</c:v>
                </c:pt>
                <c:pt idx="199">
                  <c:v>0.10165202781461614</c:v>
                </c:pt>
                <c:pt idx="200">
                  <c:v>0.10160762145275526</c:v>
                </c:pt>
                <c:pt idx="201">
                  <c:v>0.10156096743830409</c:v>
                </c:pt>
                <c:pt idx="202">
                  <c:v>0.10151210577160166</c:v>
                </c:pt>
                <c:pt idx="203">
                  <c:v>0.10146107594663117</c:v>
                </c:pt>
                <c:pt idx="204">
                  <c:v>0.10140791695412903</c:v>
                </c:pt>
                <c:pt idx="205">
                  <c:v>0.10135266728479234</c:v>
                </c:pt>
                <c:pt idx="206">
                  <c:v>0.10129536493258001</c:v>
                </c:pt>
                <c:pt idx="207">
                  <c:v>0.10123604739810185</c:v>
                </c:pt>
                <c:pt idx="208">
                  <c:v>0.10117475169209043</c:v>
                </c:pt>
                <c:pt idx="209">
                  <c:v>0.10111151433895146</c:v>
                </c:pt>
                <c:pt idx="210">
                  <c:v>0.10104637138038676</c:v>
                </c:pt>
                <c:pt idx="211">
                  <c:v>0.10097935837908641</c:v>
                </c:pt>
                <c:pt idx="212">
                  <c:v>0.10091051042248449</c:v>
                </c:pt>
                <c:pt idx="213">
                  <c:v>0.10083986212657471</c:v>
                </c:pt>
                <c:pt idx="214">
                  <c:v>0.10076744763978165</c:v>
                </c:pt>
                <c:pt idx="215">
                  <c:v>0.10069330064688319</c:v>
                </c:pt>
                <c:pt idx="216">
                  <c:v>0.1006174543729805</c:v>
                </c:pt>
                <c:pt idx="217">
                  <c:v>0.1005399415875117</c:v>
                </c:pt>
                <c:pt idx="218">
                  <c:v>0.10046079460830565</c:v>
                </c:pt>
                <c:pt idx="219">
                  <c:v>0.10038004530567179</c:v>
                </c:pt>
                <c:pt idx="220">
                  <c:v>0.10029772510652352</c:v>
                </c:pt>
                <c:pt idx="221">
                  <c:v>0.10021386499853084</c:v>
                </c:pt>
                <c:pt idx="222">
                  <c:v>0.10012849553429974</c:v>
                </c:pt>
                <c:pt idx="223">
                  <c:v>0.10004164683557505</c:v>
                </c:pt>
                <c:pt idx="224">
                  <c:v>9.9953348597463632E-2</c:v>
                </c:pt>
                <c:pt idx="225">
                  <c:v>9.986363009267564E-2</c:v>
                </c:pt>
                <c:pt idx="226">
                  <c:v>9.9772520175780019E-2</c:v>
                </c:pt>
                <c:pt idx="227">
                  <c:v>9.9680047287472942E-2</c:v>
                </c:pt>
                <c:pt idx="228">
                  <c:v>9.9586239458855752E-2</c:v>
                </c:pt>
                <c:pt idx="229">
                  <c:v>9.9491124315720172E-2</c:v>
                </c:pt>
                <c:pt idx="230">
                  <c:v>9.9394729082838543E-2</c:v>
                </c:pt>
                <c:pt idx="231">
                  <c:v>9.9297080588256911E-2</c:v>
                </c:pt>
                <c:pt idx="232">
                  <c:v>9.9198205267588588E-2</c:v>
                </c:pt>
                <c:pt idx="233">
                  <c:v>9.9098129168306348E-2</c:v>
                </c:pt>
                <c:pt idx="234">
                  <c:v>9.8996877954031115E-2</c:v>
                </c:pt>
                <c:pt idx="235">
                  <c:v>9.8894476908815421E-2</c:v>
                </c:pt>
                <c:pt idx="236">
                  <c:v>9.8790950941419764E-2</c:v>
                </c:pt>
                <c:pt idx="237">
                  <c:v>9.8686324589579821E-2</c:v>
                </c:pt>
                <c:pt idx="238">
                  <c:v>9.8580622024263501E-2</c:v>
                </c:pt>
                <c:pt idx="239">
                  <c:v>9.8473867053915781E-2</c:v>
                </c:pt>
                <c:pt idx="240">
                  <c:v>9.836608312869001E-2</c:v>
                </c:pt>
                <c:pt idx="241">
                  <c:v>9.8257293344663932E-2</c:v>
                </c:pt>
                <c:pt idx="242">
                  <c:v>9.8147520448039677E-2</c:v>
                </c:pt>
                <c:pt idx="243">
                  <c:v>9.8036786839325915E-2</c:v>
                </c:pt>
                <c:pt idx="244">
                  <c:v>9.7925114577500999E-2</c:v>
                </c:pt>
                <c:pt idx="245">
                  <c:v>9.7812525384156065E-2</c:v>
                </c:pt>
                <c:pt idx="246">
                  <c:v>9.769904064761703E-2</c:v>
                </c:pt>
                <c:pt idx="247">
                  <c:v>9.7584681427044184E-2</c:v>
                </c:pt>
                <c:pt idx="248">
                  <c:v>9.7469468456508515E-2</c:v>
                </c:pt>
                <c:pt idx="249">
                  <c:v>9.7353422149044064E-2</c:v>
                </c:pt>
                <c:pt idx="250">
                  <c:v>9.7236562600674703E-2</c:v>
                </c:pt>
                <c:pt idx="251">
                  <c:v>9.7118909594415492E-2</c:v>
                </c:pt>
                <c:pt idx="252">
                  <c:v>9.700048260424686E-2</c:v>
                </c:pt>
                <c:pt idx="253">
                  <c:v>9.6881300799061737E-2</c:v>
                </c:pt>
                <c:pt idx="254">
                  <c:v>9.6761383046584021E-2</c:v>
                </c:pt>
                <c:pt idx="255">
                  <c:v>9.6640747917258657E-2</c:v>
                </c:pt>
                <c:pt idx="256">
                  <c:v>9.6519413688111982E-2</c:v>
                </c:pt>
                <c:pt idx="257">
                  <c:v>9.6397398346582119E-2</c:v>
                </c:pt>
                <c:pt idx="258">
                  <c:v>9.6274719594318853E-2</c:v>
                </c:pt>
                <c:pt idx="259">
                  <c:v>9.6151394850952532E-2</c:v>
                </c:pt>
                <c:pt idx="260">
                  <c:v>9.6027441257831386E-2</c:v>
                </c:pt>
                <c:pt idx="261">
                  <c:v>9.5902875681726799E-2</c:v>
                </c:pt>
                <c:pt idx="262">
                  <c:v>9.5777714718506698E-2</c:v>
                </c:pt>
                <c:pt idx="263">
                  <c:v>9.5651974696775624E-2</c:v>
                </c:pt>
                <c:pt idx="264">
                  <c:v>9.5525671681482682E-2</c:v>
                </c:pt>
                <c:pt idx="265">
                  <c:v>9.5398821477495385E-2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F-4886-A882-3ABE7D78F030}"/>
            </c:ext>
          </c:extLst>
        </c:ser>
        <c:ser>
          <c:idx val="5"/>
          <c:order val="5"/>
          <c:tx>
            <c:strRef>
              <c:f>'V2'!$AM$12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'V2'!$AM$13:$AM$278</c:f>
              <c:numCache>
                <c:formatCode>0.000</c:formatCode>
                <c:ptCount val="266"/>
                <c:pt idx="0">
                  <c:v>1.1110882314293885E-3</c:v>
                </c:pt>
                <c:pt idx="1">
                  <c:v>2.2220391960749088E-3</c:v>
                </c:pt>
                <c:pt idx="2">
                  <c:v>3.3327156836745466E-3</c:v>
                </c:pt>
                <c:pt idx="3">
                  <c:v>4.4429805969611307E-3</c:v>
                </c:pt>
                <c:pt idx="4">
                  <c:v>5.5526970080376527E-3</c:v>
                </c:pt>
                <c:pt idx="5">
                  <c:v>6.6617282146062802E-3</c:v>
                </c:pt>
                <c:pt idx="6">
                  <c:v>7.7699377960026147E-3</c:v>
                </c:pt>
                <c:pt idx="7">
                  <c:v>8.8771896689870608E-3</c:v>
                </c:pt>
                <c:pt idx="8">
                  <c:v>9.9833481432455018E-3</c:v>
                </c:pt>
                <c:pt idx="9">
                  <c:v>1.1088277976551947E-2</c:v>
                </c:pt>
                <c:pt idx="10">
                  <c:v>1.2191844429546283E-2</c:v>
                </c:pt>
                <c:pt idx="11">
                  <c:v>1.3293913320080791E-2</c:v>
                </c:pt>
                <c:pt idx="12">
                  <c:v>1.4394351077089858E-2</c:v>
                </c:pt>
                <c:pt idx="13">
                  <c:v>1.5493024793937823E-2</c:v>
                </c:pt>
                <c:pt idx="14">
                  <c:v>1.658980228120081E-2</c:v>
                </c:pt>
                <c:pt idx="15">
                  <c:v>1.7684552118839143E-2</c:v>
                </c:pt>
                <c:pt idx="16">
                  <c:v>1.8777143707717863E-2</c:v>
                </c:pt>
                <c:pt idx="17">
                  <c:v>1.986744732043378E-2</c:v>
                </c:pt>
                <c:pt idx="18">
                  <c:v>2.0955334151408482E-2</c:v>
                </c:pt>
                <c:pt idx="19">
                  <c:v>2.2040676366207861E-2</c:v>
                </c:pt>
                <c:pt idx="20">
                  <c:v>2.3123347150049649E-2</c:v>
                </c:pt>
                <c:pt idx="21">
                  <c:v>2.4203220755461795E-2</c:v>
                </c:pt>
                <c:pt idx="22">
                  <c:v>2.5280172549055641E-2</c:v>
                </c:pt>
                <c:pt idx="23">
                  <c:v>2.6354079057378983E-2</c:v>
                </c:pt>
                <c:pt idx="24">
                  <c:v>2.7424818011815628E-2</c:v>
                </c:pt>
                <c:pt idx="25">
                  <c:v>2.8492268392499145E-2</c:v>
                </c:pt>
                <c:pt idx="26">
                  <c:v>2.9556310471210032E-2</c:v>
                </c:pt>
                <c:pt idx="27">
                  <c:v>3.0616825853226844E-2</c:v>
                </c:pt>
                <c:pt idx="28">
                  <c:v>3.1673697518103214E-2</c:v>
                </c:pt>
                <c:pt idx="29">
                  <c:v>3.2726809859344265E-2</c:v>
                </c:pt>
                <c:pt idx="30">
                  <c:v>3.3776048722957294E-2</c:v>
                </c:pt>
                <c:pt idx="31">
                  <c:v>3.4821301444853112E-2</c:v>
                </c:pt>
                <c:pt idx="32">
                  <c:v>3.5862456887076018E-2</c:v>
                </c:pt>
                <c:pt idx="33">
                  <c:v>3.6899405472841734E-2</c:v>
                </c:pt>
                <c:pt idx="34">
                  <c:v>3.7932039220364533E-2</c:v>
                </c:pt>
                <c:pt idx="35">
                  <c:v>3.8960251775455854E-2</c:v>
                </c:pt>
                <c:pt idx="36">
                  <c:v>3.9983938442878668E-2</c:v>
                </c:pt>
                <c:pt idx="37">
                  <c:v>4.1002996216443328E-2</c:v>
                </c:pt>
                <c:pt idx="38">
                  <c:v>4.2017323807831991E-2</c:v>
                </c:pt>
                <c:pt idx="39">
                  <c:v>4.30268216741405E-2</c:v>
                </c:pt>
                <c:pt idx="40">
                  <c:v>4.4031392044128259E-2</c:v>
                </c:pt>
                <c:pt idx="41">
                  <c:v>4.5030938943167731E-2</c:v>
                </c:pt>
                <c:pt idx="42">
                  <c:v>4.6025368216887318E-2</c:v>
                </c:pt>
                <c:pt idx="43">
                  <c:v>4.7014587553502463E-2</c:v>
                </c:pt>
                <c:pt idx="44">
                  <c:v>4.7998506504831492E-2</c:v>
                </c:pt>
                <c:pt idx="45">
                  <c:v>4.8977036505994428E-2</c:v>
                </c:pt>
                <c:pt idx="46">
                  <c:v>4.9950090893793986E-2</c:v>
                </c:pt>
                <c:pt idx="47">
                  <c:v>5.0917584923779922E-2</c:v>
                </c:pt>
                <c:pt idx="48">
                  <c:v>5.1879435785999059E-2</c:v>
                </c:pt>
                <c:pt idx="49">
                  <c:v>5.2835562619434749E-2</c:v>
                </c:pt>
                <c:pt idx="50">
                  <c:v>5.3785886525141081E-2</c:v>
                </c:pt>
                <c:pt idx="51">
                  <c:v>5.4730330578078246E-2</c:v>
                </c:pt>
                <c:pt idx="52">
                  <c:v>5.5668819837656834E-2</c:v>
                </c:pt>
                <c:pt idx="53">
                  <c:v>5.6601281357000481E-2</c:v>
                </c:pt>
                <c:pt idx="54">
                  <c:v>5.752764419093697E-2</c:v>
                </c:pt>
                <c:pt idx="55">
                  <c:v>5.8447839402729337E-2</c:v>
                </c:pt>
                <c:pt idx="56">
                  <c:v>5.9361800069560093E-2</c:v>
                </c:pt>
                <c:pt idx="57">
                  <c:v>6.0269461286781977E-2</c:v>
                </c:pt>
                <c:pt idx="58">
                  <c:v>6.1170760170950605E-2</c:v>
                </c:pt>
                <c:pt idx="59">
                  <c:v>6.2065635861654873E-2</c:v>
                </c:pt>
                <c:pt idx="60">
                  <c:v>6.2954029522162211E-2</c:v>
                </c:pt>
                <c:pt idx="61">
                  <c:v>6.383588433889649E-2</c:v>
                </c:pt>
                <c:pt idx="62">
                  <c:v>6.4711145519767893E-2</c:v>
                </c:pt>
                <c:pt idx="63">
                  <c:v>6.5579760291374342E-2</c:v>
                </c:pt>
                <c:pt idx="64">
                  <c:v>6.6441677895094864E-2</c:v>
                </c:pt>
                <c:pt idx="65">
                  <c:v>6.7296849582096835E-2</c:v>
                </c:pt>
                <c:pt idx="66">
                  <c:v>6.8145228607278827E-2</c:v>
                </c:pt>
                <c:pt idx="67">
                  <c:v>6.8986770222172145E-2</c:v>
                </c:pt>
                <c:pt idx="68">
                  <c:v>6.9821431666824418E-2</c:v>
                </c:pt>
                <c:pt idx="69">
                  <c:v>7.06491721606895E-2</c:v>
                </c:pt>
                <c:pt idx="70">
                  <c:v>7.1469952892548108E-2</c:v>
                </c:pt>
                <c:pt idx="71">
                  <c:v>7.2283737009484594E-2</c:v>
                </c:pt>
                <c:pt idx="72">
                  <c:v>7.3090489604945449E-2</c:v>
                </c:pt>
                <c:pt idx="73">
                  <c:v>7.3890177705905363E-2</c:v>
                </c:pt>
                <c:pt idx="74">
                  <c:v>7.4682770259167572E-2</c:v>
                </c:pt>
                <c:pt idx="75">
                  <c:v>7.5468238116825181E-2</c:v>
                </c:pt>
                <c:pt idx="76">
                  <c:v>7.6246554020910309E-2</c:v>
                </c:pt>
                <c:pt idx="77">
                  <c:v>7.7017692587258588E-2</c:v>
                </c:pt>
                <c:pt idx="78">
                  <c:v>7.7781630288616427E-2</c:v>
                </c:pt>
                <c:pt idx="79">
                  <c:v>7.8538345437018736E-2</c:v>
                </c:pt>
                <c:pt idx="80">
                  <c:v>7.928781816546486E-2</c:v>
                </c:pt>
                <c:pt idx="81">
                  <c:v>8.003003040892058E-2</c:v>
                </c:pt>
                <c:pt idx="82">
                  <c:v>8.0764965884674036E-2</c:v>
                </c:pt>
                <c:pt idx="83">
                  <c:v>8.1492610072073909E-2</c:v>
                </c:pt>
                <c:pt idx="84">
                  <c:v>8.2212950191677042E-2</c:v>
                </c:pt>
                <c:pt idx="85">
                  <c:v>8.2925975183833947E-2</c:v>
                </c:pt>
                <c:pt idx="86">
                  <c:v>8.3631675686739654E-2</c:v>
                </c:pt>
                <c:pt idx="87">
                  <c:v>8.4330044013977548E-2</c:v>
                </c:pt>
                <c:pt idx="88">
                  <c:v>8.5021074131583677E-2</c:v>
                </c:pt>
                <c:pt idx="89">
                  <c:v>8.570476163465876E-2</c:v>
                </c:pt>
                <c:pt idx="90">
                  <c:v>8.6381103723554842E-2</c:v>
                </c:pt>
                <c:pt idx="91">
                  <c:v>8.7050099179663568E-2</c:v>
                </c:pt>
                <c:pt idx="92">
                  <c:v>8.7711748340832341E-2</c:v>
                </c:pt>
                <c:pt idx="93">
                  <c:v>8.8366053076434734E-2</c:v>
                </c:pt>
                <c:pt idx="94">
                  <c:v>8.9013016762121033E-2</c:v>
                </c:pt>
                <c:pt idx="95">
                  <c:v>8.9652644254274313E-2</c:v>
                </c:pt>
                <c:pt idx="96">
                  <c:v>9.0284941864197235E-2</c:v>
                </c:pt>
                <c:pt idx="97">
                  <c:v>9.0909917332054446E-2</c:v>
                </c:pt>
                <c:pt idx="98">
                  <c:v>9.1527579800594824E-2</c:v>
                </c:pt>
                <c:pt idx="99">
                  <c:v>9.2137939788677459E-2</c:v>
                </c:pt>
                <c:pt idx="100">
                  <c:v>9.2741009164625021E-2</c:v>
                </c:pt>
                <c:pt idx="101">
                  <c:v>9.3336801119427354E-2</c:v>
                </c:pt>
                <c:pt idx="102">
                  <c:v>9.3925330139817881E-2</c:v>
                </c:pt>
                <c:pt idx="103">
                  <c:v>9.4506611981244826E-2</c:v>
                </c:pt>
                <c:pt idx="104">
                  <c:v>9.5080663640759275E-2</c:v>
                </c:pt>
                <c:pt idx="105">
                  <c:v>9.5647503329840192E-2</c:v>
                </c:pt>
                <c:pt idx="106">
                  <c:v>9.6207150447177869E-2</c:v>
                </c:pt>
                <c:pt idx="107">
                  <c:v>9.6759625551435205E-2</c:v>
                </c:pt>
                <c:pt idx="108">
                  <c:v>9.7304950334006574E-2</c:v>
                </c:pt>
                <c:pt idx="109">
                  <c:v>9.7843147591793064E-2</c:v>
                </c:pt>
                <c:pt idx="110">
                  <c:v>9.8374241200012466E-2</c:v>
                </c:pt>
                <c:pt idx="111">
                  <c:v>9.8898256085061975E-2</c:v>
                </c:pt>
                <c:pt idx="112">
                  <c:v>9.941521819745075E-2</c:v>
                </c:pt>
                <c:pt idx="113">
                  <c:v>9.9925154484818909E-2</c:v>
                </c:pt>
                <c:pt idx="114">
                  <c:v>0.10042809286505953</c:v>
                </c:pt>
                <c:pt idx="115">
                  <c:v>0.10092406219955873</c:v>
                </c:pt>
                <c:pt idx="116">
                  <c:v>0.10141309226656939</c:v>
                </c:pt>
                <c:pt idx="117">
                  <c:v>0.10189521373473248</c:v>
                </c:pt>
                <c:pt idx="118">
                  <c:v>0.10237045813676023</c:v>
                </c:pt>
                <c:pt idx="119">
                  <c:v>0.10283885784329458</c:v>
                </c:pt>
                <c:pt idx="120">
                  <c:v>0.10330044603695332</c:v>
                </c:pt>
                <c:pt idx="121">
                  <c:v>0.10375525668657663</c:v>
                </c:pt>
                <c:pt idx="122">
                  <c:v>0.10420332452168553</c:v>
                </c:pt>
                <c:pt idx="123">
                  <c:v>0.10464468500716324</c:v>
                </c:pt>
                <c:pt idx="124">
                  <c:v>0.10507937431817081</c:v>
                </c:pt>
                <c:pt idx="125">
                  <c:v>0.10550742931530602</c:v>
                </c:pt>
                <c:pt idx="126">
                  <c:v>0.10592888752001627</c:v>
                </c:pt>
                <c:pt idx="127">
                  <c:v>0.10634378709027388</c:v>
                </c:pt>
                <c:pt idx="128">
                  <c:v>0.10675216679652268</c:v>
                </c:pt>
                <c:pt idx="129">
                  <c:v>0.1071540659979037</c:v>
                </c:pt>
                <c:pt idx="130">
                  <c:v>0.10754952461876799</c:v>
                </c:pt>
                <c:pt idx="131">
                  <c:v>0.10793858312548349</c:v>
                </c:pt>
                <c:pt idx="132">
                  <c:v>0.10832128250354225</c:v>
                </c:pt>
                <c:pt idx="133">
                  <c:v>0.10869766423497501</c:v>
                </c:pt>
                <c:pt idx="134">
                  <c:v>0.10906777027607793</c:v>
                </c:pt>
                <c:pt idx="135">
                  <c:v>0.10943164303545773</c:v>
                </c:pt>
                <c:pt idx="136">
                  <c:v>0.10978932535239917</c:v>
                </c:pt>
                <c:pt idx="137">
                  <c:v>0.1101408604755601</c:v>
                </c:pt>
                <c:pt idx="138">
                  <c:v>0.11048629204199764</c:v>
                </c:pt>
                <c:pt idx="139">
                  <c:v>0.11082566405652942</c:v>
                </c:pt>
                <c:pt idx="140">
                  <c:v>0.1111590208714328</c:v>
                </c:pt>
                <c:pt idx="141">
                  <c:v>0.11148640716648515</c:v>
                </c:pt>
                <c:pt idx="142">
                  <c:v>0.11180786792934791</c:v>
                </c:pt>
                <c:pt idx="143">
                  <c:v>0.11212344843629599</c:v>
                </c:pt>
                <c:pt idx="144">
                  <c:v>0.11243319423329473</c:v>
                </c:pt>
                <c:pt idx="145">
                  <c:v>0.11273715111742595</c:v>
                </c:pt>
                <c:pt idx="146">
                  <c:v>0.11303536511866373</c:v>
                </c:pt>
                <c:pt idx="147">
                  <c:v>0.1133278824820013</c:v>
                </c:pt>
                <c:pt idx="148">
                  <c:v>0.11361474964992913</c:v>
                </c:pt>
                <c:pt idx="149">
                  <c:v>0.11389601324526463</c:v>
                </c:pt>
                <c:pt idx="150">
                  <c:v>0.11417172005433351</c:v>
                </c:pt>
                <c:pt idx="151">
                  <c:v>0.11444191701050203</c:v>
                </c:pt>
                <c:pt idx="152">
                  <c:v>0.11470665117805996</c:v>
                </c:pt>
                <c:pt idx="153">
                  <c:v>0.11496596973645334</c:v>
                </c:pt>
                <c:pt idx="154">
                  <c:v>0.11521991996486569</c:v>
                </c:pt>
                <c:pt idx="155">
                  <c:v>0.11546854922714661</c:v>
                </c:pt>
                <c:pt idx="156">
                  <c:v>0.11571190495708607</c:v>
                </c:pt>
                <c:pt idx="157">
                  <c:v>0.1159500346440326</c:v>
                </c:pt>
                <c:pt idx="158">
                  <c:v>0.11618298581885385</c:v>
                </c:pt>
                <c:pt idx="159">
                  <c:v>0.1164108060402365</c:v>
                </c:pt>
                <c:pt idx="160">
                  <c:v>0.11663354288132412</c:v>
                </c:pt>
                <c:pt idx="161">
                  <c:v>0.1168512439166898</c:v>
                </c:pt>
                <c:pt idx="162">
                  <c:v>0.11706395670964126</c:v>
                </c:pt>
                <c:pt idx="163">
                  <c:v>0.11727172879985544</c:v>
                </c:pt>
                <c:pt idx="164">
                  <c:v>0.11747460769133959</c:v>
                </c:pt>
                <c:pt idx="165">
                  <c:v>0.11767264084071583</c:v>
                </c:pt>
                <c:pt idx="166">
                  <c:v>0.11786587564582585</c:v>
                </c:pt>
                <c:pt idx="167">
                  <c:v>0.11805435943465237</c:v>
                </c:pt>
                <c:pt idx="168">
                  <c:v>0.11823813945455411</c:v>
                </c:pt>
                <c:pt idx="169">
                  <c:v>0.11841726286181019</c:v>
                </c:pt>
                <c:pt idx="170">
                  <c:v>0.11859177671147084</c:v>
                </c:pt>
                <c:pt idx="171">
                  <c:v>0.11876172794751015</c:v>
                </c:pt>
                <c:pt idx="172">
                  <c:v>0.11892716339327745</c:v>
                </c:pt>
                <c:pt idx="173">
                  <c:v>0.11908812974224271</c:v>
                </c:pt>
                <c:pt idx="174">
                  <c:v>0.1192446735490329</c:v>
                </c:pt>
                <c:pt idx="175">
                  <c:v>0.11939684122075428</c:v>
                </c:pt>
                <c:pt idx="176">
                  <c:v>0.11954467900859696</c:v>
                </c:pt>
                <c:pt idx="177">
                  <c:v>0.11968823299971759</c:v>
                </c:pt>
                <c:pt idx="178">
                  <c:v>0.11982754910939569</c:v>
                </c:pt>
                <c:pt idx="179">
                  <c:v>0.11996267307345934</c:v>
                </c:pt>
                <c:pt idx="180">
                  <c:v>0.12009365044097629</c:v>
                </c:pt>
                <c:pt idx="181">
                  <c:v>0.12022052656720554</c:v>
                </c:pt>
                <c:pt idx="182">
                  <c:v>0.12034334660680567</c:v>
                </c:pt>
                <c:pt idx="183">
                  <c:v>0.12046215550729476</c:v>
                </c:pt>
                <c:pt idx="184">
                  <c:v>0.12057699800275822</c:v>
                </c:pt>
                <c:pt idx="185">
                  <c:v>0.12068791860779986</c:v>
                </c:pt>
                <c:pt idx="186">
                  <c:v>0.12079496161173109</c:v>
                </c:pt>
                <c:pt idx="187">
                  <c:v>0.12089817107299533</c:v>
                </c:pt>
                <c:pt idx="188">
                  <c:v>0.12099759081382139</c:v>
                </c:pt>
                <c:pt idx="189">
                  <c:v>0.12109326441510271</c:v>
                </c:pt>
                <c:pt idx="190">
                  <c:v>0.12118523521149757</c:v>
                </c:pt>
                <c:pt idx="191">
                  <c:v>0.12127354628674573</c:v>
                </c:pt>
                <c:pt idx="192">
                  <c:v>0.12135824046919726</c:v>
                </c:pt>
                <c:pt idx="193">
                  <c:v>0.12143936032754912</c:v>
                </c:pt>
                <c:pt idx="194">
                  <c:v>0.12151694816678539</c:v>
                </c:pt>
                <c:pt idx="195">
                  <c:v>0.12159104602431602</c:v>
                </c:pt>
                <c:pt idx="196">
                  <c:v>0.12166169566631105</c:v>
                </c:pt>
                <c:pt idx="197">
                  <c:v>0.12172893858422458</c:v>
                </c:pt>
                <c:pt idx="198">
                  <c:v>0.12179281599150553</c:v>
                </c:pt>
                <c:pt idx="199">
                  <c:v>0.1218533688204899</c:v>
                </c:pt>
                <c:pt idx="200">
                  <c:v>0.12191063771947126</c:v>
                </c:pt>
                <c:pt idx="201">
                  <c:v>0.12196466304994454</c:v>
                </c:pt>
                <c:pt idx="202">
                  <c:v>0.12201548488401941</c:v>
                </c:pt>
                <c:pt idx="203">
                  <c:v>0.12206314300199936</c:v>
                </c:pt>
                <c:pt idx="204">
                  <c:v>0.12210767689012189</c:v>
                </c:pt>
                <c:pt idx="205">
                  <c:v>0.12214912573845624</c:v>
                </c:pt>
                <c:pt idx="206">
                  <c:v>0.12218752843895471</c:v>
                </c:pt>
                <c:pt idx="207">
                  <c:v>0.12222292358365351</c:v>
                </c:pt>
                <c:pt idx="208">
                  <c:v>0.12225534946301939</c:v>
                </c:pt>
                <c:pt idx="209">
                  <c:v>0.1222848440644381</c:v>
                </c:pt>
                <c:pt idx="210">
                  <c:v>0.12231144507084128</c:v>
                </c:pt>
                <c:pt idx="211">
                  <c:v>0.12233518985946774</c:v>
                </c:pt>
                <c:pt idx="212">
                  <c:v>0.12235611550075554</c:v>
                </c:pt>
                <c:pt idx="213">
                  <c:v>0.12237425875736148</c:v>
                </c:pt>
                <c:pt idx="214">
                  <c:v>0.1223896560833042</c:v>
                </c:pt>
                <c:pt idx="215">
                  <c:v>0.12240234362322769</c:v>
                </c:pt>
                <c:pt idx="216">
                  <c:v>0.1224123572117814</c:v>
                </c:pt>
                <c:pt idx="217">
                  <c:v>0.12241973237311382</c:v>
                </c:pt>
                <c:pt idx="218">
                  <c:v>0.12242450432047634</c:v>
                </c:pt>
                <c:pt idx="219">
                  <c:v>0.1224267079559338</c:v>
                </c:pt>
                <c:pt idx="220">
                  <c:v>0.12242637787017858</c:v>
                </c:pt>
                <c:pt idx="221">
                  <c:v>0.12242354834244544</c:v>
                </c:pt>
                <c:pt idx="222">
                  <c:v>0.12241825334052327</c:v>
                </c:pt>
                <c:pt idx="223">
                  <c:v>0.12241052652086154</c:v>
                </c:pt>
                <c:pt idx="224">
                  <c:v>0.12240040122876795</c:v>
                </c:pt>
                <c:pt idx="225">
                  <c:v>0.12238791049869444</c:v>
                </c:pt>
                <c:pt idx="226">
                  <c:v>0.12237308705460845</c:v>
                </c:pt>
                <c:pt idx="227">
                  <c:v>0.12235596331044733</c:v>
                </c:pt>
                <c:pt idx="228">
                  <c:v>0.12233657137065231</c:v>
                </c:pt>
                <c:pt idx="229">
                  <c:v>0.12231494303077954</c:v>
                </c:pt>
                <c:pt idx="230">
                  <c:v>0.12229110977818614</c:v>
                </c:pt>
                <c:pt idx="231">
                  <c:v>0.12226510279278743</c:v>
                </c:pt>
                <c:pt idx="232">
                  <c:v>0.12223695294788429</c:v>
                </c:pt>
                <c:pt idx="233">
                  <c:v>0.12220669081105666</c:v>
                </c:pt>
                <c:pt idx="234">
                  <c:v>0.12217434664512188</c:v>
                </c:pt>
                <c:pt idx="235">
                  <c:v>0.12213995040915489</c:v>
                </c:pt>
                <c:pt idx="236">
                  <c:v>0.1221035317595681</c:v>
                </c:pt>
                <c:pt idx="237">
                  <c:v>0.12206512005124853</c:v>
                </c:pt>
                <c:pt idx="238">
                  <c:v>0.1220247443387502</c:v>
                </c:pt>
                <c:pt idx="239">
                  <c:v>0.12198243337753936</c:v>
                </c:pt>
                <c:pt idx="240">
                  <c:v>0.12193821562529061</c:v>
                </c:pt>
                <c:pt idx="241">
                  <c:v>0.12189211924323155</c:v>
                </c:pt>
                <c:pt idx="242">
                  <c:v>0.12184417209753426</c:v>
                </c:pt>
                <c:pt idx="243">
                  <c:v>0.12179440176075132</c:v>
                </c:pt>
                <c:pt idx="244">
                  <c:v>0.12174283551329459</c:v>
                </c:pt>
                <c:pt idx="245">
                  <c:v>0.12168950034495482</c:v>
                </c:pt>
                <c:pt idx="246">
                  <c:v>0.12163442295646014</c:v>
                </c:pt>
                <c:pt idx="247">
                  <c:v>0.12157762976107195</c:v>
                </c:pt>
                <c:pt idx="248">
                  <c:v>0.12151914688621573</c:v>
                </c:pt>
                <c:pt idx="249">
                  <c:v>0.12145900017514617</c:v>
                </c:pt>
                <c:pt idx="250">
                  <c:v>0.12139721518864369</c:v>
                </c:pt>
                <c:pt idx="251">
                  <c:v>0.12133381720674175</c:v>
                </c:pt>
                <c:pt idx="252">
                  <c:v>0.12126883123048275</c:v>
                </c:pt>
                <c:pt idx="253">
                  <c:v>0.1212022819837013</c:v>
                </c:pt>
                <c:pt idx="254">
                  <c:v>0.12113419391483309</c:v>
                </c:pt>
                <c:pt idx="255">
                  <c:v>0.12106459119874817</c:v>
                </c:pt>
                <c:pt idx="256">
                  <c:v>0.120993497738607</c:v>
                </c:pt>
                <c:pt idx="257">
                  <c:v>0.12092093716773797</c:v>
                </c:pt>
                <c:pt idx="258">
                  <c:v>0.12084693285153515</c:v>
                </c:pt>
                <c:pt idx="259">
                  <c:v>0.12077150788937469</c:v>
                </c:pt>
                <c:pt idx="260">
                  <c:v>0.12069468511654886</c:v>
                </c:pt>
                <c:pt idx="261">
                  <c:v>0.12061648710621647</c:v>
                </c:pt>
                <c:pt idx="262">
                  <c:v>0.12053693617136822</c:v>
                </c:pt>
                <c:pt idx="263">
                  <c:v>0.12045605436680615</c:v>
                </c:pt>
                <c:pt idx="264">
                  <c:v>0.12037386349113582</c:v>
                </c:pt>
                <c:pt idx="265">
                  <c:v>0.12029038508877027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F-4886-A882-3ABE7D78F030}"/>
            </c:ext>
          </c:extLst>
        </c:ser>
        <c:ser>
          <c:idx val="6"/>
          <c:order val="6"/>
          <c:tx>
            <c:strRef>
              <c:f>'V2'!$AN$12</c:f>
              <c:strCache>
                <c:ptCount val="1"/>
                <c:pt idx="0">
                  <c:v>3500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'V2'!$AN$13:$AN$278</c:f>
              <c:numCache>
                <c:formatCode>0.000</c:formatCode>
                <c:ptCount val="266"/>
                <c:pt idx="0">
                  <c:v>1.1110943014571964E-3</c:v>
                </c:pt>
                <c:pt idx="1">
                  <c:v>2.2220877510940196E-3</c:v>
                </c:pt>
                <c:pt idx="2">
                  <c:v>3.3328795276015202E-3</c:v>
                </c:pt>
                <c:pt idx="3">
                  <c:v>4.4433688706742094E-3</c:v>
                </c:pt>
                <c:pt idx="4">
                  <c:v>5.5534551114633599E-3</c:v>
                </c:pt>
                <c:pt idx="5">
                  <c:v>6.6630377029722335E-3</c:v>
                </c:pt>
                <c:pt idx="6">
                  <c:v>7.772016250373992E-3</c:v>
                </c:pt>
                <c:pt idx="7">
                  <c:v>8.880290541233125E-3</c:v>
                </c:pt>
                <c:pt idx="8">
                  <c:v>9.9877605756113035E-3</c:v>
                </c:pt>
                <c:pt idx="9">
                  <c:v>1.1094326596038732E-2</c:v>
                </c:pt>
                <c:pt idx="10">
                  <c:v>1.2199889117332231E-2</c:v>
                </c:pt>
                <c:pt idx="11">
                  <c:v>1.3304348956241345E-2</c:v>
                </c:pt>
                <c:pt idx="12">
                  <c:v>1.4407607260904122E-2</c:v>
                </c:pt>
                <c:pt idx="13">
                  <c:v>1.5509565540094254E-2</c:v>
                </c:pt>
                <c:pt idx="14">
                  <c:v>1.6610125692241604E-2</c:v>
                </c:pt>
                <c:pt idx="15">
                  <c:v>1.7709190034208327E-2</c:v>
                </c:pt>
                <c:pt idx="16">
                  <c:v>1.880666132980309E-2</c:v>
                </c:pt>
                <c:pt idx="17">
                  <c:v>1.9902442818016161E-2</c:v>
                </c:pt>
                <c:pt idx="18">
                  <c:v>2.0996438240958423E-2</c:v>
                </c:pt>
                <c:pt idx="19">
                  <c:v>2.2088551871487692E-2</c:v>
                </c:pt>
                <c:pt idx="20">
                  <c:v>2.317868854050607E-2</c:v>
                </c:pt>
                <c:pt idx="21">
                  <c:v>2.4266753663912417E-2</c:v>
                </c:pt>
                <c:pt idx="22">
                  <c:v>2.5352653269194274E-2</c:v>
                </c:pt>
                <c:pt idx="23">
                  <c:v>2.643629402164414E-2</c:v>
                </c:pt>
                <c:pt idx="24">
                  <c:v>2.7517583250185256E-2</c:v>
                </c:pt>
                <c:pt idx="25">
                  <c:v>2.8596428972792472E-2</c:v>
                </c:pt>
                <c:pt idx="26">
                  <c:v>2.9672739921494232E-2</c:v>
                </c:pt>
                <c:pt idx="27">
                  <c:v>3.0746425566942147E-2</c:v>
                </c:pt>
                <c:pt idx="28">
                  <c:v>3.1817396142535002E-2</c:v>
                </c:pt>
                <c:pt idx="29">
                  <c:v>3.2885562668084616E-2</c:v>
                </c:pt>
                <c:pt idx="30">
                  <c:v>3.3950836973011218E-2</c:v>
                </c:pt>
                <c:pt idx="31">
                  <c:v>3.5013131719056824E-2</c:v>
                </c:pt>
                <c:pt idx="32">
                  <c:v>3.6072360422505174E-2</c:v>
                </c:pt>
                <c:pt idx="33">
                  <c:v>3.712843747589769E-2</c:v>
                </c:pt>
                <c:pt idx="34">
                  <c:v>3.8181278169234972E-2</c:v>
                </c:pt>
                <c:pt idx="35">
                  <c:v>3.9230798710654352E-2</c:v>
                </c:pt>
                <c:pt idx="36">
                  <c:v>4.0276916246574063E-2</c:v>
                </c:pt>
                <c:pt idx="37">
                  <c:v>4.1319548881295423E-2</c:v>
                </c:pt>
                <c:pt idx="38">
                  <c:v>4.2358615696054792E-2</c:v>
                </c:pt>
                <c:pt idx="39">
                  <c:v>4.3394036767517727E-2</c:v>
                </c:pt>
                <c:pt idx="40">
                  <c:v>4.4425733185708E-2</c:v>
                </c:pt>
                <c:pt idx="41">
                  <c:v>4.545362707136516E-2</c:v>
                </c:pt>
                <c:pt idx="42">
                  <c:v>4.647764159272421E-2</c:v>
                </c:pt>
                <c:pt idx="43">
                  <c:v>4.7497700981712271E-2</c:v>
                </c:pt>
                <c:pt idx="44">
                  <c:v>4.8513730549556731E-2</c:v>
                </c:pt>
                <c:pt idx="45">
                  <c:v>4.9525656701800889E-2</c:v>
                </c:pt>
                <c:pt idx="46">
                  <c:v>5.0533406952722813E-2</c:v>
                </c:pt>
                <c:pt idx="47">
                  <c:v>5.1536909939154101E-2</c:v>
                </c:pt>
                <c:pt idx="48">
                  <c:v>5.2536095433695681E-2</c:v>
                </c:pt>
                <c:pt idx="49">
                  <c:v>5.3530894357328246E-2</c:v>
                </c:pt>
                <c:pt idx="50">
                  <c:v>5.4521238791415474E-2</c:v>
                </c:pt>
                <c:pt idx="51">
                  <c:v>5.5507061989098667E-2</c:v>
                </c:pt>
                <c:pt idx="52">
                  <c:v>5.648829838608211E-2</c:v>
                </c:pt>
                <c:pt idx="53">
                  <c:v>5.7464883610808669E-2</c:v>
                </c:pt>
                <c:pt idx="54">
                  <c:v>5.843675449402589E-2</c:v>
                </c:pt>
                <c:pt idx="55">
                  <c:v>5.9403849077743251E-2</c:v>
                </c:pt>
                <c:pt idx="56">
                  <c:v>6.0366106623581724E-2</c:v>
                </c:pt>
                <c:pt idx="57">
                  <c:v>6.1323467620517318E-2</c:v>
                </c:pt>
                <c:pt idx="58">
                  <c:v>6.2275873792020549E-2</c:v>
                </c:pt>
                <c:pt idx="59">
                  <c:v>6.3223268102594543E-2</c:v>
                </c:pt>
                <c:pt idx="60">
                  <c:v>6.4165594763714709E-2</c:v>
                </c:pt>
                <c:pt idx="61">
                  <c:v>6.5102799239173476E-2</c:v>
                </c:pt>
                <c:pt idx="62">
                  <c:v>6.6034828249833907E-2</c:v>
                </c:pt>
                <c:pt idx="63">
                  <c:v>6.6961629777796267E-2</c:v>
                </c:pt>
                <c:pt idx="64">
                  <c:v>6.7883153069982965E-2</c:v>
                </c:pt>
                <c:pt idx="65">
                  <c:v>6.8799348641145924E-2</c:v>
                </c:pt>
                <c:pt idx="66">
                  <c:v>6.9710168276302734E-2</c:v>
                </c:pt>
                <c:pt idx="67">
                  <c:v>7.0615565032606964E-2</c:v>
                </c:pt>
                <c:pt idx="68">
                  <c:v>7.1515493240658992E-2</c:v>
                </c:pt>
                <c:pt idx="69">
                  <c:v>7.240990850526402E-2</c:v>
                </c:pt>
                <c:pt idx="70">
                  <c:v>7.3298767705643864E-2</c:v>
                </c:pt>
                <c:pt idx="71">
                  <c:v>7.4182028995110103E-2</c:v>
                </c:pt>
                <c:pt idx="72">
                  <c:v>7.5059651800205782E-2</c:v>
                </c:pt>
                <c:pt idx="73">
                  <c:v>7.5931596819323835E-2</c:v>
                </c:pt>
                <c:pt idx="74">
                  <c:v>7.6797826020810117E-2</c:v>
                </c:pt>
                <c:pt idx="75">
                  <c:v>7.765830264055934E-2</c:v>
                </c:pt>
                <c:pt idx="76">
                  <c:v>7.8512991179112965E-2</c:v>
                </c:pt>
                <c:pt idx="77">
                  <c:v>7.9361857398267441E-2</c:v>
                </c:pt>
                <c:pt idx="78">
                  <c:v>8.0204868317202305E-2</c:v>
                </c:pt>
                <c:pt idx="79">
                  <c:v>8.1041992208137209E-2</c:v>
                </c:pt>
                <c:pt idx="80">
                  <c:v>8.1873198591527627E-2</c:v>
                </c:pt>
                <c:pt idx="81">
                  <c:v>8.2698458230808861E-2</c:v>
                </c:pt>
                <c:pt idx="82">
                  <c:v>8.3517743126698157E-2</c:v>
                </c:pt>
                <c:pt idx="83">
                  <c:v>8.433102651106536E-2</c:v>
                </c:pt>
                <c:pt idx="84">
                  <c:v>8.5138282840381857E-2</c:v>
                </c:pt>
                <c:pt idx="85">
                  <c:v>8.5939487788758651E-2</c:v>
                </c:pt>
                <c:pt idx="86">
                  <c:v>8.673461824058365E-2</c:v>
                </c:pt>
                <c:pt idx="87">
                  <c:v>8.7523652282769052E-2</c:v>
                </c:pt>
                <c:pt idx="88">
                  <c:v>8.8306569196619403E-2</c:v>
                </c:pt>
                <c:pt idx="89">
                  <c:v>8.9083349449331259E-2</c:v>
                </c:pt>
                <c:pt idx="90">
                  <c:v>8.9853974685135007E-2</c:v>
                </c:pt>
                <c:pt idx="91">
                  <c:v>9.0618427716090175E-2</c:v>
                </c:pt>
                <c:pt idx="92">
                  <c:v>9.137669251254503E-2</c:v>
                </c:pt>
                <c:pt idx="93">
                  <c:v>9.2128754193271239E-2</c:v>
                </c:pt>
                <c:pt idx="94">
                  <c:v>9.2874599015285345E-2</c:v>
                </c:pt>
                <c:pt idx="95">
                  <c:v>9.3614214363367199E-2</c:v>
                </c:pt>
                <c:pt idx="96">
                  <c:v>9.4347588739287169E-2</c:v>
                </c:pt>
                <c:pt idx="97">
                  <c:v>9.5074711750752869E-2</c:v>
                </c:pt>
                <c:pt idx="98">
                  <c:v>9.5795574100086572E-2</c:v>
                </c:pt>
                <c:pt idx="99">
                  <c:v>9.6510167572644148E-2</c:v>
                </c:pt>
                <c:pt idx="100">
                  <c:v>9.7218485024986812E-2</c:v>
                </c:pt>
                <c:pt idx="101">
                  <c:v>9.7920520372816358E-2</c:v>
                </c:pt>
                <c:pt idx="102">
                  <c:v>9.8616268578685107E-2</c:v>
                </c:pt>
                <c:pt idx="103">
                  <c:v>9.9305725639490902E-2</c:v>
                </c:pt>
                <c:pt idx="104">
                  <c:v>9.9988888573768545E-2</c:v>
                </c:pt>
                <c:pt idx="105">
                  <c:v>0.10066575540878772</c:v>
                </c:pt>
                <c:pt idx="106">
                  <c:v>0.10133632516746867</c:v>
                </c:pt>
                <c:pt idx="107">
                  <c:v>0.10200059785512526</c:v>
                </c:pt>
                <c:pt idx="108">
                  <c:v>0.10265857444604704</c:v>
                </c:pt>
                <c:pt idx="109">
                  <c:v>0.10331025686992913</c:v>
                </c:pt>
                <c:pt idx="110">
                  <c:v>0.10395564799816148</c:v>
                </c:pt>
                <c:pt idx="111">
                  <c:v>0.1045947516299867</c:v>
                </c:pt>
                <c:pt idx="112">
                  <c:v>0.10522757247853644</c:v>
                </c:pt>
                <c:pt idx="113">
                  <c:v>0.10585411615675665</c:v>
                </c:pt>
                <c:pt idx="114">
                  <c:v>0.10647438916323086</c:v>
                </c:pt>
                <c:pt idx="115">
                  <c:v>0.10708839886791097</c:v>
                </c:pt>
                <c:pt idx="116">
                  <c:v>0.1076961534977653</c:v>
                </c:pt>
                <c:pt idx="117">
                  <c:v>0.10829766212235266</c:v>
                </c:pt>
                <c:pt idx="118">
                  <c:v>0.1088929346393319</c:v>
                </c:pt>
                <c:pt idx="119">
                  <c:v>0.10948198175991529</c:v>
                </c:pt>
                <c:pt idx="120">
                  <c:v>0.11006481499427483</c:v>
                </c:pt>
                <c:pt idx="121">
                  <c:v>0.11064144663691021</c:v>
                </c:pt>
                <c:pt idx="122">
                  <c:v>0.111211889751986</c:v>
                </c:pt>
                <c:pt idx="123">
                  <c:v>0.11177615815864712</c:v>
                </c:pt>
                <c:pt idx="124">
                  <c:v>0.11233426641632001</c:v>
                </c:pt>
                <c:pt idx="125">
                  <c:v>0.11288622981000775</c:v>
                </c:pt>
                <c:pt idx="126">
                  <c:v>0.11343206433558632</c:v>
                </c:pt>
                <c:pt idx="127">
                  <c:v>0.11397178668510989</c:v>
                </c:pt>
                <c:pt idx="128">
                  <c:v>0.11450541423213219</c:v>
                </c:pt>
                <c:pt idx="129">
                  <c:v>0.11503296501705093</c:v>
                </c:pt>
                <c:pt idx="130">
                  <c:v>0.11555445773248256</c:v>
                </c:pt>
                <c:pt idx="131">
                  <c:v>0.11606991170867362</c:v>
                </c:pt>
                <c:pt idx="132">
                  <c:v>0.1165793468989554</c:v>
                </c:pt>
                <c:pt idx="133">
                  <c:v>0.11708278386524852</c:v>
                </c:pt>
                <c:pt idx="134">
                  <c:v>0.11758024376362293</c:v>
                </c:pt>
                <c:pt idx="135">
                  <c:v>0.11807174832991986</c:v>
                </c:pt>
                <c:pt idx="136">
                  <c:v>0.11855731986544112</c:v>
                </c:pt>
                <c:pt idx="137">
                  <c:v>0.11903698122271164</c:v>
                </c:pt>
                <c:pt idx="138">
                  <c:v>0.11951075579132013</c:v>
                </c:pt>
                <c:pt idx="139">
                  <c:v>0.11997866748384368</c:v>
                </c:pt>
                <c:pt idx="140">
                  <c:v>0.12044074072186073</c:v>
                </c:pt>
                <c:pt idx="141">
                  <c:v>0.12089700042205764</c:v>
                </c:pt>
                <c:pt idx="142">
                  <c:v>0.1213474719824333</c:v>
                </c:pt>
                <c:pt idx="143">
                  <c:v>0.12179218126860608</c:v>
                </c:pt>
                <c:pt idx="144">
                  <c:v>0.12223115460022789</c:v>
                </c:pt>
                <c:pt idx="145">
                  <c:v>0.12266441873750887</c:v>
                </c:pt>
                <c:pt idx="146">
                  <c:v>0.12309200086785702</c:v>
                </c:pt>
                <c:pt idx="147">
                  <c:v>0.12351392859263616</c:v>
                </c:pt>
                <c:pt idx="148">
                  <c:v>0.12393022991404637</c:v>
                </c:pt>
                <c:pt idx="149">
                  <c:v>0.1243409332221295</c:v>
                </c:pt>
                <c:pt idx="150">
                  <c:v>0.12474606728190357</c:v>
                </c:pt>
                <c:pt idx="151">
                  <c:v>0.12514566122062906</c:v>
                </c:pt>
                <c:pt idx="152">
                  <c:v>0.12553974451520969</c:v>
                </c:pt>
                <c:pt idx="153">
                  <c:v>0.12592834697973071</c:v>
                </c:pt>
                <c:pt idx="154">
                  <c:v>0.12631149875313699</c:v>
                </c:pt>
                <c:pt idx="155">
                  <c:v>0.12668923028705376</c:v>
                </c:pt>
                <c:pt idx="156">
                  <c:v>0.12706157233375179</c:v>
                </c:pt>
                <c:pt idx="157">
                  <c:v>0.12742855593425947</c:v>
                </c:pt>
                <c:pt idx="158">
                  <c:v>0.12779021240662358</c:v>
                </c:pt>
                <c:pt idx="159">
                  <c:v>0.12814657333432058</c:v>
                </c:pt>
                <c:pt idx="160">
                  <c:v>0.12849767055482009</c:v>
                </c:pt>
                <c:pt idx="161">
                  <c:v>0.12884353614830246</c:v>
                </c:pt>
                <c:pt idx="162">
                  <c:v>0.12918420242653128</c:v>
                </c:pt>
                <c:pt idx="163">
                  <c:v>0.12951970192188206</c:v>
                </c:pt>
                <c:pt idx="164">
                  <c:v>0.12985006737652938</c:v>
                </c:pt>
                <c:pt idx="165">
                  <c:v>0.13017533173179174</c:v>
                </c:pt>
                <c:pt idx="166">
                  <c:v>0.13049552811763654</c:v>
                </c:pt>
                <c:pt idx="167">
                  <c:v>0.13081068984234531</c:v>
                </c:pt>
                <c:pt idx="168">
                  <c:v>0.13112085038233945</c:v>
                </c:pt>
                <c:pt idx="169">
                  <c:v>0.13142604337216815</c:v>
                </c:pt>
                <c:pt idx="170">
                  <c:v>0.13172630259465792</c:v>
                </c:pt>
                <c:pt idx="171">
                  <c:v>0.13202166197122425</c:v>
                </c:pt>
                <c:pt idx="172">
                  <c:v>0.13231215555234624</c:v>
                </c:pt>
                <c:pt idx="173">
                  <c:v>0.1325978175082034</c:v>
                </c:pt>
                <c:pt idx="174">
                  <c:v>0.1328786821194754</c:v>
                </c:pt>
                <c:pt idx="175">
                  <c:v>0.13315478376830456</c:v>
                </c:pt>
                <c:pt idx="176">
                  <c:v>0.13342615692942031</c:v>
                </c:pt>
                <c:pt idx="177">
                  <c:v>0.13369283616142619</c:v>
                </c:pt>
                <c:pt idx="178">
                  <c:v>0.13395485609824895</c:v>
                </c:pt>
                <c:pt idx="179">
                  <c:v>0.13421225144074844</c:v>
                </c:pt>
                <c:pt idx="180">
                  <c:v>0.13446505694848898</c:v>
                </c:pt>
                <c:pt idx="181">
                  <c:v>0.13471330743167104</c:v>
                </c:pt>
                <c:pt idx="182">
                  <c:v>0.13495703774322251</c:v>
                </c:pt>
                <c:pt idx="183">
                  <c:v>0.13519628277104917</c:v>
                </c:pt>
                <c:pt idx="184">
                  <c:v>0.1354310774304433</c:v>
                </c:pt>
                <c:pt idx="185">
                  <c:v>0.13566145665664969</c:v>
                </c:pt>
                <c:pt idx="186">
                  <c:v>0.13588745539758804</c:v>
                </c:pt>
                <c:pt idx="187">
                  <c:v>0.13610910860673137</c:v>
                </c:pt>
                <c:pt idx="188">
                  <c:v>0.13632645123613807</c:v>
                </c:pt>
                <c:pt idx="189">
                  <c:v>0.13653951822963828</c:v>
                </c:pt>
                <c:pt idx="190">
                  <c:v>0.13674834451617163</c:v>
                </c:pt>
                <c:pt idx="191">
                  <c:v>0.13695296500327689</c:v>
                </c:pt>
                <c:pt idx="192">
                  <c:v>0.13715341457073077</c:v>
                </c:pt>
                <c:pt idx="193">
                  <c:v>0.13734972806433585</c:v>
                </c:pt>
                <c:pt idx="194">
                  <c:v>0.13754194028985542</c:v>
                </c:pt>
                <c:pt idx="195">
                  <c:v>0.13773008600709438</c:v>
                </c:pt>
                <c:pt idx="196">
                  <c:v>0.13791419992412446</c:v>
                </c:pt>
                <c:pt idx="197">
                  <c:v>0.13809431669165259</c:v>
                </c:pt>
                <c:pt idx="198">
                  <c:v>0.13827047089753111</c:v>
                </c:pt>
                <c:pt idx="199">
                  <c:v>0.13844269706140755</c:v>
                </c:pt>
                <c:pt idx="200">
                  <c:v>0.13861102962951352</c:v>
                </c:pt>
                <c:pt idx="201">
                  <c:v>0.13877550296959029</c:v>
                </c:pt>
                <c:pt idx="202">
                  <c:v>0.13893615136594981</c:v>
                </c:pt>
                <c:pt idx="203">
                  <c:v>0.1390930090146697</c:v>
                </c:pt>
                <c:pt idx="204">
                  <c:v>0.13924611001892043</c:v>
                </c:pt>
                <c:pt idx="205">
                  <c:v>0.13939548838442301</c:v>
                </c:pt>
                <c:pt idx="206">
                  <c:v>0.13954117801503543</c:v>
                </c:pt>
                <c:pt idx="207">
                  <c:v>0.1396832127084667</c:v>
                </c:pt>
                <c:pt idx="208">
                  <c:v>0.13982162615211599</c:v>
                </c:pt>
                <c:pt idx="209">
                  <c:v>0.13995645191903588</c:v>
                </c:pt>
                <c:pt idx="210">
                  <c:v>0.1400877234640176</c:v>
                </c:pt>
                <c:pt idx="211">
                  <c:v>0.1402154741197966</c:v>
                </c:pt>
                <c:pt idx="212">
                  <c:v>0.14033973709337688</c:v>
                </c:pt>
                <c:pt idx="213">
                  <c:v>0.14046054546247191</c:v>
                </c:pt>
                <c:pt idx="214">
                  <c:v>0.14057793217206127</c:v>
                </c:pt>
                <c:pt idx="215">
                  <c:v>0.14069193003105993</c:v>
                </c:pt>
                <c:pt idx="216">
                  <c:v>0.14080257170909979</c:v>
                </c:pt>
                <c:pt idx="217">
                  <c:v>0.14090988973342058</c:v>
                </c:pt>
                <c:pt idx="218">
                  <c:v>0.14101391648586933</c:v>
                </c:pt>
                <c:pt idx="219">
                  <c:v>0.14111468420000575</c:v>
                </c:pt>
                <c:pt idx="220">
                  <c:v>0.14121222495831248</c:v>
                </c:pt>
                <c:pt idx="221">
                  <c:v>0.14130657068950808</c:v>
                </c:pt>
                <c:pt idx="222">
                  <c:v>0.14139775316596115</c:v>
                </c:pt>
                <c:pt idx="223">
                  <c:v>0.14148580400120334</c:v>
                </c:pt>
                <c:pt idx="224">
                  <c:v>0.14157075464754082</c:v>
                </c:pt>
                <c:pt idx="225">
                  <c:v>0.14165263639376069</c:v>
                </c:pt>
                <c:pt idx="226">
                  <c:v>0.14173148036293196</c:v>
                </c:pt>
                <c:pt idx="227">
                  <c:v>0.1418073175102989</c:v>
                </c:pt>
                <c:pt idx="228">
                  <c:v>0.14188017862126495</c:v>
                </c:pt>
                <c:pt idx="229">
                  <c:v>0.14195009430946562</c:v>
                </c:pt>
                <c:pt idx="230">
                  <c:v>0.14201709501492865</c:v>
                </c:pt>
                <c:pt idx="231">
                  <c:v>0.14208121100231991</c:v>
                </c:pt>
                <c:pt idx="232">
                  <c:v>0.14214247235927291</c:v>
                </c:pt>
                <c:pt idx="233">
                  <c:v>0.14220090899480092</c:v>
                </c:pt>
                <c:pt idx="234">
                  <c:v>0.14225655063778947</c:v>
                </c:pt>
                <c:pt idx="235">
                  <c:v>0.14230942683556783</c:v>
                </c:pt>
                <c:pt idx="236">
                  <c:v>0.14235956695255797</c:v>
                </c:pt>
                <c:pt idx="237">
                  <c:v>0.14240700016899926</c:v>
                </c:pt>
                <c:pt idx="238">
                  <c:v>0.14245175547974695</c:v>
                </c:pt>
                <c:pt idx="239">
                  <c:v>0.14249386169314396</c:v>
                </c:pt>
                <c:pt idx="240">
                  <c:v>0.1425333474299629</c:v>
                </c:pt>
                <c:pt idx="241">
                  <c:v>0.14257024112241823</c:v>
                </c:pt>
                <c:pt idx="242">
                  <c:v>0.14260457101324586</c:v>
                </c:pt>
                <c:pt idx="243">
                  <c:v>0.14263636515484931</c:v>
                </c:pt>
                <c:pt idx="244">
                  <c:v>0.14266565140851109</c:v>
                </c:pt>
                <c:pt idx="245">
                  <c:v>0.14269245744366713</c:v>
                </c:pt>
                <c:pt idx="246">
                  <c:v>0.14271681073724346</c:v>
                </c:pt>
                <c:pt idx="247">
                  <c:v>0.1427387385730533</c:v>
                </c:pt>
                <c:pt idx="248">
                  <c:v>0.14275826804125327</c:v>
                </c:pt>
                <c:pt idx="249">
                  <c:v>0.14277542603785753</c:v>
                </c:pt>
                <c:pt idx="250">
                  <c:v>0.14279023926430784</c:v>
                </c:pt>
                <c:pt idx="251">
                  <c:v>0.14280273422709899</c:v>
                </c:pt>
                <c:pt idx="252">
                  <c:v>0.14281293723745753</c:v>
                </c:pt>
                <c:pt idx="253">
                  <c:v>0.1428208744110728</c:v>
                </c:pt>
                <c:pt idx="254">
                  <c:v>0.14282657166787904</c:v>
                </c:pt>
                <c:pt idx="255">
                  <c:v>0.14283005473188709</c:v>
                </c:pt>
                <c:pt idx="256">
                  <c:v>0.14283134913106421</c:v>
                </c:pt>
                <c:pt idx="257">
                  <c:v>0.14283048019726144</c:v>
                </c:pt>
                <c:pt idx="258">
                  <c:v>0.14282747306618632</c:v>
                </c:pt>
                <c:pt idx="259">
                  <c:v>0.14282235267742083</c:v>
                </c:pt>
                <c:pt idx="260">
                  <c:v>0.14281514377448218</c:v>
                </c:pt>
                <c:pt idx="261">
                  <c:v>0.14280587090492608</c:v>
                </c:pt>
                <c:pt idx="262">
                  <c:v>0.14279455842049144</c:v>
                </c:pt>
                <c:pt idx="263">
                  <c:v>0.14278123047728419</c:v>
                </c:pt>
                <c:pt idx="264">
                  <c:v>0.1427659110360007</c:v>
                </c:pt>
                <c:pt idx="265">
                  <c:v>0.14274862386218856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F-4886-A882-3ABE7D78F030}"/>
            </c:ext>
          </c:extLst>
        </c:ser>
        <c:ser>
          <c:idx val="7"/>
          <c:order val="7"/>
          <c:tx>
            <c:strRef>
              <c:f>'V2'!$AO$12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'V2'!$AO$13:$AO$278</c:f>
              <c:numCache>
                <c:formatCode>0.000</c:formatCode>
                <c:ptCount val="266"/>
                <c:pt idx="0">
                  <c:v>1.1110982411741987E-3</c:v>
                </c:pt>
                <c:pt idx="1">
                  <c:v>2.2221192663045199E-3</c:v>
                </c:pt>
                <c:pt idx="2">
                  <c:v>3.3329858772332102E-3</c:v>
                </c:pt>
                <c:pt idx="3">
                  <c:v>4.4436209115660619E-3</c:v>
                </c:pt>
                <c:pt idx="4">
                  <c:v>5.5539472605324498E-3</c:v>
                </c:pt>
                <c:pt idx="5">
                  <c:v>6.6638878868192858E-3</c:v>
                </c:pt>
                <c:pt idx="6">
                  <c:v>7.7733658423702568E-3</c:v>
                </c:pt>
                <c:pt idx="7">
                  <c:v>8.8823042861417064E-3</c:v>
                </c:pt>
                <c:pt idx="8">
                  <c:v>9.9906265018065675E-3</c:v>
                </c:pt>
                <c:pt idx="9">
                  <c:v>1.1098255915397799E-2</c:v>
                </c:pt>
                <c:pt idx="10">
                  <c:v>1.2205116112882853E-2</c:v>
                </c:pt>
                <c:pt idx="11">
                  <c:v>1.3311130857660669E-2</c:v>
                </c:pt>
                <c:pt idx="12">
                  <c:v>1.4416224107972898E-2</c:v>
                </c:pt>
                <c:pt idx="13">
                  <c:v>1.5520320034221002E-2</c:v>
                </c:pt>
                <c:pt idx="14">
                  <c:v>1.6623343036180994E-2</c:v>
                </c:pt>
                <c:pt idx="15">
                  <c:v>1.7725217760107721E-2</c:v>
                </c:pt>
                <c:pt idx="16">
                  <c:v>1.8825869115720588E-2</c:v>
                </c:pt>
                <c:pt idx="17">
                  <c:v>1.9925222293062799E-2</c:v>
                </c:pt>
                <c:pt idx="18">
                  <c:v>2.1023202779226265E-2</c:v>
                </c:pt>
                <c:pt idx="19">
                  <c:v>2.2119736374934414E-2</c:v>
                </c:pt>
                <c:pt idx="20">
                  <c:v>2.3214749210975279E-2</c:v>
                </c:pt>
                <c:pt idx="21">
                  <c:v>2.4308167764477435E-2</c:v>
                </c:pt>
                <c:pt idx="22">
                  <c:v>2.539991887502124E-2</c:v>
                </c:pt>
                <c:pt idx="23">
                  <c:v>2.6489929760578367E-2</c:v>
                </c:pt>
                <c:pt idx="24">
                  <c:v>2.7578128033272319E-2</c:v>
                </c:pt>
                <c:pt idx="25">
                  <c:v>2.8664441714953071E-2</c:v>
                </c:pt>
                <c:pt idx="26">
                  <c:v>2.9748799252579013E-2</c:v>
                </c:pt>
                <c:pt idx="27">
                  <c:v>3.0831129533399528E-2</c:v>
                </c:pt>
                <c:pt idx="28">
                  <c:v>3.1911361899931719E-2</c:v>
                </c:pt>
                <c:pt idx="29">
                  <c:v>3.298942616472491E-2</c:v>
                </c:pt>
                <c:pt idx="30">
                  <c:v>3.4065252624906811E-2</c:v>
                </c:pt>
                <c:pt idx="31">
                  <c:v>3.5138772076505315E-2</c:v>
                </c:pt>
                <c:pt idx="32">
                  <c:v>3.6209915828540093E-2</c:v>
                </c:pt>
                <c:pt idx="33">
                  <c:v>3.7278615716878453E-2</c:v>
                </c:pt>
                <c:pt idx="34">
                  <c:v>3.8344804117849733E-2</c:v>
                </c:pt>
                <c:pt idx="35">
                  <c:v>3.9408413961613382E-2</c:v>
                </c:pt>
                <c:pt idx="36">
                  <c:v>4.0469378745275168E-2</c:v>
                </c:pt>
                <c:pt idx="37">
                  <c:v>4.1527632545747095E-2</c:v>
                </c:pt>
                <c:pt idx="38">
                  <c:v>4.2583110032345842E-2</c:v>
                </c:pt>
                <c:pt idx="39">
                  <c:v>4.363574647912568E-2</c:v>
                </c:pt>
                <c:pt idx="40">
                  <c:v>4.4685477776941283E-2</c:v>
                </c:pt>
                <c:pt idx="41">
                  <c:v>4.5732240445236411E-2</c:v>
                </c:pt>
                <c:pt idx="42">
                  <c:v>4.6775971643554577E-2</c:v>
                </c:pt>
                <c:pt idx="43">
                  <c:v>4.7816609182768019E-2</c:v>
                </c:pt>
                <c:pt idx="44">
                  <c:v>4.8854091536021486E-2</c:v>
                </c:pt>
                <c:pt idx="45">
                  <c:v>4.9888357849387513E-2</c:v>
                </c:pt>
                <c:pt idx="46">
                  <c:v>5.0919347952230187E-2</c:v>
                </c:pt>
                <c:pt idx="47">
                  <c:v>5.1947002367274467E-2</c:v>
                </c:pt>
                <c:pt idx="48">
                  <c:v>5.29712623203785E-2</c:v>
                </c:pt>
                <c:pt idx="49">
                  <c:v>5.3992069750006401E-2</c:v>
                </c:pt>
                <c:pt idx="50">
                  <c:v>5.5009367316399313E-2</c:v>
                </c:pt>
                <c:pt idx="51">
                  <c:v>5.6023098410442639E-2</c:v>
                </c:pt>
                <c:pt idx="52">
                  <c:v>5.7033207162227879E-2</c:v>
                </c:pt>
                <c:pt idx="53">
                  <c:v>5.8039638449307027E-2</c:v>
                </c:pt>
                <c:pt idx="54">
                  <c:v>5.9042337904638566E-2</c:v>
                </c:pt>
                <c:pt idx="55">
                  <c:v>6.0041251924223639E-2</c:v>
                </c:pt>
                <c:pt idx="56">
                  <c:v>6.103632767443145E-2</c:v>
                </c:pt>
                <c:pt idx="57">
                  <c:v>6.2027513099013033E-2</c:v>
                </c:pt>
                <c:pt idx="58">
                  <c:v>6.3014756925802995E-2</c:v>
                </c:pt>
                <c:pt idx="59">
                  <c:v>6.3998008673108661E-2</c:v>
                </c:pt>
                <c:pt idx="60">
                  <c:v>6.497721865578647E-2</c:v>
                </c:pt>
                <c:pt idx="61">
                  <c:v>6.5952337991005847E-2</c:v>
                </c:pt>
                <c:pt idx="62">
                  <c:v>6.692331860370028E-2</c:v>
                </c:pt>
                <c:pt idx="63">
                  <c:v>6.7890113231706559E-2</c:v>
                </c:pt>
                <c:pt idx="64">
                  <c:v>6.8852675430592439E-2</c:v>
                </c:pt>
                <c:pt idx="65">
                  <c:v>6.9810959578173334E-2</c:v>
                </c:pt>
                <c:pt idx="66">
                  <c:v>7.0764920878719606E-2</c:v>
                </c:pt>
                <c:pt idx="67">
                  <c:v>7.1714515366854789E-2</c:v>
                </c:pt>
                <c:pt idx="68">
                  <c:v>7.265969991114675E-2</c:v>
                </c:pt>
                <c:pt idx="69">
                  <c:v>7.3600432217392792E-2</c:v>
                </c:pt>
                <c:pt idx="70">
                  <c:v>7.4536670831600732E-2</c:v>
                </c:pt>
                <c:pt idx="71">
                  <c:v>7.5468375142667313E-2</c:v>
                </c:pt>
                <c:pt idx="72">
                  <c:v>7.6395505384756451E-2</c:v>
                </c:pt>
                <c:pt idx="73">
                  <c:v>7.7318022639379064E-2</c:v>
                </c:pt>
                <c:pt idx="74">
                  <c:v>7.8235888837177026E-2</c:v>
                </c:pt>
                <c:pt idx="75">
                  <c:v>7.9149066759413467E-2</c:v>
                </c:pt>
                <c:pt idx="76">
                  <c:v>8.00575200391722E-2</c:v>
                </c:pt>
                <c:pt idx="77">
                  <c:v>8.096121316226905E-2</c:v>
                </c:pt>
                <c:pt idx="78">
                  <c:v>8.1860111467877666E-2</c:v>
                </c:pt>
                <c:pt idx="79">
                  <c:v>8.2754181148873174E-2</c:v>
                </c:pt>
                <c:pt idx="80">
                  <c:v>8.3643389251896696E-2</c:v>
                </c:pt>
                <c:pt idx="81">
                  <c:v>8.4527703677143767E-2</c:v>
                </c:pt>
                <c:pt idx="82">
                  <c:v>8.5407093177880491E-2</c:v>
                </c:pt>
                <c:pt idx="83">
                  <c:v>8.628152735969051E-2</c:v>
                </c:pt>
                <c:pt idx="84">
                  <c:v>8.7150976679456732E-2</c:v>
                </c:pt>
                <c:pt idx="85">
                  <c:v>8.8015412444081273E-2</c:v>
                </c:pt>
                <c:pt idx="86">
                  <c:v>8.8874806808947659E-2</c:v>
                </c:pt>
                <c:pt idx="87">
                  <c:v>8.9729132776129109E-2</c:v>
                </c:pt>
                <c:pt idx="88">
                  <c:v>9.0578364192346966E-2</c:v>
                </c:pt>
                <c:pt idx="89">
                  <c:v>9.1422475746683288E-2</c:v>
                </c:pt>
                <c:pt idx="90">
                  <c:v>9.2261442968051985E-2</c:v>
                </c:pt>
                <c:pt idx="91">
                  <c:v>9.3095242222432539E-2</c:v>
                </c:pt>
                <c:pt idx="92">
                  <c:v>9.3923850709870985E-2</c:v>
                </c:pt>
                <c:pt idx="93">
                  <c:v>9.4747246461252072E-2</c:v>
                </c:pt>
                <c:pt idx="94">
                  <c:v>9.5565408334847793E-2</c:v>
                </c:pt>
                <c:pt idx="95">
                  <c:v>9.6378316012646154E-2</c:v>
                </c:pt>
                <c:pt idx="96">
                  <c:v>9.7185949996465126E-2</c:v>
                </c:pt>
                <c:pt idx="97">
                  <c:v>9.7988291603856609E-2</c:v>
                </c:pt>
                <c:pt idx="98">
                  <c:v>9.8785322963804739E-2</c:v>
                </c:pt>
                <c:pt idx="99">
                  <c:v>9.9577027012223429E-2</c:v>
                </c:pt>
                <c:pt idx="100">
                  <c:v>0.1003633874872582</c:v>
                </c:pt>
                <c:pt idx="101">
                  <c:v>0.1011443889243967</c:v>
                </c:pt>
                <c:pt idx="102">
                  <c:v>0.10192001665139318</c:v>
                </c:pt>
                <c:pt idx="103">
                  <c:v>0.10269025678301145</c:v>
                </c:pt>
                <c:pt idx="104">
                  <c:v>0.10345509621559167</c:v>
                </c:pt>
                <c:pt idx="105">
                  <c:v>0.10421452262144534</c:v>
                </c:pt>
                <c:pt idx="106">
                  <c:v>0.10496852444308406</c:v>
                </c:pt>
                <c:pt idx="107">
                  <c:v>0.10571709088728649</c:v>
                </c:pt>
                <c:pt idx="108">
                  <c:v>0.10646021191900877</c:v>
                </c:pt>
                <c:pt idx="109">
                  <c:v>0.10719787825514338</c:v>
                </c:pt>
                <c:pt idx="110">
                  <c:v>0.10793008135813115</c:v>
                </c:pt>
                <c:pt idx="111">
                  <c:v>0.10865681342943187</c:v>
                </c:pt>
                <c:pt idx="112">
                  <c:v>0.10937806740285774</c:v>
                </c:pt>
                <c:pt idx="113">
                  <c:v>0.11009383693777541</c:v>
                </c:pt>
                <c:pt idx="114">
                  <c:v>0.11080411641218094</c:v>
                </c:pt>
                <c:pt idx="115">
                  <c:v>0.11150890091565285</c:v>
                </c:pt>
                <c:pt idx="116">
                  <c:v>0.11220818624218826</c:v>
                </c:pt>
                <c:pt idx="117">
                  <c:v>0.11290196888292657</c:v>
                </c:pt>
                <c:pt idx="118">
                  <c:v>0.11359024601876617</c:v>
                </c:pt>
                <c:pt idx="119">
                  <c:v>0.11427301551287834</c:v>
                </c:pt>
                <c:pt idx="120">
                  <c:v>0.11495027590312354</c:v>
                </c:pt>
                <c:pt idx="121">
                  <c:v>0.11562202639437477</c:v>
                </c:pt>
                <c:pt idx="122">
                  <c:v>0.11628826685075255</c:v>
                </c:pt>
                <c:pt idx="123">
                  <c:v>0.11694899778777644</c:v>
                </c:pt>
                <c:pt idx="124">
                  <c:v>0.11760422036443736</c:v>
                </c:pt>
                <c:pt idx="125">
                  <c:v>0.11825393637519584</c:v>
                </c:pt>
                <c:pt idx="126">
                  <c:v>0.11889814824191014</c:v>
                </c:pt>
                <c:pt idx="127">
                  <c:v>0.1195368590056991</c:v>
                </c:pt>
                <c:pt idx="128">
                  <c:v>0.12017007231874414</c:v>
                </c:pt>
                <c:pt idx="129">
                  <c:v>0.12079779243603465</c:v>
                </c:pt>
                <c:pt idx="130">
                  <c:v>0.12142002420706095</c:v>
                </c:pt>
                <c:pt idx="131">
                  <c:v>0.12203677306745972</c:v>
                </c:pt>
                <c:pt idx="132">
                  <c:v>0.12264804503061538</c:v>
                </c:pt>
                <c:pt idx="133">
                  <c:v>0.12325384667922176</c:v>
                </c:pt>
                <c:pt idx="134">
                  <c:v>0.12385418515680864</c:v>
                </c:pt>
                <c:pt idx="135">
                  <c:v>0.12444906815923648</c:v>
                </c:pt>
                <c:pt idx="136">
                  <c:v>0.12503850392616375</c:v>
                </c:pt>
                <c:pt idx="137">
                  <c:v>0.12562250123249064</c:v>
                </c:pt>
                <c:pt idx="138">
                  <c:v>0.1262010693797827</c:v>
                </c:pt>
                <c:pt idx="139">
                  <c:v>0.12677421818767901</c:v>
                </c:pt>
                <c:pt idx="140">
                  <c:v>0.12734195798528736</c:v>
                </c:pt>
                <c:pt idx="141">
                  <c:v>0.12790429960257083</c:v>
                </c:pt>
                <c:pt idx="142">
                  <c:v>0.1284612543617295</c:v>
                </c:pt>
                <c:pt idx="143">
                  <c:v>0.12901283406858027</c:v>
                </c:pt>
                <c:pt idx="144">
                  <c:v>0.12955905100393794</c:v>
                </c:pt>
                <c:pt idx="145">
                  <c:v>0.13009991791500208</c:v>
                </c:pt>
                <c:pt idx="146">
                  <c:v>0.13063544800675131</c:v>
                </c:pt>
                <c:pt idx="147">
                  <c:v>0.13116565493334995</c:v>
                </c:pt>
                <c:pt idx="148">
                  <c:v>0.1316905527895684</c:v>
                </c:pt>
                <c:pt idx="149">
                  <c:v>0.13221015610222162</c:v>
                </c:pt>
                <c:pt idx="150">
                  <c:v>0.13272447982162805</c:v>
                </c:pt>
                <c:pt idx="151">
                  <c:v>0.1332335393130919</c:v>
                </c:pt>
                <c:pt idx="152">
                  <c:v>0.13373735034841186</c:v>
                </c:pt>
                <c:pt idx="153">
                  <c:v>0.13423592909741869</c:v>
                </c:pt>
                <c:pt idx="154">
                  <c:v>0.13472929211954437</c:v>
                </c:pt>
                <c:pt idx="155">
                  <c:v>0.13521745635542587</c:v>
                </c:pt>
                <c:pt idx="156">
                  <c:v>0.13570043911854526</c:v>
                </c:pt>
                <c:pt idx="157">
                  <c:v>0.13617825808690939</c:v>
                </c:pt>
                <c:pt idx="158">
                  <c:v>0.13665093129477079</c:v>
                </c:pt>
                <c:pt idx="159">
                  <c:v>0.13711847712439279</c:v>
                </c:pt>
                <c:pt idx="160">
                  <c:v>0.13758091429786046</c:v>
                </c:pt>
                <c:pt idx="161">
                  <c:v>0.13803826186893997</c:v>
                </c:pt>
                <c:pt idx="162">
                  <c:v>0.13849053921498808</c:v>
                </c:pt>
                <c:pt idx="163">
                  <c:v>0.138937766028914</c:v>
                </c:pt>
                <c:pt idx="164">
                  <c:v>0.1393799623111957</c:v>
                </c:pt>
                <c:pt idx="165">
                  <c:v>0.13981714836195194</c:v>
                </c:pt>
                <c:pt idx="166">
                  <c:v>0.14024934477307252</c:v>
                </c:pt>
                <c:pt idx="167">
                  <c:v>0.14067657242040801</c:v>
                </c:pt>
                <c:pt idx="168">
                  <c:v>0.14109885245602066</c:v>
                </c:pt>
                <c:pt idx="169">
                  <c:v>0.14151620630049833</c:v>
                </c:pt>
                <c:pt idx="170">
                  <c:v>0.14192865563533275</c:v>
                </c:pt>
                <c:pt idx="171">
                  <c:v>0.14233622239536356</c:v>
                </c:pt>
                <c:pt idx="172">
                  <c:v>0.14273892876128949</c:v>
                </c:pt>
                <c:pt idx="173">
                  <c:v>0.14313679715224825</c:v>
                </c:pt>
                <c:pt idx="174">
                  <c:v>0.14352985021846601</c:v>
                </c:pt>
                <c:pt idx="175">
                  <c:v>0.14391811083397799</c:v>
                </c:pt>
                <c:pt idx="176">
                  <c:v>0.14430160208942117</c:v>
                </c:pt>
                <c:pt idx="177">
                  <c:v>0.14468034728490015</c:v>
                </c:pt>
                <c:pt idx="178">
                  <c:v>0.14505436992292714</c:v>
                </c:pt>
                <c:pt idx="179">
                  <c:v>0.14542369370143726</c:v>
                </c:pt>
                <c:pt idx="180">
                  <c:v>0.14578834250687966</c:v>
                </c:pt>
                <c:pt idx="181">
                  <c:v>0.14614834040738589</c:v>
                </c:pt>
                <c:pt idx="182">
                  <c:v>0.14650371164601542</c:v>
                </c:pt>
                <c:pt idx="183">
                  <c:v>0.1468544806340801</c:v>
                </c:pt>
                <c:pt idx="184">
                  <c:v>0.14720067194454742</c:v>
                </c:pt>
                <c:pt idx="185">
                  <c:v>0.14754231030552326</c:v>
                </c:pt>
                <c:pt idx="186">
                  <c:v>0.14787942059381531</c:v>
                </c:pt>
                <c:pt idx="187">
                  <c:v>0.14821202782857704</c:v>
                </c:pt>
                <c:pt idx="188">
                  <c:v>0.14854015716503297</c:v>
                </c:pt>
                <c:pt idx="189">
                  <c:v>0.14886383388828528</c:v>
                </c:pt>
                <c:pt idx="190">
                  <c:v>0.1491830834072034</c:v>
                </c:pt>
                <c:pt idx="191">
                  <c:v>0.14949793124839464</c:v>
                </c:pt>
                <c:pt idx="192">
                  <c:v>0.14980840305025853</c:v>
                </c:pt>
                <c:pt idx="193">
                  <c:v>0.15011452455712354</c:v>
                </c:pt>
                <c:pt idx="194">
                  <c:v>0.15041632161346699</c:v>
                </c:pt>
                <c:pt idx="195">
                  <c:v>0.15071382015821833</c:v>
                </c:pt>
                <c:pt idx="196">
                  <c:v>0.15100704621914518</c:v>
                </c:pt>
                <c:pt idx="197">
                  <c:v>0.15129602590732391</c:v>
                </c:pt>
                <c:pt idx="198">
                  <c:v>0.15158078541169218</c:v>
                </c:pt>
                <c:pt idx="199">
                  <c:v>0.15186135099368619</c:v>
                </c:pt>
                <c:pt idx="200">
                  <c:v>0.1521377489819607</c:v>
                </c:pt>
                <c:pt idx="201">
                  <c:v>0.15241000576719232</c:v>
                </c:pt>
                <c:pt idx="202">
                  <c:v>0.15267814779696645</c:v>
                </c:pt>
                <c:pt idx="203">
                  <c:v>0.15294220157074662</c:v>
                </c:pt>
                <c:pt idx="204">
                  <c:v>0.15320219363492726</c:v>
                </c:pt>
                <c:pt idx="205">
                  <c:v>0.15345815057796891</c:v>
                </c:pt>
                <c:pt idx="206">
                  <c:v>0.15371009902561572</c:v>
                </c:pt>
                <c:pt idx="207">
                  <c:v>0.15395806563619549</c:v>
                </c:pt>
                <c:pt idx="208">
                  <c:v>0.15420207709600101</c:v>
                </c:pt>
                <c:pt idx="209">
                  <c:v>0.15444216011475342</c:v>
                </c:pt>
                <c:pt idx="210">
                  <c:v>0.15467834142114656</c:v>
                </c:pt>
                <c:pt idx="211">
                  <c:v>0.1549106477584718</c:v>
                </c:pt>
                <c:pt idx="212">
                  <c:v>0.15513910588032379</c:v>
                </c:pt>
                <c:pt idx="213">
                  <c:v>0.15536374254638596</c:v>
                </c:pt>
                <c:pt idx="214">
                  <c:v>0.15558458451829532</c:v>
                </c:pt>
                <c:pt idx="215">
                  <c:v>0.15580165855558642</c:v>
                </c:pt>
                <c:pt idx="216">
                  <c:v>0.15601499141171402</c:v>
                </c:pt>
                <c:pt idx="217">
                  <c:v>0.15622460983015357</c:v>
                </c:pt>
                <c:pt idx="218">
                  <c:v>0.15643054054057939</c:v>
                </c:pt>
                <c:pt idx="219">
                  <c:v>0.15663281025511946</c:v>
                </c:pt>
                <c:pt idx="220">
                  <c:v>0.15683144566468682</c:v>
                </c:pt>
                <c:pt idx="221">
                  <c:v>0.15702647343538689</c:v>
                </c:pt>
                <c:pt idx="222">
                  <c:v>0.15721792020499969</c:v>
                </c:pt>
                <c:pt idx="223">
                  <c:v>0.15740581257953648</c:v>
                </c:pt>
                <c:pt idx="224">
                  <c:v>0.15759017712987108</c:v>
                </c:pt>
                <c:pt idx="225">
                  <c:v>0.15777104038844372</c:v>
                </c:pt>
                <c:pt idx="226">
                  <c:v>0.15794842884603758</c:v>
                </c:pt>
                <c:pt idx="227">
                  <c:v>0.1581223689486278</c:v>
                </c:pt>
                <c:pt idx="228">
                  <c:v>0.15829288709430128</c:v>
                </c:pt>
                <c:pt idx="229">
                  <c:v>0.15846000963024723</c:v>
                </c:pt>
                <c:pt idx="230">
                  <c:v>0.15862376284981772</c:v>
                </c:pt>
                <c:pt idx="231">
                  <c:v>0.15878417298965691</c:v>
                </c:pt>
                <c:pt idx="232">
                  <c:v>0.1589412662268995</c:v>
                </c:pt>
                <c:pt idx="233">
                  <c:v>0.15909506867643608</c:v>
                </c:pt>
                <c:pt idx="234">
                  <c:v>0.15924560638824592</c:v>
                </c:pt>
                <c:pt idx="235">
                  <c:v>0.15939290534479594</c:v>
                </c:pt>
                <c:pt idx="236">
                  <c:v>0.15953699145850506</c:v>
                </c:pt>
                <c:pt idx="237">
                  <c:v>0.1596778905692732</c:v>
                </c:pt>
                <c:pt idx="238">
                  <c:v>0.15981562844207425</c:v>
                </c:pt>
                <c:pt idx="239">
                  <c:v>0.15995023076461246</c:v>
                </c:pt>
                <c:pt idx="240">
                  <c:v>0.16008172314504091</c:v>
                </c:pt>
                <c:pt idx="241">
                  <c:v>0.16021013110974172</c:v>
                </c:pt>
                <c:pt idx="242">
                  <c:v>0.16033548010116719</c:v>
                </c:pt>
                <c:pt idx="243">
                  <c:v>0.16045779547574091</c:v>
                </c:pt>
                <c:pt idx="244">
                  <c:v>0.16057710250181814</c:v>
                </c:pt>
                <c:pt idx="245">
                  <c:v>0.16069342635770484</c:v>
                </c:pt>
                <c:pt idx="246">
                  <c:v>0.16080679212973403</c:v>
                </c:pt>
                <c:pt idx="247">
                  <c:v>0.16091722481039974</c:v>
                </c:pt>
                <c:pt idx="248">
                  <c:v>0.16102474929654625</c:v>
                </c:pt>
                <c:pt idx="249">
                  <c:v>0.1611293903876132</c:v>
                </c:pt>
                <c:pt idx="250">
                  <c:v>0.16123117278393526</c:v>
                </c:pt>
                <c:pt idx="251">
                  <c:v>0.1613301210850952</c:v>
                </c:pt>
                <c:pt idx="252">
                  <c:v>0.16142625978833025</c:v>
                </c:pt>
                <c:pt idx="253">
                  <c:v>0.16151961328699052</c:v>
                </c:pt>
                <c:pt idx="254">
                  <c:v>0.16161020586904881</c:v>
                </c:pt>
                <c:pt idx="255">
                  <c:v>0.16169806171566098</c:v>
                </c:pt>
                <c:pt idx="256">
                  <c:v>0.16178320489977618</c:v>
                </c:pt>
                <c:pt idx="257">
                  <c:v>0.16186565938479619</c:v>
                </c:pt>
                <c:pt idx="258">
                  <c:v>0.16194544902328306</c:v>
                </c:pt>
                <c:pt idx="259">
                  <c:v>0.16202259755571383</c:v>
                </c:pt>
                <c:pt idx="260">
                  <c:v>0.16209712860928277</c:v>
                </c:pt>
                <c:pt idx="261">
                  <c:v>0.16216906569674869</c:v>
                </c:pt>
                <c:pt idx="262">
                  <c:v>0.16223843221532819</c:v>
                </c:pt>
                <c:pt idx="263">
                  <c:v>0.16230525144563276</c:v>
                </c:pt>
                <c:pt idx="264">
                  <c:v>0.1623695465506502</c:v>
                </c:pt>
                <c:pt idx="265">
                  <c:v>0.16243134057476805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F-4886-A882-3ABE7D78F030}"/>
            </c:ext>
          </c:extLst>
        </c:ser>
        <c:ser>
          <c:idx val="8"/>
          <c:order val="8"/>
          <c:tx>
            <c:strRef>
              <c:f>'V2'!$AP$12</c:f>
              <c:strCache>
                <c:ptCount val="1"/>
                <c:pt idx="0">
                  <c:v>4500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'V2'!$AP$13:$AP$278</c:f>
              <c:numCache>
                <c:formatCode>0.000</c:formatCode>
                <c:ptCount val="266"/>
                <c:pt idx="0">
                  <c:v>1.1111009422473486E-3</c:v>
                </c:pt>
                <c:pt idx="1">
                  <c:v>2.2221408735456269E-3</c:v>
                </c:pt>
                <c:pt idx="2">
                  <c:v>3.333058794112363E-3</c:v>
                </c:pt>
                <c:pt idx="3">
                  <c:v>4.4437937264939914E-3</c:v>
                </c:pt>
                <c:pt idx="4">
                  <c:v>5.5542847267195808E-3</c:v>
                </c:pt>
                <c:pt idx="5">
                  <c:v>6.6644708954416943E-3</c:v>
                </c:pt>
                <c:pt idx="6">
                  <c:v>7.7742913890601183E-3</c:v>
                </c:pt>
                <c:pt idx="7">
                  <c:v>8.883685430824179E-3</c:v>
                </c:pt>
                <c:pt idx="8">
                  <c:v>9.9925923219094191E-3</c:v>
                </c:pt>
                <c:pt idx="9">
                  <c:v>1.1100951452464392E-2</c:v>
                </c:pt>
                <c:pt idx="10">
                  <c:v>1.2208702312623335E-2</c:v>
                </c:pt>
                <c:pt idx="11">
                  <c:v>1.3315784503480593E-2</c:v>
                </c:pt>
                <c:pt idx="12">
                  <c:v>1.4422137748022557E-2</c:v>
                </c:pt>
                <c:pt idx="13">
                  <c:v>1.5527701902013037E-2</c:v>
                </c:pt>
                <c:pt idx="14">
                  <c:v>1.6632416964827923E-2</c:v>
                </c:pt>
                <c:pt idx="15">
                  <c:v>1.7736223090235072E-2</c:v>
                </c:pt>
                <c:pt idx="16">
                  <c:v>1.8839060597115407E-2</c:v>
                </c:pt>
                <c:pt idx="17">
                  <c:v>1.9940869980121186E-2</c:v>
                </c:pt>
                <c:pt idx="18">
                  <c:v>2.1041591920267503E-2</c:v>
                </c:pt>
                <c:pt idx="19">
                  <c:v>2.2141167295453117E-2</c:v>
                </c:pt>
                <c:pt idx="20">
                  <c:v>2.3239537190906736E-2</c:v>
                </c:pt>
                <c:pt idx="21">
                  <c:v>2.4336642909554892E-2</c:v>
                </c:pt>
                <c:pt idx="22">
                  <c:v>2.5432425982307688E-2</c:v>
                </c:pt>
                <c:pt idx="23">
                  <c:v>2.6526828178258712E-2</c:v>
                </c:pt>
                <c:pt idx="24">
                  <c:v>2.7619791514795336E-2</c:v>
                </c:pt>
                <c:pt idx="25">
                  <c:v>2.8711258267615988E-2</c:v>
                </c:pt>
                <c:pt idx="26">
                  <c:v>2.9801170980650667E-2</c:v>
                </c:pt>
                <c:pt idx="27">
                  <c:v>3.0889472475881304E-2</c:v>
                </c:pt>
                <c:pt idx="28">
                  <c:v>3.1976105863058608E-2</c:v>
                </c:pt>
                <c:pt idx="29">
                  <c:v>3.306101454931179E-2</c:v>
                </c:pt>
                <c:pt idx="30">
                  <c:v>3.414414224864834E-2</c:v>
                </c:pt>
                <c:pt idx="31">
                  <c:v>3.522543299134006E-2</c:v>
                </c:pt>
                <c:pt idx="32">
                  <c:v>3.6304831133192696E-2</c:v>
                </c:pt>
                <c:pt idx="33">
                  <c:v>3.7382281364695791E-2</c:v>
                </c:pt>
                <c:pt idx="34">
                  <c:v>3.8457728720049954E-2</c:v>
                </c:pt>
                <c:pt idx="35">
                  <c:v>3.9531118586068476E-2</c:v>
                </c:pt>
                <c:pt idx="36">
                  <c:v>4.0602396710950485E-2</c:v>
                </c:pt>
                <c:pt idx="37">
                  <c:v>4.1671509212922946E-2</c:v>
                </c:pt>
                <c:pt idx="38">
                  <c:v>4.2738402588748711E-2</c:v>
                </c:pt>
                <c:pt idx="39">
                  <c:v>4.3803023722098121E-2</c:v>
                </c:pt>
                <c:pt idx="40">
                  <c:v>4.4865319891781504E-2</c:v>
                </c:pt>
                <c:pt idx="41">
                  <c:v>4.5925238779840269E-2</c:v>
                </c:pt>
                <c:pt idx="42">
                  <c:v>4.6982728479494133E-2</c:v>
                </c:pt>
                <c:pt idx="43">
                  <c:v>4.8037737502942324E-2</c:v>
                </c:pt>
                <c:pt idx="44">
                  <c:v>4.9090214789016401E-2</c:v>
                </c:pt>
                <c:pt idx="45">
                  <c:v>5.0140109710682813E-2</c:v>
                </c:pt>
                <c:pt idx="46">
                  <c:v>5.1187372082393122E-2</c:v>
                </c:pt>
                <c:pt idx="47">
                  <c:v>5.2231952167279674E-2</c:v>
                </c:pt>
                <c:pt idx="48">
                  <c:v>5.3273800684195544E-2</c:v>
                </c:pt>
                <c:pt idx="49">
                  <c:v>5.4312868814596328E-2</c:v>
                </c:pt>
                <c:pt idx="50">
                  <c:v>5.5349108209262594E-2</c:v>
                </c:pt>
                <c:pt idx="51">
                  <c:v>5.6382470994861225E-2</c:v>
                </c:pt>
                <c:pt idx="52">
                  <c:v>5.7412909780344225E-2</c:v>
                </c:pt>
                <c:pt idx="53">
                  <c:v>5.8440377663183767E-2</c:v>
                </c:pt>
                <c:pt idx="54">
                  <c:v>5.9464828235441913E-2</c:v>
                </c:pt>
                <c:pt idx="55">
                  <c:v>6.0486215589674056E-2</c:v>
                </c:pt>
                <c:pt idx="56">
                  <c:v>6.1504494324664989E-2</c:v>
                </c:pt>
                <c:pt idx="57">
                  <c:v>6.2519619550996414E-2</c:v>
                </c:pt>
                <c:pt idx="58">
                  <c:v>6.3531546896445065E-2</c:v>
                </c:pt>
                <c:pt idx="59">
                  <c:v>6.4540232511210743E-2</c:v>
                </c:pt>
                <c:pt idx="60">
                  <c:v>6.554563307297348E-2</c:v>
                </c:pt>
                <c:pt idx="61">
                  <c:v>6.6547705791778849E-2</c:v>
                </c:pt>
                <c:pt idx="62">
                  <c:v>6.7546408414751596E-2</c:v>
                </c:pt>
                <c:pt idx="63">
                  <c:v>6.8541699230636299E-2</c:v>
                </c:pt>
                <c:pt idx="64">
                  <c:v>6.9533537074165375E-2</c:v>
                </c:pt>
                <c:pt idx="65">
                  <c:v>7.0521881330253694E-2</c:v>
                </c:pt>
                <c:pt idx="66">
                  <c:v>7.1506691938019867E-2</c:v>
                </c:pt>
                <c:pt idx="67">
                  <c:v>7.2487929394633929E-2</c:v>
                </c:pt>
                <c:pt idx="68">
                  <c:v>7.3465554758991636E-2</c:v>
                </c:pt>
                <c:pt idx="69">
                  <c:v>7.4439529655215039E-2</c:v>
                </c:pt>
                <c:pt idx="70">
                  <c:v>7.5409816275979882E-2</c:v>
                </c:pt>
                <c:pt idx="71">
                  <c:v>7.6376377385669894E-2</c:v>
                </c:pt>
                <c:pt idx="72">
                  <c:v>7.7339176323358225E-2</c:v>
                </c:pt>
                <c:pt idx="73">
                  <c:v>7.8298177005616532E-2</c:v>
                </c:pt>
                <c:pt idx="74">
                  <c:v>7.9253343929152134E-2</c:v>
                </c:pt>
                <c:pt idx="75">
                  <c:v>8.0204642173273735E-2</c:v>
                </c:pt>
                <c:pt idx="76">
                  <c:v>8.1152037402186572E-2</c:v>
                </c:pt>
                <c:pt idx="77">
                  <c:v>8.2095495867117355E-2</c:v>
                </c:pt>
                <c:pt idx="78">
                  <c:v>8.3034984408270104E-2</c:v>
                </c:pt>
                <c:pt idx="79">
                  <c:v>8.3970470456613461E-2</c:v>
                </c:pt>
                <c:pt idx="80">
                  <c:v>8.4901922035500718E-2</c:v>
                </c:pt>
                <c:pt idx="81">
                  <c:v>8.5829307762123219E-2</c:v>
                </c:pt>
                <c:pt idx="82">
                  <c:v>8.6752596848798491E-2</c:v>
                </c:pt>
                <c:pt idx="83">
                  <c:v>8.7671759104094027E-2</c:v>
                </c:pt>
                <c:pt idx="84">
                  <c:v>8.8586764933788129E-2</c:v>
                </c:pt>
                <c:pt idx="85">
                  <c:v>8.9497585341668962E-2</c:v>
                </c:pt>
                <c:pt idx="86">
                  <c:v>9.0404191930172947E-2</c:v>
                </c:pt>
                <c:pt idx="87">
                  <c:v>9.1306556900864477E-2</c:v>
                </c:pt>
                <c:pt idx="88">
                  <c:v>9.2204653054757696E-2</c:v>
                </c:pt>
                <c:pt idx="89">
                  <c:v>9.3098453792482327E-2</c:v>
                </c:pt>
                <c:pt idx="90">
                  <c:v>9.3987933114295014E-2</c:v>
                </c:pt>
                <c:pt idx="91">
                  <c:v>9.4873065619937663E-2</c:v>
                </c:pt>
                <c:pt idx="92">
                  <c:v>9.5753826508344714E-2</c:v>
                </c:pt>
                <c:pt idx="93">
                  <c:v>9.6630191577200611E-2</c:v>
                </c:pt>
                <c:pt idx="94">
                  <c:v>9.7502137222350002E-2</c:v>
                </c:pt>
                <c:pt idx="95">
                  <c:v>9.8369640437061506E-2</c:v>
                </c:pt>
                <c:pt idx="96">
                  <c:v>9.9232678811148015E-2</c:v>
                </c:pt>
                <c:pt idx="97">
                  <c:v>0.10009123052994438</c:v>
                </c:pt>
                <c:pt idx="98">
                  <c:v>0.10094527437314527</c:v>
                </c:pt>
                <c:pt idx="99">
                  <c:v>0.1017947897135046</c:v>
                </c:pt>
                <c:pt idx="100">
                  <c:v>0.10263975651539924</c:v>
                </c:pt>
                <c:pt idx="101">
                  <c:v>0.1034801553332582</c:v>
                </c:pt>
                <c:pt idx="102">
                  <c:v>0.10431596730986015</c:v>
                </c:pt>
                <c:pt idx="103">
                  <c:v>0.10514717417450106</c:v>
                </c:pt>
                <c:pt idx="104">
                  <c:v>0.10597375824103424</c:v>
                </c:pt>
                <c:pt idx="105">
                  <c:v>0.10679570240578494</c:v>
                </c:pt>
                <c:pt idx="106">
                  <c:v>0.10761299014534173</c:v>
                </c:pt>
                <c:pt idx="107">
                  <c:v>0.10842560551422689</c:v>
                </c:pt>
                <c:pt idx="108">
                  <c:v>0.10923353314244834</c:v>
                </c:pt>
                <c:pt idx="109">
                  <c:v>0.11003675823293493</c:v>
                </c:pt>
                <c:pt idx="110">
                  <c:v>0.110835266558858</c:v>
                </c:pt>
                <c:pt idx="111">
                  <c:v>0.11162904446084113</c:v>
                </c:pt>
                <c:pt idx="112">
                  <c:v>0.1124180788440603</c:v>
                </c:pt>
                <c:pt idx="113">
                  <c:v>0.11320235717523777</c:v>
                </c:pt>
                <c:pt idx="114">
                  <c:v>0.11398186747953072</c:v>
                </c:pt>
                <c:pt idx="115">
                  <c:v>0.11475659833731812</c:v>
                </c:pt>
                <c:pt idx="116">
                  <c:v>0.11552653888088789</c:v>
                </c:pt>
                <c:pt idx="117">
                  <c:v>0.11629167879102664</c:v>
                </c:pt>
                <c:pt idx="118">
                  <c:v>0.11705200829351459</c:v>
                </c:pt>
                <c:pt idx="119">
                  <c:v>0.1178075181555281</c:v>
                </c:pt>
                <c:pt idx="120">
                  <c:v>0.11855819968195223</c:v>
                </c:pt>
                <c:pt idx="121">
                  <c:v>0.11930404471160568</c:v>
                </c:pt>
                <c:pt idx="122">
                  <c:v>0.12004504561338082</c:v>
                </c:pt>
                <c:pt idx="123">
                  <c:v>0.12078119528230111</c:v>
                </c:pt>
                <c:pt idx="124">
                  <c:v>0.12151248713549806</c:v>
                </c:pt>
                <c:pt idx="125">
                  <c:v>0.12223891510811087</c:v>
                </c:pt>
                <c:pt idx="126">
                  <c:v>0.12296047364911049</c:v>
                </c:pt>
                <c:pt idx="127">
                  <c:v>0.12367715771705108</c:v>
                </c:pt>
                <c:pt idx="128">
                  <c:v>0.12438896277575091</c:v>
                </c:pt>
                <c:pt idx="129">
                  <c:v>0.12509588478990533</c:v>
                </c:pt>
                <c:pt idx="130">
                  <c:v>0.12579792022063427</c:v>
                </c:pt>
                <c:pt idx="131">
                  <c:v>0.12649506602096633</c:v>
                </c:pt>
                <c:pt idx="132">
                  <c:v>0.12718731963126254</c:v>
                </c:pt>
                <c:pt idx="133">
                  <c:v>0.12787467897458141</c:v>
                </c:pt>
                <c:pt idx="134">
                  <c:v>0.12855714245198813</c:v>
                </c:pt>
                <c:pt idx="135">
                  <c:v>0.12923470893780994</c:v>
                </c:pt>
                <c:pt idx="136">
                  <c:v>0.12990737777484063</c:v>
                </c:pt>
                <c:pt idx="137">
                  <c:v>0.13057514876949533</c:v>
                </c:pt>
                <c:pt idx="138">
                  <c:v>0.1312380221869196</c:v>
                </c:pt>
                <c:pt idx="139">
                  <c:v>0.13189599874605318</c:v>
                </c:pt>
                <c:pt idx="140">
                  <c:v>0.13254907961465209</c:v>
                </c:pt>
                <c:pt idx="141">
                  <c:v>0.13319726640427101</c:v>
                </c:pt>
                <c:pt idx="142">
                  <c:v>0.13384056116520759</c:v>
                </c:pt>
                <c:pt idx="143">
                  <c:v>0.13447896638141152</c:v>
                </c:pt>
                <c:pt idx="144">
                  <c:v>0.13511248496536035</c:v>
                </c:pt>
                <c:pt idx="145">
                  <c:v>0.13574112025290425</c:v>
                </c:pt>
                <c:pt idx="146">
                  <c:v>0.13636487599808167</c:v>
                </c:pt>
                <c:pt idx="147">
                  <c:v>0.13698375636790799</c:v>
                </c:pt>
                <c:pt idx="148">
                  <c:v>0.13759776593713985</c:v>
                </c:pt>
                <c:pt idx="149">
                  <c:v>0.13820690968301616</c:v>
                </c:pt>
                <c:pt idx="150">
                  <c:v>0.13881119297997893</c:v>
                </c:pt>
                <c:pt idx="151">
                  <c:v>0.13941062159437495</c:v>
                </c:pt>
                <c:pt idx="152">
                  <c:v>0.14000520167914104</c:v>
                </c:pt>
                <c:pt idx="153">
                  <c:v>0.14059493976847443</c:v>
                </c:pt>
                <c:pt idx="154">
                  <c:v>0.14117984277249004</c:v>
                </c:pt>
                <c:pt idx="155">
                  <c:v>0.14175991797186727</c:v>
                </c:pt>
                <c:pt idx="156">
                  <c:v>0.14233517301248694</c:v>
                </c:pt>
                <c:pt idx="157">
                  <c:v>0.14290561590006168</c:v>
                </c:pt>
                <c:pt idx="158">
                  <c:v>0.14347125499476029</c:v>
                </c:pt>
                <c:pt idx="159">
                  <c:v>0.14403209900582847</c:v>
                </c:pt>
                <c:pt idx="160">
                  <c:v>0.1445881569862075</c:v>
                </c:pt>
                <c:pt idx="161">
                  <c:v>0.14513943832715281</c:v>
                </c:pt>
                <c:pt idx="162">
                  <c:v>0.1456859527528537</c:v>
                </c:pt>
                <c:pt idx="163">
                  <c:v>0.14622771031505605</c:v>
                </c:pt>
                <c:pt idx="164">
                  <c:v>0.14676472138768959</c:v>
                </c:pt>
                <c:pt idx="165">
                  <c:v>0.14729699666150153</c:v>
                </c:pt>
                <c:pt idx="166">
                  <c:v>0.14782454713869767</c:v>
                </c:pt>
                <c:pt idx="167">
                  <c:v>0.14834738412759299</c:v>
                </c:pt>
                <c:pt idx="168">
                  <c:v>0.14886551923727254</c:v>
                </c:pt>
                <c:pt idx="169">
                  <c:v>0.14937896437226475</c:v>
                </c:pt>
                <c:pt idx="170">
                  <c:v>0.14988773172722838</c:v>
                </c:pt>
                <c:pt idx="171">
                  <c:v>0.15039183378165397</c:v>
                </c:pt>
                <c:pt idx="172">
                  <c:v>0.15089128329458193</c:v>
                </c:pt>
                <c:pt idx="173">
                  <c:v>0.15138609329933808</c:v>
                </c:pt>
                <c:pt idx="174">
                  <c:v>0.15187627709828805</c:v>
                </c:pt>
                <c:pt idx="175">
                  <c:v>0.15236184825761159</c:v>
                </c:pt>
                <c:pt idx="176">
                  <c:v>0.15284282060209869</c:v>
                </c:pt>
                <c:pt idx="177">
                  <c:v>0.15331920820996758</c:v>
                </c:pt>
                <c:pt idx="178">
                  <c:v>0.15379102540770681</c:v>
                </c:pt>
                <c:pt idx="179">
                  <c:v>0.15425828676494188</c:v>
                </c:pt>
                <c:pt idx="180">
                  <c:v>0.15472100708932787</c:v>
                </c:pt>
                <c:pt idx="181">
                  <c:v>0.15517920142146879</c:v>
                </c:pt>
                <c:pt idx="182">
                  <c:v>0.15563288502986497</c:v>
                </c:pt>
                <c:pt idx="183">
                  <c:v>0.15608207340588934</c:v>
                </c:pt>
                <c:pt idx="184">
                  <c:v>0.15652678225879355</c:v>
                </c:pt>
                <c:pt idx="185">
                  <c:v>0.15696702751074487</c:v>
                </c:pt>
                <c:pt idx="186">
                  <c:v>0.15740282529189487</c:v>
                </c:pt>
                <c:pt idx="187">
                  <c:v>0.15783419193548059</c:v>
                </c:pt>
                <c:pt idx="188">
                  <c:v>0.15826114397295904</c:v>
                </c:pt>
                <c:pt idx="189">
                  <c:v>0.15868369812917599</c:v>
                </c:pt>
                <c:pt idx="190">
                  <c:v>0.15910187131756981</c:v>
                </c:pt>
                <c:pt idx="191">
                  <c:v>0.15951568063541086</c:v>
                </c:pt>
                <c:pt idx="192">
                  <c:v>0.15992514335907737</c:v>
                </c:pt>
                <c:pt idx="193">
                  <c:v>0.16033027693936858</c:v>
                </c:pt>
                <c:pt idx="194">
                  <c:v>0.16073109899685553</c:v>
                </c:pt>
                <c:pt idx="195">
                  <c:v>0.16112762731727015</c:v>
                </c:pt>
                <c:pt idx="196">
                  <c:v>0.16151987984693389</c:v>
                </c:pt>
                <c:pt idx="197">
                  <c:v>0.16190787468822521</c:v>
                </c:pt>
                <c:pt idx="198">
                  <c:v>0.16229163009508796</c:v>
                </c:pt>
                <c:pt idx="199">
                  <c:v>0.16267116446857985</c:v>
                </c:pt>
                <c:pt idx="200">
                  <c:v>0.16304649635246249</c:v>
                </c:pt>
                <c:pt idx="201">
                  <c:v>0.16341764442883294</c:v>
                </c:pt>
                <c:pt idx="202">
                  <c:v>0.16378462751379719</c:v>
                </c:pt>
                <c:pt idx="203">
                  <c:v>0.1641474645531866</c:v>
                </c:pt>
                <c:pt idx="204">
                  <c:v>0.16450617461831665</c:v>
                </c:pt>
                <c:pt idx="205">
                  <c:v>0.16486077690178957</c:v>
                </c:pt>
                <c:pt idx="206">
                  <c:v>0.16521129071334012</c:v>
                </c:pt>
                <c:pt idx="207">
                  <c:v>0.16555773547572575</c:v>
                </c:pt>
                <c:pt idx="208">
                  <c:v>0.16590013072066051</c:v>
                </c:pt>
                <c:pt idx="209">
                  <c:v>0.16623849608479416</c:v>
                </c:pt>
                <c:pt idx="210">
                  <c:v>0.16657285130573543</c:v>
                </c:pt>
                <c:pt idx="211">
                  <c:v>0.16690321621812068</c:v>
                </c:pt>
                <c:pt idx="212">
                  <c:v>0.16722961074972775</c:v>
                </c:pt>
                <c:pt idx="213">
                  <c:v>0.16755205491763517</c:v>
                </c:pt>
                <c:pt idx="214">
                  <c:v>0.16787056882442719</c:v>
                </c:pt>
                <c:pt idx="215">
                  <c:v>0.16818517265444397</c:v>
                </c:pt>
                <c:pt idx="216">
                  <c:v>0.16849588667007867</c:v>
                </c:pt>
                <c:pt idx="217">
                  <c:v>0.16880273120811962</c:v>
                </c:pt>
                <c:pt idx="218">
                  <c:v>0.16910572667613891</c:v>
                </c:pt>
                <c:pt idx="219">
                  <c:v>0.16940489354892752</c:v>
                </c:pt>
                <c:pt idx="220">
                  <c:v>0.16970025236497599</c:v>
                </c:pt>
                <c:pt idx="221">
                  <c:v>0.16999182372300192</c:v>
                </c:pt>
                <c:pt idx="222">
                  <c:v>0.17027962827852369</c:v>
                </c:pt>
                <c:pt idx="223">
                  <c:v>0.17056368674048017</c:v>
                </c:pt>
                <c:pt idx="224">
                  <c:v>0.17084401986789693</c:v>
                </c:pt>
                <c:pt idx="225">
                  <c:v>0.171120648466599</c:v>
                </c:pt>
                <c:pt idx="226">
                  <c:v>0.1713935933859691</c:v>
                </c:pt>
                <c:pt idx="227">
                  <c:v>0.17166287551575307</c:v>
                </c:pt>
                <c:pt idx="228">
                  <c:v>0.17192851578291038</c:v>
                </c:pt>
                <c:pt idx="229">
                  <c:v>0.17219053514851138</c:v>
                </c:pt>
                <c:pt idx="230">
                  <c:v>0.17244895460468004</c:v>
                </c:pt>
                <c:pt idx="231">
                  <c:v>0.17270379517158282</c:v>
                </c:pt>
                <c:pt idx="232">
                  <c:v>0.17295507789446279</c:v>
                </c:pt>
                <c:pt idx="233">
                  <c:v>0.17320282384071994</c:v>
                </c:pt>
                <c:pt idx="234">
                  <c:v>0.17344705409703587</c:v>
                </c:pt>
                <c:pt idx="235">
                  <c:v>0.17368778976654475</c:v>
                </c:pt>
                <c:pt idx="236">
                  <c:v>0.17392505196604885</c:v>
                </c:pt>
                <c:pt idx="237">
                  <c:v>0.17415886182327878</c:v>
                </c:pt>
                <c:pt idx="238">
                  <c:v>0.1743892404741984</c:v>
                </c:pt>
                <c:pt idx="239">
                  <c:v>0.17461620906035474</c:v>
                </c:pt>
                <c:pt idx="240">
                  <c:v>0.17483978872627154</c:v>
                </c:pt>
                <c:pt idx="241">
                  <c:v>0.17506000061688681</c:v>
                </c:pt>
                <c:pt idx="242">
                  <c:v>0.17527686587503472</c:v>
                </c:pt>
                <c:pt idx="243">
                  <c:v>0.17549040563897034</c:v>
                </c:pt>
                <c:pt idx="244">
                  <c:v>0.1757006410399381</c:v>
                </c:pt>
                <c:pt idx="245">
                  <c:v>0.17590759319978314</c:v>
                </c:pt>
                <c:pt idx="246">
                  <c:v>0.1761112832286052</c:v>
                </c:pt>
                <c:pt idx="247">
                  <c:v>0.17631173222245511</c:v>
                </c:pt>
                <c:pt idx="248">
                  <c:v>0.17650896126107371</c:v>
                </c:pt>
                <c:pt idx="249">
                  <c:v>0.17670299140567217</c:v>
                </c:pt>
                <c:pt idx="250">
                  <c:v>0.17689384369675396</c:v>
                </c:pt>
                <c:pt idx="251">
                  <c:v>0.17708153915197852</c:v>
                </c:pt>
                <c:pt idx="252">
                  <c:v>0.17726609876406549</c:v>
                </c:pt>
                <c:pt idx="253">
                  <c:v>0.17744754349873942</c:v>
                </c:pt>
                <c:pt idx="254">
                  <c:v>0.17762589429271528</c:v>
                </c:pt>
                <c:pt idx="255">
                  <c:v>0.17780117205172352</c:v>
                </c:pt>
                <c:pt idx="256">
                  <c:v>0.17797339764857509</c:v>
                </c:pt>
                <c:pt idx="257">
                  <c:v>0.17814259192126525</c:v>
                </c:pt>
                <c:pt idx="258">
                  <c:v>0.17830877567111708</c:v>
                </c:pt>
                <c:pt idx="259">
                  <c:v>0.17847196966096279</c:v>
                </c:pt>
                <c:pt idx="260">
                  <c:v>0.17863219461336405</c:v>
                </c:pt>
                <c:pt idx="261">
                  <c:v>0.17878947120886937</c:v>
                </c:pt>
                <c:pt idx="262">
                  <c:v>0.17894382008430984</c:v>
                </c:pt>
                <c:pt idx="263">
                  <c:v>0.17909526183113142</c:v>
                </c:pt>
                <c:pt idx="264">
                  <c:v>0.17924381699376429</c:v>
                </c:pt>
                <c:pt idx="265">
                  <c:v>0.17938950606802864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F-4886-A882-3ABE7D78F030}"/>
            </c:ext>
          </c:extLst>
        </c:ser>
        <c:ser>
          <c:idx val="9"/>
          <c:order val="9"/>
          <c:tx>
            <c:strRef>
              <c:f>'V2'!$AQ$12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'V2'!$AQ$13:$AQ$278</c:f>
              <c:numCache>
                <c:formatCode>0.000</c:formatCode>
                <c:ptCount val="266"/>
                <c:pt idx="0">
                  <c:v>1.1111028743171407E-3</c:v>
                </c:pt>
                <c:pt idx="1">
                  <c:v>2.2221563293358744E-3</c:v>
                </c:pt>
                <c:pt idx="2">
                  <c:v>3.3331109530843777E-3</c:v>
                </c:pt>
                <c:pt idx="3">
                  <c:v>4.4439173482417136E-3</c:v>
                </c:pt>
                <c:pt idx="4">
                  <c:v>5.554526139457578E-3</c:v>
                </c:pt>
                <c:pt idx="5">
                  <c:v>6.6648879806651944E-3</c:v>
                </c:pt>
                <c:pt idx="6">
                  <c:v>7.7749535623851214E-3</c:v>
                </c:pt>
                <c:pt idx="7">
                  <c:v>8.8846736190176523E-3</c:v>
                </c:pt>
                <c:pt idx="8">
                  <c:v>9.9939989361215922E-3</c:v>
                </c:pt>
                <c:pt idx="9">
                  <c:v>1.1102880357677133E-2</c:v>
                </c:pt>
                <c:pt idx="10">
                  <c:v>1.2211268793330577E-2</c:v>
                </c:pt>
                <c:pt idx="11">
                  <c:v>1.3319115225618681E-2</c:v>
                </c:pt>
                <c:pt idx="12">
                  <c:v>1.442637071717039E-2</c:v>
                </c:pt>
                <c:pt idx="13">
                  <c:v>1.5532986417883759E-2</c:v>
                </c:pt>
                <c:pt idx="14">
                  <c:v>1.6638913572075836E-2</c:v>
                </c:pt>
                <c:pt idx="15">
                  <c:v>1.7744103525603332E-2</c:v>
                </c:pt>
                <c:pt idx="16">
                  <c:v>1.8848507732951932E-2</c:v>
                </c:pt>
                <c:pt idx="17">
                  <c:v>1.9952077764292035E-2</c:v>
                </c:pt>
                <c:pt idx="18">
                  <c:v>2.1054765312498846E-2</c:v>
                </c:pt>
                <c:pt idx="19">
                  <c:v>2.2156522200134653E-2</c:v>
                </c:pt>
                <c:pt idx="20">
                  <c:v>2.3257300386391237E-2</c:v>
                </c:pt>
                <c:pt idx="21">
                  <c:v>2.4357051973990296E-2</c:v>
                </c:pt>
                <c:pt idx="22">
                  <c:v>2.5455729216039839E-2</c:v>
                </c:pt>
                <c:pt idx="23">
                  <c:v>2.6553284522844538E-2</c:v>
                </c:pt>
                <c:pt idx="24">
                  <c:v>2.7649670468668019E-2</c:v>
                </c:pt>
                <c:pt idx="25">
                  <c:v>2.8744839798445058E-2</c:v>
                </c:pt>
                <c:pt idx="26">
                  <c:v>2.9838745434441847E-2</c:v>
                </c:pt>
                <c:pt idx="27">
                  <c:v>3.0931340482862269E-2</c:v>
                </c:pt>
                <c:pt idx="28">
                  <c:v>3.2022578240398343E-2</c:v>
                </c:pt>
                <c:pt idx="29">
                  <c:v>3.311241220072296E-2</c:v>
                </c:pt>
                <c:pt idx="30">
                  <c:v>3.4200796060923085E-2</c:v>
                </c:pt>
                <c:pt idx="31">
                  <c:v>3.5287683727871548E-2</c:v>
                </c:pt>
                <c:pt idx="32">
                  <c:v>3.6373029324535726E-2</c:v>
                </c:pt>
                <c:pt idx="33">
                  <c:v>3.7456787196221301E-2</c:v>
                </c:pt>
                <c:pt idx="34">
                  <c:v>3.8538911916749408E-2</c:v>
                </c:pt>
                <c:pt idx="35">
                  <c:v>3.9619358294565504E-2</c:v>
                </c:pt>
                <c:pt idx="36">
                  <c:v>4.0698081378778221E-2</c:v>
                </c:pt>
                <c:pt idx="37">
                  <c:v>4.1775036465126779E-2</c:v>
                </c:pt>
                <c:pt idx="38">
                  <c:v>4.2850179101875163E-2</c:v>
                </c:pt>
                <c:pt idx="39">
                  <c:v>4.3923465095631636E-2</c:v>
                </c:pt>
                <c:pt idx="40">
                  <c:v>4.4994850517092157E-2</c:v>
                </c:pt>
                <c:pt idx="41">
                  <c:v>4.6064291706706034E-2</c:v>
                </c:pt>
                <c:pt idx="42">
                  <c:v>4.7131745280262614E-2</c:v>
                </c:pt>
                <c:pt idx="43">
                  <c:v>4.819716813439745E-2</c:v>
                </c:pt>
                <c:pt idx="44">
                  <c:v>4.9260517452016726E-2</c:v>
                </c:pt>
                <c:pt idx="45">
                  <c:v>5.032175070763846E-2</c:v>
                </c:pt>
                <c:pt idx="46">
                  <c:v>5.1380825672649524E-2</c:v>
                </c:pt>
                <c:pt idx="47">
                  <c:v>5.2437700420476782E-2</c:v>
                </c:pt>
                <c:pt idx="48">
                  <c:v>5.3492333331671769E-2</c:v>
                </c:pt>
                <c:pt idx="49">
                  <c:v>5.4544683098907108E-2</c:v>
                </c:pt>
                <c:pt idx="50">
                  <c:v>5.5594708731884178E-2</c:v>
                </c:pt>
                <c:pt idx="51">
                  <c:v>5.6642369562150484E-2</c:v>
                </c:pt>
                <c:pt idx="52">
                  <c:v>5.7687625247826044E-2</c:v>
                </c:pt>
                <c:pt idx="53">
                  <c:v>5.8730435778237618E-2</c:v>
                </c:pt>
                <c:pt idx="54">
                  <c:v>5.977076147846002E-2</c:v>
                </c:pt>
                <c:pt idx="55">
                  <c:v>6.0808563013763382E-2</c:v>
                </c:pt>
                <c:pt idx="56">
                  <c:v>6.1843801393965857E-2</c:v>
                </c:pt>
                <c:pt idx="57">
                  <c:v>6.2876437977690658E-2</c:v>
                </c:pt>
                <c:pt idx="58">
                  <c:v>6.3906434476526844E-2</c:v>
                </c:pt>
                <c:pt idx="59">
                  <c:v>6.493375295909308E-2</c:v>
                </c:pt>
                <c:pt idx="60">
                  <c:v>6.5958355855003772E-2</c:v>
                </c:pt>
                <c:pt idx="61">
                  <c:v>6.6980205958736827E-2</c:v>
                </c:pt>
                <c:pt idx="62">
                  <c:v>6.7999266433402622E-2</c:v>
                </c:pt>
                <c:pt idx="63">
                  <c:v>6.9015500814413488E-2</c:v>
                </c:pt>
                <c:pt idx="64">
                  <c:v>7.0028873013053314E-2</c:v>
                </c:pt>
                <c:pt idx="65">
                  <c:v>7.1039347319946766E-2</c:v>
                </c:pt>
                <c:pt idx="66">
                  <c:v>7.2046888408427809E-2</c:v>
                </c:pt>
                <c:pt idx="67">
                  <c:v>7.3051461337807072E-2</c:v>
                </c:pt>
                <c:pt idx="68">
                  <c:v>7.4053031556537668E-2</c:v>
                </c:pt>
                <c:pt idx="69">
                  <c:v>7.5051564905279547E-2</c:v>
                </c:pt>
                <c:pt idx="70">
                  <c:v>7.604702761986161E-2</c:v>
                </c:pt>
                <c:pt idx="71">
                  <c:v>7.7039386334141854E-2</c:v>
                </c:pt>
                <c:pt idx="72">
                  <c:v>7.8028608082765238E-2</c:v>
                </c:pt>
                <c:pt idx="73">
                  <c:v>7.9014660303819026E-2</c:v>
                </c:pt>
                <c:pt idx="74">
                  <c:v>7.999751084138583E-2</c:v>
                </c:pt>
                <c:pt idx="75">
                  <c:v>8.0977127947993985E-2</c:v>
                </c:pt>
                <c:pt idx="76">
                  <c:v>8.1953480286965752E-2</c:v>
                </c:pt>
                <c:pt idx="77">
                  <c:v>8.2926536934662676E-2</c:v>
                </c:pt>
                <c:pt idx="78">
                  <c:v>8.3896267382629092E-2</c:v>
                </c:pt>
                <c:pt idx="79">
                  <c:v>8.486264153963323E-2</c:v>
                </c:pt>
                <c:pt idx="80">
                  <c:v>8.5825629733606204E-2</c:v>
                </c:pt>
                <c:pt idx="81">
                  <c:v>8.6785202713479628E-2</c:v>
                </c:pt>
                <c:pt idx="82">
                  <c:v>8.7741331650921309E-2</c:v>
                </c:pt>
                <c:pt idx="83">
                  <c:v>8.869398814196984E-2</c:v>
                </c:pt>
                <c:pt idx="84">
                  <c:v>8.964314420856849E-2</c:v>
                </c:pt>
                <c:pt idx="85">
                  <c:v>9.0588772299998219E-2</c:v>
                </c:pt>
                <c:pt idx="86">
                  <c:v>9.1530845294210891E-2</c:v>
                </c:pt>
                <c:pt idx="87">
                  <c:v>9.2469336499062513E-2</c:v>
                </c:pt>
                <c:pt idx="88">
                  <c:v>9.3404219653447529E-2</c:v>
                </c:pt>
                <c:pt idx="89">
                  <c:v>9.4335468928334137E-2</c:v>
                </c:pt>
                <c:pt idx="90">
                  <c:v>9.5263058927701677E-2</c:v>
                </c:pt>
                <c:pt idx="91">
                  <c:v>9.6186964689380219E-2</c:v>
                </c:pt>
                <c:pt idx="92">
                  <c:v>9.7107161685793308E-2</c:v>
                </c:pt>
                <c:pt idx="93">
                  <c:v>9.8023625824604249E-2</c:v>
                </c:pt>
                <c:pt idx="94">
                  <c:v>9.8936333449266833E-2</c:v>
                </c:pt>
                <c:pt idx="95">
                  <c:v>9.984526133948092E-2</c:v>
                </c:pt>
                <c:pt idx="96">
                  <c:v>0.10075038671155394</c:v>
                </c:pt>
                <c:pt idx="97">
                  <c:v>0.10165168721866871</c:v>
                </c:pt>
                <c:pt idx="98">
                  <c:v>0.10254914095105873</c:v>
                </c:pt>
                <c:pt idx="99">
                  <c:v>0.10344272643609148</c:v>
                </c:pt>
                <c:pt idx="100">
                  <c:v>0.10433242263826055</c:v>
                </c:pt>
                <c:pt idx="101">
                  <c:v>0.10521820895908794</c:v>
                </c:pt>
                <c:pt idx="102">
                  <c:v>0.10610006523693651</c:v>
                </c:pt>
                <c:pt idx="103">
                  <c:v>0.10697797174673471</c:v>
                </c:pt>
                <c:pt idx="104">
                  <c:v>0.10785190919961316</c:v>
                </c:pt>
                <c:pt idx="105">
                  <c:v>0.10872185874245542</c:v>
                </c:pt>
                <c:pt idx="106">
                  <c:v>0.10958780195736276</c:v>
                </c:pt>
                <c:pt idx="107">
                  <c:v>0.11044972086103469</c:v>
                </c:pt>
                <c:pt idx="108">
                  <c:v>0.11130759790406602</c:v>
                </c:pt>
                <c:pt idx="109">
                  <c:v>0.1121614159701614</c:v>
                </c:pt>
                <c:pt idx="110">
                  <c:v>0.11301115837526855</c:v>
                </c:pt>
                <c:pt idx="111">
                  <c:v>0.11385680886663145</c:v>
                </c:pt>
                <c:pt idx="112">
                  <c:v>0.11469835162176391</c:v>
                </c:pt>
                <c:pt idx="113">
                  <c:v>0.11553577124734558</c:v>
                </c:pt>
                <c:pt idx="114">
                  <c:v>0.11636905277804069</c:v>
                </c:pt>
                <c:pt idx="115">
                  <c:v>0.11719818167524139</c:v>
                </c:pt>
                <c:pt idx="116">
                  <c:v>0.11802314382573603</c:v>
                </c:pt>
                <c:pt idx="117">
                  <c:v>0.11884392554030467</c:v>
                </c:pt>
                <c:pt idx="118">
                  <c:v>0.11966051355224162</c:v>
                </c:pt>
                <c:pt idx="119">
                  <c:v>0.12047289501580766</c:v>
                </c:pt>
                <c:pt idx="120">
                  <c:v>0.12128105750461207</c:v>
                </c:pt>
                <c:pt idx="121">
                  <c:v>0.12208498900992611</c:v>
                </c:pt>
                <c:pt idx="122">
                  <c:v>0.12288467793892936</c:v>
                </c:pt>
                <c:pt idx="123">
                  <c:v>0.12368011311288984</c:v>
                </c:pt>
                <c:pt idx="124">
                  <c:v>0.12447128376527927</c:v>
                </c:pt>
                <c:pt idx="125">
                  <c:v>0.12525817953982488</c:v>
                </c:pt>
                <c:pt idx="126">
                  <c:v>0.1260407904884987</c:v>
                </c:pt>
                <c:pt idx="127">
                  <c:v>0.12681910706944621</c:v>
                </c:pt>
                <c:pt idx="128">
                  <c:v>0.12759312014485485</c:v>
                </c:pt>
                <c:pt idx="129">
                  <c:v>0.12836282097876431</c:v>
                </c:pt>
                <c:pt idx="130">
                  <c:v>0.12912820123481955</c:v>
                </c:pt>
                <c:pt idx="131">
                  <c:v>0.12988925297396803</c:v>
                </c:pt>
                <c:pt idx="132">
                  <c:v>0.13064596865210232</c:v>
                </c:pt>
                <c:pt idx="133">
                  <c:v>0.13139834111764936</c:v>
                </c:pt>
                <c:pt idx="134">
                  <c:v>0.13214636360910814</c:v>
                </c:pt>
                <c:pt idx="135">
                  <c:v>0.13289002975253586</c:v>
                </c:pt>
                <c:pt idx="136">
                  <c:v>0.1336293335589859</c:v>
                </c:pt>
                <c:pt idx="137">
                  <c:v>0.13436426942189664</c:v>
                </c:pt>
                <c:pt idx="138">
                  <c:v>0.13509483211443435</c:v>
                </c:pt>
                <c:pt idx="139">
                  <c:v>0.13582101678678984</c:v>
                </c:pt>
                <c:pt idx="140">
                  <c:v>0.13654281896343184</c:v>
                </c:pt>
                <c:pt idx="141">
                  <c:v>0.13726023454031669</c:v>
                </c:pt>
                <c:pt idx="142">
                  <c:v>0.13797325978205704</c:v>
                </c:pt>
                <c:pt idx="143">
                  <c:v>0.13868189131904998</c:v>
                </c:pt>
                <c:pt idx="144">
                  <c:v>0.13938612614456608</c:v>
                </c:pt>
                <c:pt idx="145">
                  <c:v>0.14008596161180129</c:v>
                </c:pt>
                <c:pt idx="146">
                  <c:v>0.1407813954308916</c:v>
                </c:pt>
                <c:pt idx="147">
                  <c:v>0.1414724256658931</c:v>
                </c:pt>
                <c:pt idx="148">
                  <c:v>0.14215905073172802</c:v>
                </c:pt>
                <c:pt idx="149">
                  <c:v>0.14284126939109792</c:v>
                </c:pt>
                <c:pt idx="150">
                  <c:v>0.14351908075136571</c:v>
                </c:pt>
                <c:pt idx="151">
                  <c:v>0.14419248426140743</c:v>
                </c:pt>
                <c:pt idx="152">
                  <c:v>0.14486147970843508</c:v>
                </c:pt>
                <c:pt idx="153">
                  <c:v>0.1455260672147918</c:v>
                </c:pt>
                <c:pt idx="154">
                  <c:v>0.14618624723472054</c:v>
                </c:pt>
                <c:pt idx="155">
                  <c:v>0.14684202055110748</c:v>
                </c:pt>
                <c:pt idx="156">
                  <c:v>0.14749338827220132</c:v>
                </c:pt>
                <c:pt idx="157">
                  <c:v>0.14814035182830973</c:v>
                </c:pt>
                <c:pt idx="158">
                  <c:v>0.14878291296847412</c:v>
                </c:pt>
                <c:pt idx="159">
                  <c:v>0.14942107375712388</c:v>
                </c:pt>
                <c:pt idx="160">
                  <c:v>0.15005483657071095</c:v>
                </c:pt>
                <c:pt idx="161">
                  <c:v>0.15068420409432665</c:v>
                </c:pt>
                <c:pt idx="162">
                  <c:v>0.15130917931830096</c:v>
                </c:pt>
                <c:pt idx="163">
                  <c:v>0.15192976553478604</c:v>
                </c:pt>
                <c:pt idx="164">
                  <c:v>0.15254596633432466</c:v>
                </c:pt>
                <c:pt idx="165">
                  <c:v>0.15315778560240528</c:v>
                </c:pt>
                <c:pt idx="166">
                  <c:v>0.15376522751600377</c:v>
                </c:pt>
                <c:pt idx="167">
                  <c:v>0.15436829654011408</c:v>
                </c:pt>
                <c:pt idx="168">
                  <c:v>0.154966997424268</c:v>
                </c:pt>
                <c:pt idx="169">
                  <c:v>0.15556133519904561</c:v>
                </c:pt>
                <c:pt idx="170">
                  <c:v>0.15615131517257691</c:v>
                </c:pt>
                <c:pt idx="171">
                  <c:v>0.1567369429270363</c:v>
                </c:pt>
                <c:pt idx="172">
                  <c:v>0.15731822431513026</c:v>
                </c:pt>
                <c:pt idx="173">
                  <c:v>0.15789516545658</c:v>
                </c:pt>
                <c:pt idx="174">
                  <c:v>0.15846777273459883</c:v>
                </c:pt>
                <c:pt idx="175">
                  <c:v>0.15903605279236663</c:v>
                </c:pt>
                <c:pt idx="176">
                  <c:v>0.15960001252950162</c:v>
                </c:pt>
                <c:pt idx="177">
                  <c:v>0.16015965909852981</c:v>
                </c:pt>
                <c:pt idx="178">
                  <c:v>0.16071499990135452</c:v>
                </c:pt>
                <c:pt idx="179">
                  <c:v>0.16126604258572538</c:v>
                </c:pt>
                <c:pt idx="180">
                  <c:v>0.16181279504170853</c:v>
                </c:pt>
                <c:pt idx="181">
                  <c:v>0.16235526539815889</c:v>
                </c:pt>
                <c:pt idx="182">
                  <c:v>0.16289346201919475</c:v>
                </c:pt>
                <c:pt idx="183">
                  <c:v>0.16342739350067609</c:v>
                </c:pt>
                <c:pt idx="184">
                  <c:v>0.16395706866668744</c:v>
                </c:pt>
                <c:pt idx="185">
                  <c:v>0.16448249656602562</c:v>
                </c:pt>
                <c:pt idx="186">
                  <c:v>0.16500368646869365</c:v>
                </c:pt>
                <c:pt idx="187">
                  <c:v>0.16552064786240125</c:v>
                </c:pt>
                <c:pt idx="188">
                  <c:v>0.16603339044907306</c:v>
                </c:pt>
                <c:pt idx="189">
                  <c:v>0.16654192414136487</c:v>
                </c:pt>
                <c:pt idx="190">
                  <c:v>0.16704625905918888</c:v>
                </c:pt>
                <c:pt idx="191">
                  <c:v>0.16754640552624872</c:v>
                </c:pt>
                <c:pt idx="192">
                  <c:v>0.16804237406658493</c:v>
                </c:pt>
                <c:pt idx="193">
                  <c:v>0.16853417540113114</c:v>
                </c:pt>
                <c:pt idx="194">
                  <c:v>0.16902182044428232</c:v>
                </c:pt>
                <c:pt idx="195">
                  <c:v>0.16950532030047538</c:v>
                </c:pt>
                <c:pt idx="196">
                  <c:v>0.16998468626078245</c:v>
                </c:pt>
                <c:pt idx="197">
                  <c:v>0.17045992979951835</c:v>
                </c:pt>
                <c:pt idx="198">
                  <c:v>0.17093106257086163</c:v>
                </c:pt>
                <c:pt idx="199">
                  <c:v>0.171398096405491</c:v>
                </c:pt>
                <c:pt idx="200">
                  <c:v>0.17186104330723667</c:v>
                </c:pt>
                <c:pt idx="201">
                  <c:v>0.17231991544974809</c:v>
                </c:pt>
                <c:pt idx="202">
                  <c:v>0.17277472517317793</c:v>
                </c:pt>
                <c:pt idx="203">
                  <c:v>0.17322548498088294</c:v>
                </c:pt>
                <c:pt idx="204">
                  <c:v>0.17367220753614251</c:v>
                </c:pt>
                <c:pt idx="205">
                  <c:v>0.17411490565889548</c:v>
                </c:pt>
                <c:pt idx="206">
                  <c:v>0.17455359232249495</c:v>
                </c:pt>
                <c:pt idx="207">
                  <c:v>0.17498828065048244</c:v>
                </c:pt>
                <c:pt idx="208">
                  <c:v>0.17541898391338129</c:v>
                </c:pt>
                <c:pt idx="209">
                  <c:v>0.17584571552551001</c:v>
                </c:pt>
                <c:pt idx="210">
                  <c:v>0.17626848904181602</c:v>
                </c:pt>
                <c:pt idx="211">
                  <c:v>0.17668731815472988</c:v>
                </c:pt>
                <c:pt idx="212">
                  <c:v>0.17710221669104054</c:v>
                </c:pt>
                <c:pt idx="213">
                  <c:v>0.1775131986087925</c:v>
                </c:pt>
                <c:pt idx="214">
                  <c:v>0.17792027799420446</c:v>
                </c:pt>
                <c:pt idx="215">
                  <c:v>0.17832346905861018</c:v>
                </c:pt>
                <c:pt idx="216">
                  <c:v>0.178722786135422</c:v>
                </c:pt>
                <c:pt idx="217">
                  <c:v>0.17911824367711723</c:v>
                </c:pt>
                <c:pt idx="218">
                  <c:v>0.17950985625224763</c:v>
                </c:pt>
                <c:pt idx="219">
                  <c:v>0.17989763854247245</c:v>
                </c:pt>
                <c:pt idx="220">
                  <c:v>0.18028160533961524</c:v>
                </c:pt>
                <c:pt idx="221">
                  <c:v>0.18066177154274463</c:v>
                </c:pt>
                <c:pt idx="222">
                  <c:v>0.18103815215527957</c:v>
                </c:pt>
                <c:pt idx="223">
                  <c:v>0.18141076228211905</c:v>
                </c:pt>
                <c:pt idx="224">
                  <c:v>0.18177961712679655</c:v>
                </c:pt>
                <c:pt idx="225">
                  <c:v>0.18214473198865977</c:v>
                </c:pt>
                <c:pt idx="226">
                  <c:v>0.18250612226007526</c:v>
                </c:pt>
                <c:pt idx="227">
                  <c:v>0.18286380342365871</c:v>
                </c:pt>
                <c:pt idx="228">
                  <c:v>0.18321779104953109</c:v>
                </c:pt>
                <c:pt idx="229">
                  <c:v>0.18356810079260016</c:v>
                </c:pt>
                <c:pt idx="230">
                  <c:v>0.18391474838986813</c:v>
                </c:pt>
                <c:pt idx="231">
                  <c:v>0.1842577496577659</c:v>
                </c:pt>
                <c:pt idx="232">
                  <c:v>0.18459712048951282</c:v>
                </c:pt>
                <c:pt idx="233">
                  <c:v>0.18493287685250359</c:v>
                </c:pt>
                <c:pt idx="234">
                  <c:v>0.18526503478572132</c:v>
                </c:pt>
                <c:pt idx="235">
                  <c:v>0.18559361039717751</c:v>
                </c:pt>
                <c:pt idx="236">
                  <c:v>0.18591861986137861</c:v>
                </c:pt>
                <c:pt idx="237">
                  <c:v>0.18624007941681958</c:v>
                </c:pt>
                <c:pt idx="238">
                  <c:v>0.18655800536350428</c:v>
                </c:pt>
                <c:pt idx="239">
                  <c:v>0.18687241406049329</c:v>
                </c:pt>
                <c:pt idx="240">
                  <c:v>0.18718332192347836</c:v>
                </c:pt>
                <c:pt idx="241">
                  <c:v>0.18749074542238431</c:v>
                </c:pt>
                <c:pt idx="242">
                  <c:v>0.18779470107899804</c:v>
                </c:pt>
                <c:pt idx="243">
                  <c:v>0.18809520546462508</c:v>
                </c:pt>
                <c:pt idx="244">
                  <c:v>0.18839227519777291</c:v>
                </c:pt>
                <c:pt idx="245">
                  <c:v>0.18868592694186201</c:v>
                </c:pt>
                <c:pt idx="246">
                  <c:v>0.1889761774029643</c:v>
                </c:pt>
                <c:pt idx="247">
                  <c:v>0.18926304332756858</c:v>
                </c:pt>
                <c:pt idx="248">
                  <c:v>0.18954654150037342</c:v>
                </c:pt>
                <c:pt idx="249">
                  <c:v>0.18982668874210773</c:v>
                </c:pt>
                <c:pt idx="250">
                  <c:v>0.19010350190737815</c:v>
                </c:pt>
                <c:pt idx="251">
                  <c:v>0.19037699788254395</c:v>
                </c:pt>
                <c:pt idx="252">
                  <c:v>0.19064719358361928</c:v>
                </c:pt>
                <c:pt idx="253">
                  <c:v>0.19091410595420266</c:v>
                </c:pt>
                <c:pt idx="254">
                  <c:v>0.19117775196343328</c:v>
                </c:pt>
                <c:pt idx="255">
                  <c:v>0.19143814860397493</c:v>
                </c:pt>
                <c:pt idx="256">
                  <c:v>0.19169531289002664</c:v>
                </c:pt>
                <c:pt idx="257">
                  <c:v>0.1919492618553606</c:v>
                </c:pt>
                <c:pt idx="258">
                  <c:v>0.19220001255138672</c:v>
                </c:pt>
                <c:pt idx="259">
                  <c:v>0.19244758204524437</c:v>
                </c:pt>
                <c:pt idx="260">
                  <c:v>0.19269198741792057</c:v>
                </c:pt>
                <c:pt idx="261">
                  <c:v>0.19293324576239515</c:v>
                </c:pt>
                <c:pt idx="262">
                  <c:v>0.19317137418181243</c:v>
                </c:pt>
                <c:pt idx="263">
                  <c:v>0.19340638978767929</c:v>
                </c:pt>
                <c:pt idx="264">
                  <c:v>0.19363830969808973</c:v>
                </c:pt>
                <c:pt idx="265">
                  <c:v>0.19386715103597574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F-4886-A882-3ABE7D78F030}"/>
            </c:ext>
          </c:extLst>
        </c:ser>
        <c:ser>
          <c:idx val="10"/>
          <c:order val="10"/>
          <c:tx>
            <c:strRef>
              <c:f>'V2'!$AR$12</c:f>
              <c:strCache>
                <c:ptCount val="1"/>
                <c:pt idx="0">
                  <c:v>5500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'V2'!$AR$13:$AR$278</c:f>
              <c:numCache>
                <c:formatCode>0.000</c:formatCode>
                <c:ptCount val="266"/>
                <c:pt idx="0">
                  <c:v>1.1111043038346091E-3</c:v>
                </c:pt>
                <c:pt idx="1">
                  <c:v>2.2221677650111097E-3</c:v>
                </c:pt>
                <c:pt idx="2">
                  <c:v>3.3331495458756395E-3</c:v>
                </c:pt>
                <c:pt idx="3">
                  <c:v>4.4440088187815384E-3</c:v>
                </c:pt>
                <c:pt idx="4">
                  <c:v>5.5547047710897352E-3</c:v>
                </c:pt>
                <c:pt idx="5">
                  <c:v>6.6651966101652681E-3</c:v>
                </c:pt>
                <c:pt idx="6">
                  <c:v>7.775443568368662E-3</c:v>
                </c:pt>
                <c:pt idx="7">
                  <c:v>8.8854049080408833E-3</c:v>
                </c:pt>
                <c:pt idx="8">
                  <c:v>9.9950399264805909E-3</c:v>
                </c:pt>
                <c:pt idx="9">
                  <c:v>1.1104307960912389E-2</c:v>
                </c:pt>
                <c:pt idx="10">
                  <c:v>1.2213168393444848E-2</c:v>
                </c:pt>
                <c:pt idx="11">
                  <c:v>1.3321580656017006E-2</c:v>
                </c:pt>
                <c:pt idx="12">
                  <c:v>1.4429504235332064E-2</c:v>
                </c:pt>
                <c:pt idx="13">
                  <c:v>1.5536898677777061E-2</c:v>
                </c:pt>
                <c:pt idx="14">
                  <c:v>1.6643723594327274E-2</c:v>
                </c:pt>
                <c:pt idx="15">
                  <c:v>1.7749938665434038E-2</c:v>
                </c:pt>
                <c:pt idx="16">
                  <c:v>1.8855503645894861E-2</c:v>
                </c:pt>
                <c:pt idx="17">
                  <c:v>1.9960378369704483E-2</c:v>
                </c:pt>
                <c:pt idx="18">
                  <c:v>2.106452275488575E-2</c:v>
                </c:pt>
                <c:pt idx="19">
                  <c:v>2.2167896808299066E-2</c:v>
                </c:pt>
                <c:pt idx="20">
                  <c:v>2.3270460630429163E-2</c:v>
                </c:pt>
                <c:pt idx="21">
                  <c:v>2.4372174420148121E-2</c:v>
                </c:pt>
                <c:pt idx="22">
                  <c:v>2.5472998479453314E-2</c:v>
                </c:pt>
                <c:pt idx="23">
                  <c:v>2.6572893218179242E-2</c:v>
                </c:pt>
                <c:pt idx="24">
                  <c:v>2.767181915868196E-2</c:v>
                </c:pt>
                <c:pt idx="25">
                  <c:v>2.8769736940495054E-2</c:v>
                </c:pt>
                <c:pt idx="26">
                  <c:v>2.9866607324956041E-2</c:v>
                </c:pt>
                <c:pt idx="27">
                  <c:v>3.0962391199801945E-2</c:v>
                </c:pt>
                <c:pt idx="28">
                  <c:v>3.205704958373308E-2</c:v>
                </c:pt>
                <c:pt idx="29">
                  <c:v>3.3150543630943843E-2</c:v>
                </c:pt>
                <c:pt idx="30">
                  <c:v>3.4242834635619536E-2</c:v>
                </c:pt>
                <c:pt idx="31">
                  <c:v>3.5333884036398013E-2</c:v>
                </c:pt>
                <c:pt idx="32">
                  <c:v>3.642365342079526E-2</c:v>
                </c:pt>
                <c:pt idx="33">
                  <c:v>3.75121045295937E-2</c:v>
                </c:pt>
                <c:pt idx="34">
                  <c:v>3.8599199261192374E-2</c:v>
                </c:pt>
                <c:pt idx="35">
                  <c:v>3.9684899675917859E-2</c:v>
                </c:pt>
                <c:pt idx="36">
                  <c:v>4.0769168000295015E-2</c:v>
                </c:pt>
                <c:pt idx="37">
                  <c:v>4.1851966631276522E-2</c:v>
                </c:pt>
                <c:pt idx="38">
                  <c:v>4.2933258140430315E-2</c:v>
                </c:pt>
                <c:pt idx="39">
                  <c:v>4.4013005278084001E-2</c:v>
                </c:pt>
                <c:pt idx="40">
                  <c:v>4.5091170977425189E-2</c:v>
                </c:pt>
                <c:pt idx="41">
                  <c:v>4.6167718358557035E-2</c:v>
                </c:pt>
                <c:pt idx="42">
                  <c:v>4.7242610732507948E-2</c:v>
                </c:pt>
                <c:pt idx="43">
                  <c:v>4.8315811605194811E-2</c:v>
                </c:pt>
                <c:pt idx="44">
                  <c:v>4.9387284681338503E-2</c:v>
                </c:pt>
                <c:pt idx="45">
                  <c:v>5.0456993868331371E-2</c:v>
                </c:pt>
                <c:pt idx="46">
                  <c:v>5.1524903280055455E-2</c:v>
                </c:pt>
                <c:pt idx="47">
                  <c:v>5.2590977240650809E-2</c:v>
                </c:pt>
                <c:pt idx="48">
                  <c:v>5.3655180288233358E-2</c:v>
                </c:pt>
                <c:pt idx="49">
                  <c:v>5.4717477178561187E-2</c:v>
                </c:pt>
                <c:pt idx="50">
                  <c:v>5.5777832888648758E-2</c:v>
                </c:pt>
                <c:pt idx="51">
                  <c:v>5.6836212620328418E-2</c:v>
                </c:pt>
                <c:pt idx="52">
                  <c:v>5.7892581803758267E-2</c:v>
                </c:pt>
                <c:pt idx="53">
                  <c:v>5.8946906100875975E-2</c:v>
                </c:pt>
                <c:pt idx="54">
                  <c:v>5.9999151408797816E-2</c:v>
                </c:pt>
                <c:pt idx="55">
                  <c:v>6.1049283863162183E-2</c:v>
                </c:pt>
                <c:pt idx="56">
                  <c:v>6.2097269841417266E-2</c:v>
                </c:pt>
                <c:pt idx="57">
                  <c:v>6.3143075966051995E-2</c:v>
                </c:pt>
                <c:pt idx="58">
                  <c:v>6.4186669107770059E-2</c:v>
                </c:pt>
                <c:pt idx="59">
                  <c:v>6.5228016388605981E-2</c:v>
                </c:pt>
                <c:pt idx="60">
                  <c:v>6.6267085184983407E-2</c:v>
                </c:pt>
                <c:pt idx="61">
                  <c:v>6.7303843130714372E-2</c:v>
                </c:pt>
                <c:pt idx="62">
                  <c:v>6.8338258119939876E-2</c:v>
                </c:pt>
                <c:pt idx="63">
                  <c:v>6.9370298310010486E-2</c:v>
                </c:pt>
                <c:pt idx="64">
                  <c:v>7.0399932124307285E-2</c:v>
                </c:pt>
                <c:pt idx="65">
                  <c:v>7.1427128255002401E-2</c:v>
                </c:pt>
                <c:pt idx="66">
                  <c:v>7.2451855665758735E-2</c:v>
                </c:pt>
                <c:pt idx="67">
                  <c:v>7.3474083594368716E-2</c:v>
                </c:pt>
                <c:pt idx="68">
                  <c:v>7.4493781555331637E-2</c:v>
                </c:pt>
                <c:pt idx="69">
                  <c:v>7.551091934236917E-2</c:v>
                </c:pt>
                <c:pt idx="70">
                  <c:v>7.6525467030879119E-2</c:v>
                </c:pt>
                <c:pt idx="71">
                  <c:v>7.7537394980326746E-2</c:v>
                </c:pt>
                <c:pt idx="72">
                  <c:v>7.8546673836573697E-2</c:v>
                </c:pt>
                <c:pt idx="73">
                  <c:v>7.9553274534144236E-2</c:v>
                </c:pt>
                <c:pt idx="74">
                  <c:v>8.0557168298428558E-2</c:v>
                </c:pt>
                <c:pt idx="75">
                  <c:v>8.1558326647823073E-2</c:v>
                </c:pt>
                <c:pt idx="76">
                  <c:v>8.2556721395807511E-2</c:v>
                </c:pt>
                <c:pt idx="77">
                  <c:v>8.3552324652958684E-2</c:v>
                </c:pt>
                <c:pt idx="78">
                  <c:v>8.4545108828900775E-2</c:v>
                </c:pt>
                <c:pt idx="79">
                  <c:v>8.5535046634192133E-2</c:v>
                </c:pt>
                <c:pt idx="80">
                  <c:v>8.6522111082148523E-2</c:v>
                </c:pt>
                <c:pt idx="81">
                  <c:v>8.7506275490602775E-2</c:v>
                </c:pt>
                <c:pt idx="82">
                  <c:v>8.8487513483600733E-2</c:v>
                </c:pt>
                <c:pt idx="83">
                  <c:v>8.9465798993033571E-2</c:v>
                </c:pt>
                <c:pt idx="84">
                  <c:v>9.0441106260206627E-2</c:v>
                </c:pt>
                <c:pt idx="85">
                  <c:v>9.1413409837344528E-2</c:v>
                </c:pt>
                <c:pt idx="86">
                  <c:v>9.2382684589032857E-2</c:v>
                </c:pt>
                <c:pt idx="87">
                  <c:v>9.3348905693596537E-2</c:v>
                </c:pt>
                <c:pt idx="88">
                  <c:v>9.4312048644414642E-2</c:v>
                </c:pt>
                <c:pt idx="89">
                  <c:v>9.5272089251172282E-2</c:v>
                </c:pt>
                <c:pt idx="90">
                  <c:v>9.6229003641049402E-2</c:v>
                </c:pt>
                <c:pt idx="91">
                  <c:v>9.7182768259846494E-2</c:v>
                </c:pt>
                <c:pt idx="92">
                  <c:v>9.8133359873047984E-2</c:v>
                </c:pt>
                <c:pt idx="93">
                  <c:v>9.9080755566822776E-2</c:v>
                </c:pt>
                <c:pt idx="94">
                  <c:v>0.10002493274896274</c:v>
                </c:pt>
                <c:pt idx="95">
                  <c:v>0.10096586914975914</c:v>
                </c:pt>
                <c:pt idx="96">
                  <c:v>0.10190354282281727</c:v>
                </c:pt>
                <c:pt idx="97">
                  <c:v>0.10283793214580958</c:v>
                </c:pt>
                <c:pt idx="98">
                  <c:v>0.10376901582116756</c:v>
                </c:pt>
                <c:pt idx="99">
                  <c:v>0.10469677287671289</c:v>
                </c:pt>
                <c:pt idx="100">
                  <c:v>0.10562118266622779</c:v>
                </c:pt>
                <c:pt idx="101">
                  <c:v>0.10654222486996545</c:v>
                </c:pt>
                <c:pt idx="102">
                  <c:v>0.10745987949510023</c:v>
                </c:pt>
                <c:pt idx="103">
                  <c:v>0.10837412687611864</c:v>
                </c:pt>
                <c:pt idx="104">
                  <c:v>0.10928494767515115</c:v>
                </c:pt>
                <c:pt idx="105">
                  <c:v>0.1101923228822453</c:v>
                </c:pt>
                <c:pt idx="106">
                  <c:v>0.11109623381558051</c:v>
                </c:pt>
                <c:pt idx="107">
                  <c:v>0.11199666212162507</c:v>
                </c:pt>
                <c:pt idx="108">
                  <c:v>0.11289358977523575</c:v>
                </c:pt>
                <c:pt idx="109">
                  <c:v>0.11378699907970062</c:v>
                </c:pt>
                <c:pt idx="110">
                  <c:v>0.11467687266672509</c:v>
                </c:pt>
                <c:pt idx="111">
                  <c:v>0.11556319349636236</c:v>
                </c:pt>
                <c:pt idx="112">
                  <c:v>0.11644594485688818</c:v>
                </c:pt>
                <c:pt idx="113">
                  <c:v>0.11732511036462094</c:v>
                </c:pt>
                <c:pt idx="114">
                  <c:v>0.11820067396368691</c:v>
                </c:pt>
                <c:pt idx="115">
                  <c:v>0.11907261992573212</c:v>
                </c:pt>
                <c:pt idx="116">
                  <c:v>0.11994093284958068</c:v>
                </c:pt>
                <c:pt idx="117">
                  <c:v>0.12080559766084022</c:v>
                </c:pt>
                <c:pt idx="118">
                  <c:v>0.12166659961145551</c:v>
                </c:pt>
                <c:pt idx="119">
                  <c:v>0.12252392427921015</c:v>
                </c:pt>
                <c:pt idx="120">
                  <c:v>0.12337755756717754</c:v>
                </c:pt>
                <c:pt idx="121">
                  <c:v>0.12422748570312124</c:v>
                </c:pt>
                <c:pt idx="122">
                  <c:v>0.12507369523884568</c:v>
                </c:pt>
                <c:pt idx="123">
                  <c:v>0.12591617304949773</c:v>
                </c:pt>
                <c:pt idx="124">
                  <c:v>0.12675490633281969</c:v>
                </c:pt>
                <c:pt idx="125">
                  <c:v>0.12758988260835447</c:v>
                </c:pt>
                <c:pt idx="126">
                  <c:v>0.12842108971660321</c:v>
                </c:pt>
                <c:pt idx="127">
                  <c:v>0.12924851581813704</c:v>
                </c:pt>
                <c:pt idx="128">
                  <c:v>0.13007214939266229</c:v>
                </c:pt>
                <c:pt idx="129">
                  <c:v>0.13089197923804047</c:v>
                </c:pt>
                <c:pt idx="130">
                  <c:v>0.13170799446926409</c:v>
                </c:pt>
                <c:pt idx="131">
                  <c:v>0.13252018451738842</c:v>
                </c:pt>
                <c:pt idx="132">
                  <c:v>0.13332853912841974</c:v>
                </c:pt>
                <c:pt idx="133">
                  <c:v>0.13413304836216147</c:v>
                </c:pt>
                <c:pt idx="134">
                  <c:v>0.13493370259101847</c:v>
                </c:pt>
                <c:pt idx="135">
                  <c:v>0.1357304924987599</c:v>
                </c:pt>
                <c:pt idx="136">
                  <c:v>0.13652340907924207</c:v>
                </c:pt>
                <c:pt idx="137">
                  <c:v>0.13731244363509151</c:v>
                </c:pt>
                <c:pt idx="138">
                  <c:v>0.1380975877763487</c:v>
                </c:pt>
                <c:pt idx="139">
                  <c:v>0.1388788334190742</c:v>
                </c:pt>
                <c:pt idx="140">
                  <c:v>0.13965617278391665</c:v>
                </c:pt>
                <c:pt idx="141">
                  <c:v>0.14042959839464442</c:v>
                </c:pt>
                <c:pt idx="142">
                  <c:v>0.14119910307664074</c:v>
                </c:pt>
                <c:pt idx="143">
                  <c:v>0.14196467995536399</c:v>
                </c:pt>
                <c:pt idx="144">
                  <c:v>0.14272632245477285</c:v>
                </c:pt>
                <c:pt idx="145">
                  <c:v>0.14348402429571805</c:v>
                </c:pt>
                <c:pt idx="146">
                  <c:v>0.14423777949430056</c:v>
                </c:pt>
                <c:pt idx="147">
                  <c:v>0.14498758236019765</c:v>
                </c:pt>
                <c:pt idx="148">
                  <c:v>0.14573342749495713</c:v>
                </c:pt>
                <c:pt idx="149">
                  <c:v>0.1464753097902606</c:v>
                </c:pt>
                <c:pt idx="150">
                  <c:v>0.14721322442615681</c:v>
                </c:pt>
                <c:pt idx="151">
                  <c:v>0.14794716686926496</c:v>
                </c:pt>
                <c:pt idx="152">
                  <c:v>0.14867713287094989</c:v>
                </c:pt>
                <c:pt idx="153">
                  <c:v>0.14940311846546883</c:v>
                </c:pt>
                <c:pt idx="154">
                  <c:v>0.15012511996809111</c:v>
                </c:pt>
                <c:pt idx="155">
                  <c:v>0.15084313397319118</c:v>
                </c:pt>
                <c:pt idx="156">
                  <c:v>0.1515571573523159</c:v>
                </c:pt>
                <c:pt idx="157">
                  <c:v>0.15226718725222677</c:v>
                </c:pt>
                <c:pt idx="158">
                  <c:v>0.15297322109291769</c:v>
                </c:pt>
                <c:pt idx="159">
                  <c:v>0.15367525656560937</c:v>
                </c:pt>
                <c:pt idx="160">
                  <c:v>0.15437329163072022</c:v>
                </c:pt>
                <c:pt idx="161">
                  <c:v>0.15506732451581581</c:v>
                </c:pt>
                <c:pt idx="162">
                  <c:v>0.15575735371353644</c:v>
                </c:pt>
                <c:pt idx="163">
                  <c:v>0.15644337797950375</c:v>
                </c:pt>
                <c:pt idx="164">
                  <c:v>0.15712539633020772</c:v>
                </c:pt>
                <c:pt idx="165">
                  <c:v>0.15780340804087409</c:v>
                </c:pt>
                <c:pt idx="166">
                  <c:v>0.158477412643313</c:v>
                </c:pt>
                <c:pt idx="167">
                  <c:v>0.15914740992374996</c:v>
                </c:pt>
                <c:pt idx="168">
                  <c:v>0.15981339992063928</c:v>
                </c:pt>
                <c:pt idx="169">
                  <c:v>0.16047538292246119</c:v>
                </c:pt>
                <c:pt idx="170">
                  <c:v>0.16113335946550275</c:v>
                </c:pt>
                <c:pt idx="171">
                  <c:v>0.16178733033162379</c:v>
                </c:pt>
                <c:pt idx="172">
                  <c:v>0.16243729654600822</c:v>
                </c:pt>
                <c:pt idx="173">
                  <c:v>0.16308325937490145</c:v>
                </c:pt>
                <c:pt idx="174">
                  <c:v>0.16372522032333461</c:v>
                </c:pt>
                <c:pt idx="175">
                  <c:v>0.16436318113283627</c:v>
                </c:pt>
                <c:pt idx="176">
                  <c:v>0.16499714377913202</c:v>
                </c:pt>
                <c:pt idx="177">
                  <c:v>0.16562711046983317</c:v>
                </c:pt>
                <c:pt idx="178">
                  <c:v>0.16625308364211441</c:v>
                </c:pt>
                <c:pt idx="179">
                  <c:v>0.16687506596038187</c:v>
                </c:pt>
                <c:pt idx="180">
                  <c:v>0.16749306031393146</c:v>
                </c:pt>
                <c:pt idx="181">
                  <c:v>0.16810706981459872</c:v>
                </c:pt>
                <c:pt idx="182">
                  <c:v>0.16871709779440044</c:v>
                </c:pt>
                <c:pt idx="183">
                  <c:v>0.16932314780316859</c:v>
                </c:pt>
                <c:pt idx="184">
                  <c:v>0.16992522360617798</c:v>
                </c:pt>
                <c:pt idx="185">
                  <c:v>0.17052332918176633</c:v>
                </c:pt>
                <c:pt idx="186">
                  <c:v>0.17111746871895017</c:v>
                </c:pt>
                <c:pt idx="187">
                  <c:v>0.17170764661503424</c:v>
                </c:pt>
                <c:pt idx="188">
                  <c:v>0.17229386747321693</c:v>
                </c:pt>
                <c:pt idx="189">
                  <c:v>0.1728761361001919</c:v>
                </c:pt>
                <c:pt idx="190">
                  <c:v>0.17345445750374533</c:v>
                </c:pt>
                <c:pt idx="191">
                  <c:v>0.17402883689035145</c:v>
                </c:pt>
                <c:pt idx="192">
                  <c:v>0.17459927966276464</c:v>
                </c:pt>
                <c:pt idx="193">
                  <c:v>0.17516579141761038</c:v>
                </c:pt>
                <c:pt idx="194">
                  <c:v>0.17572837794297438</c:v>
                </c:pt>
                <c:pt idx="195">
                  <c:v>0.17628704521599134</c:v>
                </c:pt>
                <c:pt idx="196">
                  <c:v>0.17684179940043326</c:v>
                </c:pt>
                <c:pt idx="197">
                  <c:v>0.1773926468442979</c:v>
                </c:pt>
                <c:pt idx="198">
                  <c:v>0.17793959407739773</c:v>
                </c:pt>
                <c:pt idx="199">
                  <c:v>0.17848264780895087</c:v>
                </c:pt>
                <c:pt idx="200">
                  <c:v>0.1790218149251728</c:v>
                </c:pt>
                <c:pt idx="201">
                  <c:v>0.17955710248687082</c:v>
                </c:pt>
                <c:pt idx="202">
                  <c:v>0.18008851772704079</c:v>
                </c:pt>
                <c:pt idx="203">
                  <c:v>0.18061606804846744</c:v>
                </c:pt>
                <c:pt idx="204">
                  <c:v>0.18113976102132726</c:v>
                </c:pt>
                <c:pt idx="205">
                  <c:v>0.18165960438079659</c:v>
                </c:pt>
                <c:pt idx="206">
                  <c:v>0.18217560602466318</c:v>
                </c:pt>
                <c:pt idx="207">
                  <c:v>0.1826877740109428</c:v>
                </c:pt>
                <c:pt idx="208">
                  <c:v>0.18319611655550136</c:v>
                </c:pt>
                <c:pt idx="209">
                  <c:v>0.1837006420296825</c:v>
                </c:pt>
                <c:pt idx="210">
                  <c:v>0.18420135895794118</c:v>
                </c:pt>
                <c:pt idx="211">
                  <c:v>0.1846982760154835</c:v>
                </c:pt>
                <c:pt idx="212">
                  <c:v>0.18519140202591403</c:v>
                </c:pt>
                <c:pt idx="213">
                  <c:v>0.18568074595888981</c:v>
                </c:pt>
                <c:pt idx="214">
                  <c:v>0.18616631692778185</c:v>
                </c:pt>
                <c:pt idx="215">
                  <c:v>0.18664812418734489</c:v>
                </c:pt>
                <c:pt idx="216">
                  <c:v>0.18712617713139537</c:v>
                </c:pt>
                <c:pt idx="217">
                  <c:v>0.1876004852904978</c:v>
                </c:pt>
                <c:pt idx="218">
                  <c:v>0.18807105832966048</c:v>
                </c:pt>
                <c:pt idx="219">
                  <c:v>0.18853790604604009</c:v>
                </c:pt>
                <c:pt idx="220">
                  <c:v>0.18900103836665638</c:v>
                </c:pt>
                <c:pt idx="221">
                  <c:v>0.18946046534611621</c:v>
                </c:pt>
                <c:pt idx="222">
                  <c:v>0.18991619716434852</c:v>
                </c:pt>
                <c:pt idx="223">
                  <c:v>0.19036824412434905</c:v>
                </c:pt>
                <c:pt idx="224">
                  <c:v>0.19081661664993663</c:v>
                </c:pt>
                <c:pt idx="225">
                  <c:v>0.19126132528352019</c:v>
                </c:pt>
                <c:pt idx="226">
                  <c:v>0.19170238068387696</c:v>
                </c:pt>
                <c:pt idx="227">
                  <c:v>0.1921397936239429</c:v>
                </c:pt>
                <c:pt idx="228">
                  <c:v>0.19257357498861449</c:v>
                </c:pt>
                <c:pt idx="229">
                  <c:v>0.193003735772563</c:v>
                </c:pt>
                <c:pt idx="230">
                  <c:v>0.19343028707806104</c:v>
                </c:pt>
                <c:pt idx="231">
                  <c:v>0.19385324011282171</c:v>
                </c:pt>
                <c:pt idx="232">
                  <c:v>0.19427260618785086</c:v>
                </c:pt>
                <c:pt idx="233">
                  <c:v>0.1946883967153121</c:v>
                </c:pt>
                <c:pt idx="234">
                  <c:v>0.19510062320640548</c:v>
                </c:pt>
                <c:pt idx="235">
                  <c:v>0.19550929726925939</c:v>
                </c:pt>
                <c:pt idx="236">
                  <c:v>0.19591443060683647</c:v>
                </c:pt>
                <c:pt idx="237">
                  <c:v>0.19631603501485301</c:v>
                </c:pt>
                <c:pt idx="238">
                  <c:v>0.196714122379713</c:v>
                </c:pt>
                <c:pt idx="239">
                  <c:v>0.19710870467645625</c:v>
                </c:pt>
                <c:pt idx="240">
                  <c:v>0.19749979396672074</c:v>
                </c:pt>
                <c:pt idx="241">
                  <c:v>0.19788740239671976</c:v>
                </c:pt>
                <c:pt idx="242">
                  <c:v>0.19827154219523413</c:v>
                </c:pt>
                <c:pt idx="243">
                  <c:v>0.19865222567161908</c:v>
                </c:pt>
                <c:pt idx="244">
                  <c:v>0.19902946521382592</c:v>
                </c:pt>
                <c:pt idx="245">
                  <c:v>0.19940327328643989</c:v>
                </c:pt>
                <c:pt idx="246">
                  <c:v>0.19977366242873212</c:v>
                </c:pt>
                <c:pt idx="247">
                  <c:v>0.20014064525272848</c:v>
                </c:pt>
                <c:pt idx="248">
                  <c:v>0.20050423444129273</c:v>
                </c:pt>
                <c:pt idx="249">
                  <c:v>0.20086444274622647</c:v>
                </c:pt>
                <c:pt idx="250">
                  <c:v>0.20122128298638425</c:v>
                </c:pt>
                <c:pt idx="251">
                  <c:v>0.20157476804580526</c:v>
                </c:pt>
                <c:pt idx="252">
                  <c:v>0.20192491087186018</c:v>
                </c:pt>
                <c:pt idx="253">
                  <c:v>0.20227172447341532</c:v>
                </c:pt>
                <c:pt idx="254">
                  <c:v>0.20261522191901216</c:v>
                </c:pt>
                <c:pt idx="255">
                  <c:v>0.20295541633506348</c:v>
                </c:pt>
                <c:pt idx="256">
                  <c:v>0.20329232090406596</c:v>
                </c:pt>
                <c:pt idx="257">
                  <c:v>0.20362594886282936</c:v>
                </c:pt>
                <c:pt idx="258">
                  <c:v>0.20395631350072177</c:v>
                </c:pt>
                <c:pt idx="259">
                  <c:v>0.20428342815793218</c:v>
                </c:pt>
                <c:pt idx="260">
                  <c:v>0.20460730622374915</c:v>
                </c:pt>
                <c:pt idx="261">
                  <c:v>0.20492796113485626</c:v>
                </c:pt>
                <c:pt idx="262">
                  <c:v>0.20524540637364486</c:v>
                </c:pt>
                <c:pt idx="263">
                  <c:v>0.20555965546654265</c:v>
                </c:pt>
                <c:pt idx="264">
                  <c:v>0.20587072198236017</c:v>
                </c:pt>
                <c:pt idx="265">
                  <c:v>0.20617861953065347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F-4886-A882-3ABE7D78F030}"/>
            </c:ext>
          </c:extLst>
        </c:ser>
        <c:ser>
          <c:idx val="11"/>
          <c:order val="11"/>
          <c:tx>
            <c:strRef>
              <c:f>'V2'!$AS$12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'V2'!$AG$13:$AG$278</c:f>
              <c:numCache>
                <c:formatCode>General</c:formatCode>
                <c:ptCount val="2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</c:numCache>
            </c:numRef>
          </c:xVal>
          <c:yVal>
            <c:numRef>
              <c:f>'V2'!$AS$13:$AS$278</c:f>
              <c:numCache>
                <c:formatCode>0.000</c:formatCode>
                <c:ptCount val="266"/>
                <c:pt idx="0">
                  <c:v>1.111105391102342E-3</c:v>
                </c:pt>
                <c:pt idx="1">
                  <c:v>2.2221764628587771E-3</c:v>
                </c:pt>
                <c:pt idx="2">
                  <c:v>3.3331788994567795E-3</c:v>
                </c:pt>
                <c:pt idx="3">
                  <c:v>4.4440783921498176E-3</c:v>
                </c:pt>
                <c:pt idx="4">
                  <c:v>5.5548406427884441E-3</c:v>
                </c:pt>
                <c:pt idx="5">
                  <c:v>6.6654313673490933E-3</c:v>
                </c:pt>
                <c:pt idx="6">
                  <c:v>7.7758162994598264E-3</c:v>
                </c:pt>
                <c:pt idx="7">
                  <c:v>8.8859611939222614E-3</c:v>
                </c:pt>
                <c:pt idx="8">
                  <c:v>9.9958318302289274E-3</c:v>
                </c:pt>
                <c:pt idx="9">
                  <c:v>1.1105394016075305E-2</c:v>
                </c:pt>
                <c:pt idx="10">
                  <c:v>1.2214613590865739E-2</c:v>
                </c:pt>
                <c:pt idx="11">
                  <c:v>1.332345642921256E-2</c:v>
                </c:pt>
                <c:pt idx="12">
                  <c:v>1.4431888444427573E-2</c:v>
                </c:pt>
                <c:pt idx="13">
                  <c:v>1.5539875592005229E-2</c:v>
                </c:pt>
                <c:pt idx="14">
                  <c:v>1.6647383873096701E-2</c:v>
                </c:pt>
                <c:pt idx="15">
                  <c:v>1.7754379337974122E-2</c:v>
                </c:pt>
                <c:pt idx="16">
                  <c:v>1.8860828089484281E-2</c:v>
                </c:pt>
                <c:pt idx="17">
                  <c:v>1.9966696286491004E-2</c:v>
                </c:pt>
                <c:pt idx="18">
                  <c:v>2.1071950147305483E-2</c:v>
                </c:pt>
                <c:pt idx="19">
                  <c:v>2.2176555953103895E-2</c:v>
                </c:pt>
                <c:pt idx="20">
                  <c:v>2.3280480051331504E-2</c:v>
                </c:pt>
                <c:pt idx="21">
                  <c:v>2.4383688859092565E-2</c:v>
                </c:pt>
                <c:pt idx="22">
                  <c:v>2.5486148866525359E-2</c:v>
                </c:pt>
                <c:pt idx="23">
                  <c:v>2.6587826640161582E-2</c:v>
                </c:pt>
                <c:pt idx="24">
                  <c:v>2.7688688826269438E-2</c:v>
                </c:pt>
                <c:pt idx="25">
                  <c:v>2.8788702154179717E-2</c:v>
                </c:pt>
                <c:pt idx="26">
                  <c:v>2.9887833439594197E-2</c:v>
                </c:pt>
                <c:pt idx="27">
                  <c:v>3.0986049587875646E-2</c:v>
                </c:pt>
                <c:pt idx="28">
                  <c:v>3.2083317597318813E-2</c:v>
                </c:pt>
                <c:pt idx="29">
                  <c:v>3.317960456240162E-2</c:v>
                </c:pt>
                <c:pt idx="30">
                  <c:v>3.4274877677016126E-2</c:v>
                </c:pt>
                <c:pt idx="31">
                  <c:v>3.5369104237678285E-2</c:v>
                </c:pt>
                <c:pt idx="32">
                  <c:v>3.6462251646716154E-2</c:v>
                </c:pt>
                <c:pt idx="33">
                  <c:v>3.7554287415435726E-2</c:v>
                </c:pt>
                <c:pt idx="34">
                  <c:v>3.864517916726385E-2</c:v>
                </c:pt>
                <c:pt idx="35">
                  <c:v>3.973489464086756E-2</c:v>
                </c:pt>
                <c:pt idx="36">
                  <c:v>4.0823401693249231E-2</c:v>
                </c:pt>
                <c:pt idx="37">
                  <c:v>4.1910668302816964E-2</c:v>
                </c:pt>
                <c:pt idx="38">
                  <c:v>4.2996662572429609E-2</c:v>
                </c:pt>
                <c:pt idx="39">
                  <c:v>4.4081352732415723E-2</c:v>
                </c:pt>
                <c:pt idx="40">
                  <c:v>4.5164707143566143E-2</c:v>
                </c:pt>
                <c:pt idx="41">
                  <c:v>4.6246694300099297E-2</c:v>
                </c:pt>
                <c:pt idx="42">
                  <c:v>4.7327282832598919E-2</c:v>
                </c:pt>
                <c:pt idx="43">
                  <c:v>4.840644151092359E-2</c:v>
                </c:pt>
                <c:pt idx="44">
                  <c:v>4.9484139247087361E-2</c:v>
                </c:pt>
                <c:pt idx="45">
                  <c:v>5.0560345098111283E-2</c:v>
                </c:pt>
                <c:pt idx="46">
                  <c:v>5.1635028268844967E-2</c:v>
                </c:pt>
                <c:pt idx="47">
                  <c:v>5.2708158114757965E-2</c:v>
                </c:pt>
                <c:pt idx="48">
                  <c:v>5.3779704144700208E-2</c:v>
                </c:pt>
                <c:pt idx="49">
                  <c:v>5.4849636023631257E-2</c:v>
                </c:pt>
                <c:pt idx="50">
                  <c:v>5.5917923575317677E-2</c:v>
                </c:pt>
                <c:pt idx="51">
                  <c:v>5.6984536784998291E-2</c:v>
                </c:pt>
                <c:pt idx="52">
                  <c:v>5.8049445802016569E-2</c:v>
                </c:pt>
                <c:pt idx="53">
                  <c:v>5.9112620942420063E-2</c:v>
                </c:pt>
                <c:pt idx="54">
                  <c:v>6.017403269152613E-2</c:v>
                </c:pt>
                <c:pt idx="55">
                  <c:v>6.1233651706453687E-2</c:v>
                </c:pt>
                <c:pt idx="56">
                  <c:v>6.229144881862065E-2</c:v>
                </c:pt>
                <c:pt idx="57">
                  <c:v>6.3347395036206428E-2</c:v>
                </c:pt>
                <c:pt idx="58">
                  <c:v>6.4401461546579372E-2</c:v>
                </c:pt>
                <c:pt idx="59">
                  <c:v>6.545361971868853E-2</c:v>
                </c:pt>
                <c:pt idx="60">
                  <c:v>6.6503841105419612E-2</c:v>
                </c:pt>
                <c:pt idx="61">
                  <c:v>6.7552097445914588E-2</c:v>
                </c:pt>
                <c:pt idx="62">
                  <c:v>6.8598360667854616E-2</c:v>
                </c:pt>
                <c:pt idx="63">
                  <c:v>6.9642602889706223E-2</c:v>
                </c:pt>
                <c:pt idx="64">
                  <c:v>7.0684796422930046E-2</c:v>
                </c:pt>
                <c:pt idx="65">
                  <c:v>7.1724913774152035E-2</c:v>
                </c:pt>
                <c:pt idx="66">
                  <c:v>7.2762927647296929E-2</c:v>
                </c:pt>
                <c:pt idx="67">
                  <c:v>7.3798810945683468E-2</c:v>
                </c:pt>
                <c:pt idx="68">
                  <c:v>7.4832536774081276E-2</c:v>
                </c:pt>
                <c:pt idx="69">
                  <c:v>7.5864078440729066E-2</c:v>
                </c:pt>
                <c:pt idx="70">
                  <c:v>7.6893409459313958E-2</c:v>
                </c:pt>
                <c:pt idx="71">
                  <c:v>7.7920503550911707E-2</c:v>
                </c:pt>
                <c:pt idx="72">
                  <c:v>7.8945334645887488E-2</c:v>
                </c:pt>
                <c:pt idx="73">
                  <c:v>7.9967876885757336E-2</c:v>
                </c:pt>
                <c:pt idx="74">
                  <c:v>8.0988104625009619E-2</c:v>
                </c:pt>
                <c:pt idx="75">
                  <c:v>8.2005992432886657E-2</c:v>
                </c:pt>
                <c:pt idx="76">
                  <c:v>8.3021515095126494E-2</c:v>
                </c:pt>
                <c:pt idx="77">
                  <c:v>8.4034647615663982E-2</c:v>
                </c:pt>
                <c:pt idx="78">
                  <c:v>8.5045365218291827E-2</c:v>
                </c:pt>
                <c:pt idx="79">
                  <c:v>8.6053643348281E-2</c:v>
                </c:pt>
                <c:pt idx="80">
                  <c:v>8.7059457673960547E-2</c:v>
                </c:pt>
                <c:pt idx="81">
                  <c:v>8.8062784088256518E-2</c:v>
                </c:pt>
                <c:pt idx="82">
                  <c:v>8.906359871019022E-2</c:v>
                </c:pt>
                <c:pt idx="83">
                  <c:v>9.0061877886335462E-2</c:v>
                </c:pt>
                <c:pt idx="84">
                  <c:v>9.1057598192234801E-2</c:v>
                </c:pt>
                <c:pt idx="85">
                  <c:v>9.2050736433774635E-2</c:v>
                </c:pt>
                <c:pt idx="86">
                  <c:v>9.3041269648519567E-2</c:v>
                </c:pt>
                <c:pt idx="87">
                  <c:v>9.4029175107004925E-2</c:v>
                </c:pt>
                <c:pt idx="88">
                  <c:v>9.5014430313988915E-2</c:v>
                </c:pt>
                <c:pt idx="89">
                  <c:v>9.5997013009662985E-2</c:v>
                </c:pt>
                <c:pt idx="90">
                  <c:v>9.6976901170821278E-2</c:v>
                </c:pt>
                <c:pt idx="91">
                  <c:v>9.7954073011988857E-2</c:v>
                </c:pt>
                <c:pt idx="92">
                  <c:v>9.8928506986508791E-2</c:v>
                </c:pt>
                <c:pt idx="93">
                  <c:v>9.9900181787587972E-2</c:v>
                </c:pt>
                <c:pt idx="94">
                  <c:v>0.10086907634930221</c:v>
                </c:pt>
                <c:pt idx="95">
                  <c:v>0.10183516984755984</c:v>
                </c:pt>
                <c:pt idx="96">
                  <c:v>0.10279844170102471</c:v>
                </c:pt>
                <c:pt idx="97">
                  <c:v>0.10375887157199812</c:v>
                </c:pt>
                <c:pt idx="98">
                  <c:v>0.10471643936726002</c:v>
                </c:pt>
                <c:pt idx="99">
                  <c:v>0.1056711252388695</c:v>
                </c:pt>
                <c:pt idx="100">
                  <c:v>0.10662290958492471</c:v>
                </c:pt>
                <c:pt idx="101">
                  <c:v>0.10757177305028216</c:v>
                </c:pt>
                <c:pt idx="102">
                  <c:v>0.10851769652723597</c:v>
                </c:pt>
                <c:pt idx="103">
                  <c:v>0.10946066115615649</c:v>
                </c:pt>
                <c:pt idx="104">
                  <c:v>0.11040064832608919</c:v>
                </c:pt>
                <c:pt idx="105">
                  <c:v>0.11133763967531367</c:v>
                </c:pt>
                <c:pt idx="106">
                  <c:v>0.11227161709186247</c:v>
                </c:pt>
                <c:pt idx="107">
                  <c:v>0.11320256271400096</c:v>
                </c:pt>
                <c:pt idx="108">
                  <c:v>0.11413045893066742</c:v>
                </c:pt>
                <c:pt idx="109">
                  <c:v>0.11505528838187394</c:v>
                </c:pt>
                <c:pt idx="110">
                  <c:v>0.11597703395906862</c:v>
                </c:pt>
                <c:pt idx="111">
                  <c:v>0.11689567880545867</c:v>
                </c:pt>
                <c:pt idx="112">
                  <c:v>0.11781120631629538</c:v>
                </c:pt>
                <c:pt idx="113">
                  <c:v>0.11872360013912019</c:v>
                </c:pt>
                <c:pt idx="114">
                  <c:v>0.11963284417397327</c:v>
                </c:pt>
                <c:pt idx="115">
                  <c:v>0.12053892257356395</c:v>
                </c:pt>
                <c:pt idx="116">
                  <c:v>0.12144181974340355</c:v>
                </c:pt>
                <c:pt idx="117">
                  <c:v>0.12234152034190121</c:v>
                </c:pt>
                <c:pt idx="118">
                  <c:v>0.12323800928042214</c:v>
                </c:pt>
                <c:pt idx="119">
                  <c:v>0.12413127172330975</c:v>
                </c:pt>
                <c:pt idx="120">
                  <c:v>0.1250212930878708</c:v>
                </c:pt>
                <c:pt idx="121">
                  <c:v>0.12590805904432442</c:v>
                </c:pt>
                <c:pt idx="122">
                  <c:v>0.12679155551571566</c:v>
                </c:pt>
                <c:pt idx="123">
                  <c:v>0.12767176867779298</c:v>
                </c:pt>
                <c:pt idx="124">
                  <c:v>0.1285486849588505</c:v>
                </c:pt>
                <c:pt idx="125">
                  <c:v>0.12942229103953579</c:v>
                </c:pt>
                <c:pt idx="126">
                  <c:v>0.13029257385262247</c:v>
                </c:pt>
                <c:pt idx="127">
                  <c:v>0.13115952058274868</c:v>
                </c:pt>
                <c:pt idx="128">
                  <c:v>0.13202311866612193</c:v>
                </c:pt>
                <c:pt idx="129">
                  <c:v>0.13288335579018973</c:v>
                </c:pt>
                <c:pt idx="130">
                  <c:v>0.13374021989327761</c:v>
                </c:pt>
                <c:pt idx="131">
                  <c:v>0.13459369916419367</c:v>
                </c:pt>
                <c:pt idx="132">
                  <c:v>0.13544378204180099</c:v>
                </c:pt>
                <c:pt idx="133">
                  <c:v>0.13629045721455765</c:v>
                </c:pt>
                <c:pt idx="134">
                  <c:v>0.13713371362002494</c:v>
                </c:pt>
                <c:pt idx="135">
                  <c:v>0.13797354044434429</c:v>
                </c:pt>
                <c:pt idx="136">
                  <c:v>0.13880992712168289</c:v>
                </c:pt>
                <c:pt idx="137">
                  <c:v>0.13964286333364884</c:v>
                </c:pt>
                <c:pt idx="138">
                  <c:v>0.14047233900867606</c:v>
                </c:pt>
                <c:pt idx="139">
                  <c:v>0.141298344321379</c:v>
                </c:pt>
                <c:pt idx="140">
                  <c:v>0.14212086969187812</c:v>
                </c:pt>
                <c:pt idx="141">
                  <c:v>0.14293990578509622</c:v>
                </c:pt>
                <c:pt idx="142">
                  <c:v>0.14375544351002595</c:v>
                </c:pt>
                <c:pt idx="143">
                  <c:v>0.14456747401896919</c:v>
                </c:pt>
                <c:pt idx="144">
                  <c:v>0.14537598870674848</c:v>
                </c:pt>
                <c:pt idx="145">
                  <c:v>0.1461809792098909</c:v>
                </c:pt>
                <c:pt idx="146">
                  <c:v>0.14698243740578487</c:v>
                </c:pt>
                <c:pt idx="147">
                  <c:v>0.14778035541181073</c:v>
                </c:pt>
                <c:pt idx="148">
                  <c:v>0.14857472558444418</c:v>
                </c:pt>
                <c:pt idx="149">
                  <c:v>0.14936554051833514</c:v>
                </c:pt>
                <c:pt idx="150">
                  <c:v>0.15015279304536014</c:v>
                </c:pt>
                <c:pt idx="151">
                  <c:v>0.15093647623365036</c:v>
                </c:pt>
                <c:pt idx="152">
                  <c:v>0.15171658338659505</c:v>
                </c:pt>
                <c:pt idx="153">
                  <c:v>0.15249310804182062</c:v>
                </c:pt>
                <c:pt idx="154">
                  <c:v>0.15326604397014648</c:v>
                </c:pt>
                <c:pt idx="155">
                  <c:v>0.15403538517451718</c:v>
                </c:pt>
                <c:pt idx="156">
                  <c:v>0.15480112588891218</c:v>
                </c:pt>
                <c:pt idx="157">
                  <c:v>0.15556326057723285</c:v>
                </c:pt>
                <c:pt idx="158">
                  <c:v>0.15632178393216803</c:v>
                </c:pt>
                <c:pt idx="159">
                  <c:v>0.15707669087403747</c:v>
                </c:pt>
                <c:pt idx="160">
                  <c:v>0.15782797654961489</c:v>
                </c:pt>
                <c:pt idx="161">
                  <c:v>0.15857563633092972</c:v>
                </c:pt>
                <c:pt idx="162">
                  <c:v>0.15931966581404941</c:v>
                </c:pt>
                <c:pt idx="163">
                  <c:v>0.16006006081784116</c:v>
                </c:pt>
                <c:pt idx="164">
                  <c:v>0.16079681738271506</c:v>
                </c:pt>
                <c:pt idx="165">
                  <c:v>0.16152993176934807</c:v>
                </c:pt>
                <c:pt idx="166">
                  <c:v>0.16225940045738932</c:v>
                </c:pt>
                <c:pt idx="167">
                  <c:v>0.16298522014414782</c:v>
                </c:pt>
                <c:pt idx="168">
                  <c:v>0.16370738774326227</c:v>
                </c:pt>
                <c:pt idx="169">
                  <c:v>0.16442590038335408</c:v>
                </c:pt>
                <c:pt idx="170">
                  <c:v>0.16514075540666312</c:v>
                </c:pt>
                <c:pt idx="171">
                  <c:v>0.16585195036766789</c:v>
                </c:pt>
                <c:pt idx="172">
                  <c:v>0.1665594830316893</c:v>
                </c:pt>
                <c:pt idx="173">
                  <c:v>0.16726335137347931</c:v>
                </c:pt>
                <c:pt idx="174">
                  <c:v>0.16796355357579446</c:v>
                </c:pt>
                <c:pt idx="175">
                  <c:v>0.1686600880279551</c:v>
                </c:pt>
                <c:pt idx="176">
                  <c:v>0.16935295332438988</c:v>
                </c:pt>
                <c:pt idx="177">
                  <c:v>0.17004214826316735</c:v>
                </c:pt>
                <c:pt idx="178">
                  <c:v>0.17072767184451365</c:v>
                </c:pt>
                <c:pt idx="179">
                  <c:v>0.17140952326931752</c:v>
                </c:pt>
                <c:pt idx="180">
                  <c:v>0.17208770193762293</c:v>
                </c:pt>
                <c:pt idx="181">
                  <c:v>0.17276220744710968</c:v>
                </c:pt>
                <c:pt idx="182">
                  <c:v>0.17343303959156214</c:v>
                </c:pt>
                <c:pt idx="183">
                  <c:v>0.17410019835932714</c:v>
                </c:pt>
                <c:pt idx="184">
                  <c:v>0.17476368393176067</c:v>
                </c:pt>
                <c:pt idx="185">
                  <c:v>0.17542349668166468</c:v>
                </c:pt>
                <c:pt idx="186">
                  <c:v>0.17607963717171315</c:v>
                </c:pt>
                <c:pt idx="187">
                  <c:v>0.17673210615286947</c:v>
                </c:pt>
                <c:pt idx="188">
                  <c:v>0.17738090456279379</c:v>
                </c:pt>
                <c:pt idx="189">
                  <c:v>0.17802603352424207</c:v>
                </c:pt>
                <c:pt idx="190">
                  <c:v>0.17866749434345672</c:v>
                </c:pt>
                <c:pt idx="191">
                  <c:v>0.17930528850854863</c:v>
                </c:pt>
                <c:pt idx="192">
                  <c:v>0.17993941768787261</c:v>
                </c:pt>
                <c:pt idx="193">
                  <c:v>0.18056988372839447</c:v>
                </c:pt>
                <c:pt idx="194">
                  <c:v>0.18119668865405197</c:v>
                </c:pt>
                <c:pt idx="195">
                  <c:v>0.18181983466410889</c:v>
                </c:pt>
                <c:pt idx="196">
                  <c:v>0.18243932413150327</c:v>
                </c:pt>
                <c:pt idx="197">
                  <c:v>0.18305515960118965</c:v>
                </c:pt>
                <c:pt idx="198">
                  <c:v>0.18366734378847577</c:v>
                </c:pt>
                <c:pt idx="199">
                  <c:v>0.18427587957735492</c:v>
                </c:pt>
                <c:pt idx="200">
                  <c:v>0.18488077001883263</c:v>
                </c:pt>
                <c:pt idx="201">
                  <c:v>0.18548201832925004</c:v>
                </c:pt>
                <c:pt idx="202">
                  <c:v>0.18607962788860244</c:v>
                </c:pt>
                <c:pt idx="203">
                  <c:v>0.18667360223885471</c:v>
                </c:pt>
                <c:pt idx="204">
                  <c:v>0.18726394508225341</c:v>
                </c:pt>
                <c:pt idx="205">
                  <c:v>0.18785066027963576</c:v>
                </c:pt>
                <c:pt idx="206">
                  <c:v>0.18843375184873593</c:v>
                </c:pt>
                <c:pt idx="207">
                  <c:v>0.18901322396248965</c:v>
                </c:pt>
                <c:pt idx="208">
                  <c:v>0.18958908094733606</c:v>
                </c:pt>
                <c:pt idx="209">
                  <c:v>0.19016132728151855</c:v>
                </c:pt>
                <c:pt idx="210">
                  <c:v>0.19072996759338379</c:v>
                </c:pt>
                <c:pt idx="211">
                  <c:v>0.19129500665968038</c:v>
                </c:pt>
                <c:pt idx="212">
                  <c:v>0.19185644940385624</c:v>
                </c:pt>
                <c:pt idx="213">
                  <c:v>0.19241430089435574</c:v>
                </c:pt>
                <c:pt idx="214">
                  <c:v>0.19296856634291731</c:v>
                </c:pt>
                <c:pt idx="215">
                  <c:v>0.19351925110287041</c:v>
                </c:pt>
                <c:pt idx="216">
                  <c:v>0.19406636066743357</c:v>
                </c:pt>
                <c:pt idx="217">
                  <c:v>0.19460990066801315</c:v>
                </c:pt>
                <c:pt idx="218">
                  <c:v>0.19514987687250313</c:v>
                </c:pt>
                <c:pt idx="219">
                  <c:v>0.19568629518358613</c:v>
                </c:pt>
                <c:pt idx="220">
                  <c:v>0.19621916163703651</c:v>
                </c:pt>
                <c:pt idx="221">
                  <c:v>0.19674848240002493</c:v>
                </c:pt>
                <c:pt idx="222">
                  <c:v>0.19727426376942525</c:v>
                </c:pt>
                <c:pt idx="223">
                  <c:v>0.19779651217012395</c:v>
                </c:pt>
                <c:pt idx="224">
                  <c:v>0.19831523415333241</c:v>
                </c:pt>
                <c:pt idx="225">
                  <c:v>0.1988304363949015</c:v>
                </c:pt>
                <c:pt idx="226">
                  <c:v>0.1993421256936404</c:v>
                </c:pt>
                <c:pt idx="227">
                  <c:v>0.19985030896963782</c:v>
                </c:pt>
                <c:pt idx="228">
                  <c:v>0.20035499326258785</c:v>
                </c:pt>
                <c:pt idx="229">
                  <c:v>0.20085618573011907</c:v>
                </c:pt>
                <c:pt idx="230">
                  <c:v>0.20135389364612802</c:v>
                </c:pt>
                <c:pt idx="231">
                  <c:v>0.20184812439911745</c:v>
                </c:pt>
                <c:pt idx="232">
                  <c:v>0.20233888549053866</c:v>
                </c:pt>
                <c:pt idx="233">
                  <c:v>0.20282618453313878</c:v>
                </c:pt>
                <c:pt idx="234">
                  <c:v>0.2033100292493136</c:v>
                </c:pt>
                <c:pt idx="235">
                  <c:v>0.20379042746946496</c:v>
                </c:pt>
                <c:pt idx="236">
                  <c:v>0.20426738713036402</c:v>
                </c:pt>
                <c:pt idx="237">
                  <c:v>0.20474091627352045</c:v>
                </c:pt>
                <c:pt idx="238">
                  <c:v>0.20521102304355673</c:v>
                </c:pt>
                <c:pt idx="239">
                  <c:v>0.20567771568658916</c:v>
                </c:pt>
                <c:pt idx="240">
                  <c:v>0.20614100254861523</c:v>
                </c:pt>
                <c:pt idx="241">
                  <c:v>0.20660089207390664</c:v>
                </c:pt>
                <c:pt idx="242">
                  <c:v>0.20705739280340998</c:v>
                </c:pt>
                <c:pt idx="243">
                  <c:v>0.20751051337315327</c:v>
                </c:pt>
                <c:pt idx="244">
                  <c:v>0.2079602625126602</c:v>
                </c:pt>
                <c:pt idx="245">
                  <c:v>0.20840664904337106</c:v>
                </c:pt>
                <c:pt idx="246">
                  <c:v>0.20884968187707098</c:v>
                </c:pt>
                <c:pt idx="247">
                  <c:v>0.20928937001432649</c:v>
                </c:pt>
                <c:pt idx="248">
                  <c:v>0.20972572254292793</c:v>
                </c:pt>
                <c:pt idx="249">
                  <c:v>0.21015874863634162</c:v>
                </c:pt>
                <c:pt idx="250">
                  <c:v>0.21058845755216862</c:v>
                </c:pt>
                <c:pt idx="251">
                  <c:v>0.21101485863061203</c:v>
                </c:pt>
                <c:pt idx="252">
                  <c:v>0.21143796129295264</c:v>
                </c:pt>
                <c:pt idx="253">
                  <c:v>0.21185777504003253</c:v>
                </c:pt>
                <c:pt idx="254">
                  <c:v>0.21227430945074746</c:v>
                </c:pt>
                <c:pt idx="255">
                  <c:v>0.21268757418054776</c:v>
                </c:pt>
                <c:pt idx="256">
                  <c:v>0.21309757895994799</c:v>
                </c:pt>
                <c:pt idx="257">
                  <c:v>0.21350433359304535</c:v>
                </c:pt>
                <c:pt idx="258">
                  <c:v>0.21390784795604711</c:v>
                </c:pt>
                <c:pt idx="259">
                  <c:v>0.21430813199580739</c:v>
                </c:pt>
                <c:pt idx="260">
                  <c:v>0.21470519572837241</c:v>
                </c:pt>
                <c:pt idx="261">
                  <c:v>0.21509904923753598</c:v>
                </c:pt>
                <c:pt idx="262">
                  <c:v>0.2154897026734037</c:v>
                </c:pt>
                <c:pt idx="263">
                  <c:v>0.21587716625096698</c:v>
                </c:pt>
                <c:pt idx="264">
                  <c:v>0.2162614502486862</c:v>
                </c:pt>
                <c:pt idx="265">
                  <c:v>0.21664256500708451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F-4886-A882-3ABE7D78F030}"/>
            </c:ext>
          </c:extLst>
        </c:ser>
        <c:ser>
          <c:idx val="12"/>
          <c:order val="12"/>
          <c:tx>
            <c:v>Optimal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705470385868844"/>
                  <c:y val="-0.22815157214659909"/>
                </c:manualLayout>
              </c:layout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'V2'!$AH$10:$AN$10</c:f>
              <c:numCache>
                <c:formatCode>General</c:formatCode>
                <c:ptCount val="7"/>
                <c:pt idx="0">
                  <c:v>37</c:v>
                </c:pt>
                <c:pt idx="1">
                  <c:v>73</c:v>
                </c:pt>
                <c:pt idx="2">
                  <c:v>110</c:v>
                </c:pt>
                <c:pt idx="3">
                  <c:v>147</c:v>
                </c:pt>
                <c:pt idx="4">
                  <c:v>184</c:v>
                </c:pt>
                <c:pt idx="5">
                  <c:v>220</c:v>
                </c:pt>
                <c:pt idx="6">
                  <c:v>257</c:v>
                </c:pt>
              </c:numCache>
            </c:numRef>
          </c:xVal>
          <c:yVal>
            <c:numRef>
              <c:f>'V2'!$AH$11:$AN$11</c:f>
              <c:numCache>
                <c:formatCode>0.000</c:formatCode>
                <c:ptCount val="7"/>
                <c:pt idx="0">
                  <c:v>2.0403924723740904E-2</c:v>
                </c:pt>
                <c:pt idx="1">
                  <c:v>4.0808168106825443E-2</c:v>
                </c:pt>
                <c:pt idx="2">
                  <c:v>6.12133539779669E-2</c:v>
                </c:pt>
                <c:pt idx="3">
                  <c:v>8.161790498563698E-2</c:v>
                </c:pt>
                <c:pt idx="4">
                  <c:v>0.10202220411261517</c:v>
                </c:pt>
                <c:pt idx="5">
                  <c:v>0.1224267079559338</c:v>
                </c:pt>
                <c:pt idx="6">
                  <c:v>0.14283134913106421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F-4886-A882-3ABE7D78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07487"/>
        <c:axId val="1409994527"/>
      </c:scatterChart>
      <c:valAx>
        <c:axId val="141000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Ring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409994527"/>
        <c:crosses val="autoZero"/>
        <c:crossBetween val="midCat"/>
      </c:valAx>
      <c:valAx>
        <c:axId val="140999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MBPS / Total</a:t>
                </a:r>
                <a:r>
                  <a:rPr lang="en-US" baseline="0"/>
                  <a:t> Satcount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41000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'V2'!$AH$12:$AN$12</c:f>
              <c:numCache>
                <c:formatCode>General</c:formatCode>
                <c:ptCount val="7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</c:numCache>
            </c:numRef>
          </c:xVal>
          <c:yVal>
            <c:numRef>
              <c:f>'V2'!$AH$10:$AN$10</c:f>
              <c:numCache>
                <c:formatCode>General</c:formatCode>
                <c:ptCount val="7"/>
                <c:pt idx="0">
                  <c:v>37</c:v>
                </c:pt>
                <c:pt idx="1">
                  <c:v>73</c:v>
                </c:pt>
                <c:pt idx="2">
                  <c:v>110</c:v>
                </c:pt>
                <c:pt idx="3">
                  <c:v>147</c:v>
                </c:pt>
                <c:pt idx="4">
                  <c:v>184</c:v>
                </c:pt>
                <c:pt idx="5">
                  <c:v>220</c:v>
                </c:pt>
                <c:pt idx="6">
                  <c:v>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6-40CA-9505-702B0DF85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249135"/>
        <c:axId val="1724248175"/>
      </c:scatterChart>
      <c:valAx>
        <c:axId val="172424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724248175"/>
        <c:crosses val="autoZero"/>
        <c:crossBetween val="midCat"/>
      </c:valAx>
      <c:valAx>
        <c:axId val="17242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72424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'V2'!$BC$12</c:f>
              <c:strCache>
                <c:ptCount val="1"/>
                <c:pt idx="0">
                  <c:v>Worst Total Mbps (original formula)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630454442352955"/>
                  <c:y val="-0.11128671665045853"/>
                </c:manualLayout>
              </c:layout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'V2'!$AY$13:$AY$278</c:f>
              <c:numCache>
                <c:formatCode>#,##0</c:formatCode>
                <c:ptCount val="266"/>
                <c:pt idx="0">
                  <c:v>20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700</c:v>
                </c:pt>
                <c:pt idx="5">
                  <c:v>1080</c:v>
                </c:pt>
                <c:pt idx="6">
                  <c:v>1400</c:v>
                </c:pt>
                <c:pt idx="7">
                  <c:v>1920</c:v>
                </c:pt>
                <c:pt idx="8">
                  <c:v>2340</c:v>
                </c:pt>
                <c:pt idx="9">
                  <c:v>3000</c:v>
                </c:pt>
                <c:pt idx="10">
                  <c:v>3520</c:v>
                </c:pt>
                <c:pt idx="11">
                  <c:v>4320</c:v>
                </c:pt>
                <c:pt idx="12">
                  <c:v>4940</c:v>
                </c:pt>
                <c:pt idx="13">
                  <c:v>5880</c:v>
                </c:pt>
                <c:pt idx="14">
                  <c:v>6600</c:v>
                </c:pt>
                <c:pt idx="15">
                  <c:v>7360</c:v>
                </c:pt>
                <c:pt idx="16">
                  <c:v>8500</c:v>
                </c:pt>
                <c:pt idx="17">
                  <c:v>9360</c:v>
                </c:pt>
                <c:pt idx="18">
                  <c:v>10640</c:v>
                </c:pt>
                <c:pt idx="19">
                  <c:v>11600</c:v>
                </c:pt>
                <c:pt idx="20">
                  <c:v>13020</c:v>
                </c:pt>
                <c:pt idx="21">
                  <c:v>14080</c:v>
                </c:pt>
                <c:pt idx="22">
                  <c:v>15640</c:v>
                </c:pt>
                <c:pt idx="23">
                  <c:v>16800</c:v>
                </c:pt>
                <c:pt idx="24">
                  <c:v>18500</c:v>
                </c:pt>
                <c:pt idx="25">
                  <c:v>19760</c:v>
                </c:pt>
                <c:pt idx="26">
                  <c:v>21600</c:v>
                </c:pt>
                <c:pt idx="27">
                  <c:v>22960</c:v>
                </c:pt>
                <c:pt idx="28">
                  <c:v>24940</c:v>
                </c:pt>
                <c:pt idx="29">
                  <c:v>26400</c:v>
                </c:pt>
                <c:pt idx="30">
                  <c:v>28520</c:v>
                </c:pt>
                <c:pt idx="31">
                  <c:v>30080</c:v>
                </c:pt>
                <c:pt idx="32">
                  <c:v>31680</c:v>
                </c:pt>
                <c:pt idx="33">
                  <c:v>34000</c:v>
                </c:pt>
                <c:pt idx="34">
                  <c:v>35700</c:v>
                </c:pt>
                <c:pt idx="35">
                  <c:v>38160</c:v>
                </c:pt>
                <c:pt idx="36">
                  <c:v>39960</c:v>
                </c:pt>
                <c:pt idx="37">
                  <c:v>42560</c:v>
                </c:pt>
                <c:pt idx="38">
                  <c:v>44460</c:v>
                </c:pt>
                <c:pt idx="39">
                  <c:v>47200</c:v>
                </c:pt>
                <c:pt idx="40">
                  <c:v>49200</c:v>
                </c:pt>
                <c:pt idx="41">
                  <c:v>52080</c:v>
                </c:pt>
                <c:pt idx="42">
                  <c:v>54180</c:v>
                </c:pt>
                <c:pt idx="43">
                  <c:v>57200</c:v>
                </c:pt>
                <c:pt idx="44">
                  <c:v>59400</c:v>
                </c:pt>
                <c:pt idx="45">
                  <c:v>62560</c:v>
                </c:pt>
                <c:pt idx="46">
                  <c:v>64860</c:v>
                </c:pt>
                <c:pt idx="47">
                  <c:v>67200</c:v>
                </c:pt>
                <c:pt idx="48">
                  <c:v>70560</c:v>
                </c:pt>
                <c:pt idx="49">
                  <c:v>73000</c:v>
                </c:pt>
                <c:pt idx="50">
                  <c:v>76500</c:v>
                </c:pt>
                <c:pt idx="51">
                  <c:v>79040</c:v>
                </c:pt>
                <c:pt idx="52">
                  <c:v>82680</c:v>
                </c:pt>
                <c:pt idx="53">
                  <c:v>85320</c:v>
                </c:pt>
                <c:pt idx="54">
                  <c:v>89100</c:v>
                </c:pt>
                <c:pt idx="55">
                  <c:v>91840</c:v>
                </c:pt>
                <c:pt idx="56">
                  <c:v>95760</c:v>
                </c:pt>
                <c:pt idx="57">
                  <c:v>98600</c:v>
                </c:pt>
                <c:pt idx="58">
                  <c:v>102660</c:v>
                </c:pt>
                <c:pt idx="59">
                  <c:v>105600</c:v>
                </c:pt>
                <c:pt idx="60">
                  <c:v>109800</c:v>
                </c:pt>
                <c:pt idx="61">
                  <c:v>112840</c:v>
                </c:pt>
                <c:pt idx="62">
                  <c:v>117180</c:v>
                </c:pt>
                <c:pt idx="63">
                  <c:v>120320</c:v>
                </c:pt>
                <c:pt idx="64">
                  <c:v>123500</c:v>
                </c:pt>
                <c:pt idx="65">
                  <c:v>128040</c:v>
                </c:pt>
                <c:pt idx="66">
                  <c:v>131320</c:v>
                </c:pt>
                <c:pt idx="67">
                  <c:v>136000</c:v>
                </c:pt>
                <c:pt idx="68">
                  <c:v>139380</c:v>
                </c:pt>
                <c:pt idx="69">
                  <c:v>144200</c:v>
                </c:pt>
                <c:pt idx="70">
                  <c:v>147680</c:v>
                </c:pt>
                <c:pt idx="71">
                  <c:v>152640</c:v>
                </c:pt>
                <c:pt idx="72">
                  <c:v>156220</c:v>
                </c:pt>
                <c:pt idx="73">
                  <c:v>161320</c:v>
                </c:pt>
                <c:pt idx="74">
                  <c:v>165000</c:v>
                </c:pt>
                <c:pt idx="75">
                  <c:v>170240</c:v>
                </c:pt>
                <c:pt idx="76">
                  <c:v>174020</c:v>
                </c:pt>
                <c:pt idx="77">
                  <c:v>179400</c:v>
                </c:pt>
                <c:pt idx="78">
                  <c:v>183280</c:v>
                </c:pt>
                <c:pt idx="79">
                  <c:v>187200</c:v>
                </c:pt>
                <c:pt idx="80">
                  <c:v>192780</c:v>
                </c:pt>
                <c:pt idx="81">
                  <c:v>196800</c:v>
                </c:pt>
                <c:pt idx="82">
                  <c:v>202520</c:v>
                </c:pt>
                <c:pt idx="83">
                  <c:v>206640</c:v>
                </c:pt>
                <c:pt idx="84">
                  <c:v>212500</c:v>
                </c:pt>
                <c:pt idx="85">
                  <c:v>216720</c:v>
                </c:pt>
                <c:pt idx="86">
                  <c:v>222720</c:v>
                </c:pt>
                <c:pt idx="87">
                  <c:v>227040</c:v>
                </c:pt>
                <c:pt idx="88">
                  <c:v>233180</c:v>
                </c:pt>
                <c:pt idx="89">
                  <c:v>237600</c:v>
                </c:pt>
                <c:pt idx="90">
                  <c:v>243880</c:v>
                </c:pt>
                <c:pt idx="91">
                  <c:v>248400</c:v>
                </c:pt>
                <c:pt idx="92">
                  <c:v>254820</c:v>
                </c:pt>
                <c:pt idx="93">
                  <c:v>259440</c:v>
                </c:pt>
                <c:pt idx="94">
                  <c:v>266000</c:v>
                </c:pt>
                <c:pt idx="95">
                  <c:v>270720</c:v>
                </c:pt>
                <c:pt idx="96">
                  <c:v>275480</c:v>
                </c:pt>
                <c:pt idx="97">
                  <c:v>282240</c:v>
                </c:pt>
                <c:pt idx="98">
                  <c:v>287100</c:v>
                </c:pt>
                <c:pt idx="99">
                  <c:v>294000</c:v>
                </c:pt>
                <c:pt idx="100">
                  <c:v>298960</c:v>
                </c:pt>
                <c:pt idx="101">
                  <c:v>306000</c:v>
                </c:pt>
                <c:pt idx="102">
                  <c:v>311060</c:v>
                </c:pt>
                <c:pt idx="103">
                  <c:v>318240</c:v>
                </c:pt>
                <c:pt idx="104">
                  <c:v>323400</c:v>
                </c:pt>
                <c:pt idx="105">
                  <c:v>330720</c:v>
                </c:pt>
                <c:pt idx="106">
                  <c:v>335980</c:v>
                </c:pt>
                <c:pt idx="107">
                  <c:v>343440</c:v>
                </c:pt>
                <c:pt idx="108">
                  <c:v>348800</c:v>
                </c:pt>
                <c:pt idx="109">
                  <c:v>356400</c:v>
                </c:pt>
                <c:pt idx="110">
                  <c:v>361860</c:v>
                </c:pt>
                <c:pt idx="111">
                  <c:v>367360</c:v>
                </c:pt>
                <c:pt idx="112">
                  <c:v>375160</c:v>
                </c:pt>
                <c:pt idx="113">
                  <c:v>380760</c:v>
                </c:pt>
                <c:pt idx="114">
                  <c:v>388700</c:v>
                </c:pt>
                <c:pt idx="115">
                  <c:v>394400</c:v>
                </c:pt>
                <c:pt idx="116">
                  <c:v>402480</c:v>
                </c:pt>
                <c:pt idx="117">
                  <c:v>408280</c:v>
                </c:pt>
                <c:pt idx="118">
                  <c:v>416500</c:v>
                </c:pt>
                <c:pt idx="119">
                  <c:v>422400</c:v>
                </c:pt>
                <c:pt idx="120">
                  <c:v>430760</c:v>
                </c:pt>
                <c:pt idx="121">
                  <c:v>436760</c:v>
                </c:pt>
                <c:pt idx="122">
                  <c:v>445260</c:v>
                </c:pt>
                <c:pt idx="123">
                  <c:v>451360</c:v>
                </c:pt>
                <c:pt idx="124">
                  <c:v>460000</c:v>
                </c:pt>
                <c:pt idx="125">
                  <c:v>466200</c:v>
                </c:pt>
                <c:pt idx="126">
                  <c:v>474980</c:v>
                </c:pt>
                <c:pt idx="127">
                  <c:v>481280</c:v>
                </c:pt>
                <c:pt idx="128">
                  <c:v>487620</c:v>
                </c:pt>
                <c:pt idx="129">
                  <c:v>496600</c:v>
                </c:pt>
                <c:pt idx="130">
                  <c:v>503040</c:v>
                </c:pt>
                <c:pt idx="131">
                  <c:v>512160</c:v>
                </c:pt>
                <c:pt idx="132">
                  <c:v>518700</c:v>
                </c:pt>
                <c:pt idx="133">
                  <c:v>527960</c:v>
                </c:pt>
                <c:pt idx="134">
                  <c:v>534600</c:v>
                </c:pt>
                <c:pt idx="135">
                  <c:v>544000</c:v>
                </c:pt>
                <c:pt idx="136">
                  <c:v>550740</c:v>
                </c:pt>
                <c:pt idx="137">
                  <c:v>560280</c:v>
                </c:pt>
                <c:pt idx="138">
                  <c:v>567120</c:v>
                </c:pt>
                <c:pt idx="139">
                  <c:v>576800</c:v>
                </c:pt>
                <c:pt idx="140">
                  <c:v>583740</c:v>
                </c:pt>
                <c:pt idx="141">
                  <c:v>593560</c:v>
                </c:pt>
                <c:pt idx="142">
                  <c:v>600600</c:v>
                </c:pt>
                <c:pt idx="143">
                  <c:v>607680</c:v>
                </c:pt>
                <c:pt idx="144">
                  <c:v>617700</c:v>
                </c:pt>
                <c:pt idx="145">
                  <c:v>624880</c:v>
                </c:pt>
                <c:pt idx="146">
                  <c:v>635040</c:v>
                </c:pt>
                <c:pt idx="147">
                  <c:v>642320</c:v>
                </c:pt>
                <c:pt idx="148">
                  <c:v>652620</c:v>
                </c:pt>
                <c:pt idx="149">
                  <c:v>660000</c:v>
                </c:pt>
                <c:pt idx="150">
                  <c:v>670440</c:v>
                </c:pt>
                <c:pt idx="151">
                  <c:v>677920</c:v>
                </c:pt>
                <c:pt idx="152">
                  <c:v>688500</c:v>
                </c:pt>
                <c:pt idx="153">
                  <c:v>696080</c:v>
                </c:pt>
                <c:pt idx="154">
                  <c:v>706800</c:v>
                </c:pt>
                <c:pt idx="155">
                  <c:v>714480</c:v>
                </c:pt>
                <c:pt idx="156">
                  <c:v>725340</c:v>
                </c:pt>
                <c:pt idx="157">
                  <c:v>733120</c:v>
                </c:pt>
                <c:pt idx="158">
                  <c:v>744120</c:v>
                </c:pt>
                <c:pt idx="159">
                  <c:v>752000</c:v>
                </c:pt>
                <c:pt idx="160">
                  <c:v>759920</c:v>
                </c:pt>
                <c:pt idx="161">
                  <c:v>771120</c:v>
                </c:pt>
                <c:pt idx="162">
                  <c:v>779140</c:v>
                </c:pt>
                <c:pt idx="163">
                  <c:v>790480</c:v>
                </c:pt>
                <c:pt idx="164">
                  <c:v>798600</c:v>
                </c:pt>
                <c:pt idx="165">
                  <c:v>810080</c:v>
                </c:pt>
                <c:pt idx="166">
                  <c:v>818300</c:v>
                </c:pt>
                <c:pt idx="167">
                  <c:v>829920</c:v>
                </c:pt>
                <c:pt idx="168">
                  <c:v>838240</c:v>
                </c:pt>
                <c:pt idx="169">
                  <c:v>850000</c:v>
                </c:pt>
                <c:pt idx="170">
                  <c:v>858420</c:v>
                </c:pt>
                <c:pt idx="171">
                  <c:v>870320</c:v>
                </c:pt>
                <c:pt idx="172">
                  <c:v>878840</c:v>
                </c:pt>
                <c:pt idx="173">
                  <c:v>890880</c:v>
                </c:pt>
                <c:pt idx="174">
                  <c:v>899500</c:v>
                </c:pt>
                <c:pt idx="175">
                  <c:v>908160</c:v>
                </c:pt>
                <c:pt idx="176">
                  <c:v>920400</c:v>
                </c:pt>
                <c:pt idx="177">
                  <c:v>929160</c:v>
                </c:pt>
                <c:pt idx="178">
                  <c:v>941540</c:v>
                </c:pt>
                <c:pt idx="179">
                  <c:v>950400</c:v>
                </c:pt>
                <c:pt idx="180">
                  <c:v>962920</c:v>
                </c:pt>
                <c:pt idx="181">
                  <c:v>971880</c:v>
                </c:pt>
                <c:pt idx="182">
                  <c:v>984540</c:v>
                </c:pt>
                <c:pt idx="183">
                  <c:v>993600</c:v>
                </c:pt>
                <c:pt idx="184">
                  <c:v>1006400</c:v>
                </c:pt>
                <c:pt idx="185">
                  <c:v>1015560</c:v>
                </c:pt>
                <c:pt idx="186">
                  <c:v>1028500</c:v>
                </c:pt>
                <c:pt idx="187">
                  <c:v>1037760</c:v>
                </c:pt>
                <c:pt idx="188">
                  <c:v>1050840</c:v>
                </c:pt>
                <c:pt idx="189">
                  <c:v>1060200</c:v>
                </c:pt>
                <c:pt idx="190">
                  <c:v>1069600</c:v>
                </c:pt>
                <c:pt idx="191">
                  <c:v>1082880</c:v>
                </c:pt>
                <c:pt idx="192">
                  <c:v>1092380</c:v>
                </c:pt>
                <c:pt idx="193">
                  <c:v>1105800</c:v>
                </c:pt>
                <c:pt idx="194">
                  <c:v>1115400</c:v>
                </c:pt>
                <c:pt idx="195">
                  <c:v>1128960</c:v>
                </c:pt>
                <c:pt idx="196">
                  <c:v>1138660</c:v>
                </c:pt>
                <c:pt idx="197">
                  <c:v>1152360</c:v>
                </c:pt>
                <c:pt idx="198">
                  <c:v>1162160</c:v>
                </c:pt>
                <c:pt idx="199">
                  <c:v>1176000</c:v>
                </c:pt>
                <c:pt idx="200">
                  <c:v>1185900</c:v>
                </c:pt>
                <c:pt idx="201">
                  <c:v>1199880</c:v>
                </c:pt>
                <c:pt idx="202">
                  <c:v>1209880</c:v>
                </c:pt>
                <c:pt idx="203">
                  <c:v>1224000</c:v>
                </c:pt>
                <c:pt idx="204">
                  <c:v>1234100</c:v>
                </c:pt>
                <c:pt idx="205">
                  <c:v>1248360</c:v>
                </c:pt>
                <c:pt idx="206">
                  <c:v>1258560</c:v>
                </c:pt>
                <c:pt idx="207">
                  <c:v>1268800</c:v>
                </c:pt>
                <c:pt idx="208">
                  <c:v>1283260</c:v>
                </c:pt>
                <c:pt idx="209">
                  <c:v>1293600</c:v>
                </c:pt>
                <c:pt idx="210">
                  <c:v>1308200</c:v>
                </c:pt>
                <c:pt idx="211">
                  <c:v>1318640</c:v>
                </c:pt>
                <c:pt idx="212">
                  <c:v>1333380</c:v>
                </c:pt>
                <c:pt idx="213">
                  <c:v>1343920</c:v>
                </c:pt>
                <c:pt idx="214">
                  <c:v>1358800</c:v>
                </c:pt>
                <c:pt idx="215">
                  <c:v>1369440</c:v>
                </c:pt>
                <c:pt idx="216">
                  <c:v>1384460</c:v>
                </c:pt>
                <c:pt idx="217">
                  <c:v>1395200</c:v>
                </c:pt>
                <c:pt idx="218">
                  <c:v>1410360</c:v>
                </c:pt>
                <c:pt idx="219">
                  <c:v>1421200</c:v>
                </c:pt>
                <c:pt idx="220">
                  <c:v>1436500</c:v>
                </c:pt>
                <c:pt idx="221">
                  <c:v>1447440</c:v>
                </c:pt>
                <c:pt idx="222">
                  <c:v>1458420</c:v>
                </c:pt>
                <c:pt idx="223">
                  <c:v>1473920</c:v>
                </c:pt>
                <c:pt idx="224">
                  <c:v>1485000</c:v>
                </c:pt>
                <c:pt idx="225">
                  <c:v>1500640</c:v>
                </c:pt>
                <c:pt idx="226">
                  <c:v>1511820</c:v>
                </c:pt>
                <c:pt idx="227">
                  <c:v>1527600</c:v>
                </c:pt>
                <c:pt idx="228">
                  <c:v>1538880</c:v>
                </c:pt>
                <c:pt idx="229">
                  <c:v>1554800</c:v>
                </c:pt>
                <c:pt idx="230">
                  <c:v>1566180</c:v>
                </c:pt>
                <c:pt idx="231">
                  <c:v>1582240</c:v>
                </c:pt>
                <c:pt idx="232">
                  <c:v>1593720</c:v>
                </c:pt>
                <c:pt idx="233">
                  <c:v>1609920</c:v>
                </c:pt>
                <c:pt idx="234">
                  <c:v>1621500</c:v>
                </c:pt>
                <c:pt idx="235">
                  <c:v>1637840</c:v>
                </c:pt>
                <c:pt idx="236">
                  <c:v>1649520</c:v>
                </c:pt>
                <c:pt idx="237">
                  <c:v>1666000</c:v>
                </c:pt>
                <c:pt idx="238">
                  <c:v>1677780</c:v>
                </c:pt>
                <c:pt idx="239">
                  <c:v>1689600</c:v>
                </c:pt>
                <c:pt idx="240">
                  <c:v>1706280</c:v>
                </c:pt>
                <c:pt idx="241">
                  <c:v>1718200</c:v>
                </c:pt>
                <c:pt idx="242">
                  <c:v>1735020</c:v>
                </c:pt>
                <c:pt idx="243">
                  <c:v>1747040</c:v>
                </c:pt>
                <c:pt idx="244">
                  <c:v>1764000</c:v>
                </c:pt>
                <c:pt idx="245">
                  <c:v>1776120</c:v>
                </c:pt>
                <c:pt idx="246">
                  <c:v>1793220</c:v>
                </c:pt>
                <c:pt idx="247">
                  <c:v>1805440</c:v>
                </c:pt>
                <c:pt idx="248">
                  <c:v>1822680</c:v>
                </c:pt>
                <c:pt idx="249">
                  <c:v>1835000</c:v>
                </c:pt>
                <c:pt idx="250">
                  <c:v>1852380</c:v>
                </c:pt>
                <c:pt idx="251">
                  <c:v>1864800</c:v>
                </c:pt>
                <c:pt idx="252">
                  <c:v>1882320</c:v>
                </c:pt>
                <c:pt idx="253">
                  <c:v>1894840</c:v>
                </c:pt>
                <c:pt idx="254">
                  <c:v>1907400</c:v>
                </c:pt>
                <c:pt idx="255">
                  <c:v>1925120</c:v>
                </c:pt>
                <c:pt idx="256">
                  <c:v>1937780</c:v>
                </c:pt>
                <c:pt idx="257">
                  <c:v>1955640</c:v>
                </c:pt>
                <c:pt idx="258">
                  <c:v>1968400</c:v>
                </c:pt>
                <c:pt idx="259">
                  <c:v>1986400</c:v>
                </c:pt>
                <c:pt idx="260">
                  <c:v>1999260</c:v>
                </c:pt>
                <c:pt idx="261">
                  <c:v>2017400</c:v>
                </c:pt>
                <c:pt idx="262">
                  <c:v>2030360</c:v>
                </c:pt>
                <c:pt idx="263">
                  <c:v>2048640</c:v>
                </c:pt>
                <c:pt idx="264">
                  <c:v>2061700</c:v>
                </c:pt>
                <c:pt idx="265">
                  <c:v>2080120</c:v>
                </c:pt>
              </c:numCache>
            </c:numRef>
          </c:xVal>
          <c:yVal>
            <c:numRef>
              <c:f>'V2'!$BC$13:$BC$278</c:f>
              <c:numCache>
                <c:formatCode>#,##0</c:formatCode>
                <c:ptCount val="266"/>
                <c:pt idx="0">
                  <c:v>1.5186135099368617E-2</c:v>
                </c:pt>
                <c:pt idx="1">
                  <c:v>0.19584064196602877</c:v>
                </c:pt>
                <c:pt idx="2">
                  <c:v>0.5848961703383514</c:v>
                </c:pt>
                <c:pt idx="3">
                  <c:v>1.5667251357282301</c:v>
                </c:pt>
                <c:pt idx="4">
                  <c:v>2.8533130281702221</c:v>
                </c:pt>
                <c:pt idx="5">
                  <c:v>5.2876973330827761</c:v>
                </c:pt>
                <c:pt idx="6">
                  <c:v>7.995423858120021</c:v>
                </c:pt>
                <c:pt idx="7">
                  <c:v>12.533801085825841</c:v>
                </c:pt>
                <c:pt idx="8">
                  <c:v>17.186267721457529</c:v>
                </c:pt>
                <c:pt idx="9">
                  <c:v>24.480080245753594</c:v>
                </c:pt>
                <c:pt idx="10">
                  <c:v>31.600887263294133</c:v>
                </c:pt>
                <c:pt idx="11">
                  <c:v>42.301578664662209</c:v>
                </c:pt>
                <c:pt idx="12">
                  <c:v>52.414325890034704</c:v>
                </c:pt>
                <c:pt idx="13">
                  <c:v>67.173340194347858</c:v>
                </c:pt>
                <c:pt idx="14">
                  <c:v>80.801627250916312</c:v>
                </c:pt>
                <c:pt idx="15">
                  <c:v>96.090512197960336</c:v>
                </c:pt>
                <c:pt idx="16">
                  <c:v>117.93783509239303</c:v>
                </c:pt>
                <c:pt idx="17">
                  <c:v>137.49014177166023</c:v>
                </c:pt>
                <c:pt idx="18">
                  <c:v>164.99799320606883</c:v>
                </c:pt>
                <c:pt idx="19">
                  <c:v>189.33732262635803</c:v>
                </c:pt>
                <c:pt idx="20">
                  <c:v>223.15714540685204</c:v>
                </c:pt>
                <c:pt idx="21">
                  <c:v>252.80709810635307</c:v>
                </c:pt>
                <c:pt idx="22">
                  <c:v>293.59033552267363</c:v>
                </c:pt>
                <c:pt idx="23">
                  <c:v>329.07451172982888</c:v>
                </c:pt>
                <c:pt idx="24">
                  <c:v>377.4726073892067</c:v>
                </c:pt>
                <c:pt idx="25">
                  <c:v>419.31460712027763</c:v>
                </c:pt>
                <c:pt idx="26">
                  <c:v>475.97900484696311</c:v>
                </c:pt>
                <c:pt idx="27">
                  <c:v>524.70242796799812</c:v>
                </c:pt>
                <c:pt idx="28">
                  <c:v>590.28457173960464</c:v>
                </c:pt>
                <c:pt idx="29">
                  <c:v>646.41301800733049</c:v>
                </c:pt>
                <c:pt idx="30">
                  <c:v>721.56435191291564</c:v>
                </c:pt>
                <c:pt idx="31">
                  <c:v>785.62142100260451</c:v>
                </c:pt>
                <c:pt idx="32">
                  <c:v>853.22395610894171</c:v>
                </c:pt>
                <c:pt idx="33">
                  <c:v>943.50268073914424</c:v>
                </c:pt>
                <c:pt idx="34">
                  <c:v>1019.7817217086565</c:v>
                </c:pt>
                <c:pt idx="35">
                  <c:v>1121.2318410173273</c:v>
                </c:pt>
                <c:pt idx="36">
                  <c:v>1206.7109881285003</c:v>
                </c:pt>
                <c:pt idx="37">
                  <c:v>1319.9839456485506</c:v>
                </c:pt>
                <c:pt idx="38">
                  <c:v>1415.1867990309374</c:v>
                </c:pt>
                <c:pt idx="39">
                  <c:v>1540.9340384524314</c:v>
                </c:pt>
                <c:pt idx="40">
                  <c:v>1646.3841981162907</c:v>
                </c:pt>
                <c:pt idx="41">
                  <c:v>1785.2571632548163</c:v>
                </c:pt>
                <c:pt idx="42">
                  <c:v>1901.4782291137356</c:v>
                </c:pt>
                <c:pt idx="43">
                  <c:v>2054.1283638863442</c:v>
                </c:pt>
                <c:pt idx="44">
                  <c:v>2181.6439357747399</c:v>
                </c:pt>
                <c:pt idx="45">
                  <c:v>2348.722684181389</c:v>
                </c:pt>
                <c:pt idx="46">
                  <c:v>2488.056361868224</c:v>
                </c:pt>
                <c:pt idx="47">
                  <c:v>2632.5960938386311</c:v>
                </c:pt>
                <c:pt idx="48">
                  <c:v>2821.8905511769194</c:v>
                </c:pt>
                <c:pt idx="49">
                  <c:v>2978.9962717982576</c:v>
                </c:pt>
                <c:pt idx="50">
                  <c:v>3184.3215474946123</c:v>
                </c:pt>
                <c:pt idx="51">
                  <c:v>3354.516856962221</c:v>
                </c:pt>
                <c:pt idx="52">
                  <c:v>3576.5243946240139</c:v>
                </c:pt>
                <c:pt idx="53">
                  <c:v>3760.3328930353514</c:v>
                </c:pt>
                <c:pt idx="54">
                  <c:v>3999.6741363751094</c:v>
                </c:pt>
                <c:pt idx="55">
                  <c:v>4197.619423743985</c:v>
                </c:pt>
                <c:pt idx="56">
                  <c:v>4454.9458165638598</c:v>
                </c:pt>
                <c:pt idx="57">
                  <c:v>4667.5514928321682</c:v>
                </c:pt>
                <c:pt idx="58">
                  <c:v>4943.5144790111663</c:v>
                </c:pt>
                <c:pt idx="59">
                  <c:v>5171.3041440586439</c:v>
                </c:pt>
                <c:pt idx="60">
                  <c:v>5466.5551675420556</c:v>
                </c:pt>
                <c:pt idx="61">
                  <c:v>5710.0524211944239</c:v>
                </c:pt>
                <c:pt idx="62">
                  <c:v>6025.242925985006</c:v>
                </c:pt>
                <c:pt idx="63">
                  <c:v>6284.9713680208361</c:v>
                </c:pt>
                <c:pt idx="64">
                  <c:v>6551.7907362543365</c:v>
                </c:pt>
                <c:pt idx="65">
                  <c:v>6897.2360283279268</c:v>
                </c:pt>
                <c:pt idx="66">
                  <c:v>7181.0344680652433</c:v>
                </c:pt>
                <c:pt idx="67">
                  <c:v>7548.0214459131539</c:v>
                </c:pt>
                <c:pt idx="68">
                  <c:v>7849.3225572363481</c:v>
                </c:pt>
                <c:pt idx="69">
                  <c:v>8238.50266458031</c:v>
                </c:pt>
                <c:pt idx="70">
                  <c:v>8557.8300475068809</c:v>
                </c:pt>
                <c:pt idx="71">
                  <c:v>8969.8547281386182</c:v>
                </c:pt>
                <c:pt idx="72">
                  <c:v>9307.7319826286912</c:v>
                </c:pt>
                <c:pt idx="73">
                  <c:v>9743.2526804019908</c:v>
                </c:pt>
                <c:pt idx="74">
                  <c:v>10100.203406364539</c:v>
                </c:pt>
                <c:pt idx="75">
                  <c:v>10559.871565188405</c:v>
                </c:pt>
                <c:pt idx="76">
                  <c:v>10936.419362486629</c:v>
                </c:pt>
                <c:pt idx="77">
                  <c:v>11420.886426319365</c:v>
                </c:pt>
                <c:pt idx="78">
                  <c:v>11817.554894775411</c:v>
                </c:pt>
                <c:pt idx="79">
                  <c:v>12222.974878546122</c:v>
                </c:pt>
                <c:pt idx="80">
                  <c:v>12744.785047018531</c:v>
                </c:pt>
                <c:pt idx="81">
                  <c:v>13171.073584930326</c:v>
                </c:pt>
                <c:pt idx="82">
                  <c:v>13719.284863009932</c:v>
                </c:pt>
                <c:pt idx="83">
                  <c:v>14166.96555513595</c:v>
                </c:pt>
                <c:pt idx="84">
                  <c:v>14742.22938654913</c:v>
                </c:pt>
                <c:pt idx="85">
                  <c:v>15211.825832909884</c:v>
                </c:pt>
                <c:pt idx="86">
                  <c:v>15814.793661440535</c:v>
                </c:pt>
                <c:pt idx="87">
                  <c:v>16306.829462008773</c:v>
                </c:pt>
                <c:pt idx="88">
                  <c:v>16938.152731492894</c:v>
                </c:pt>
                <c:pt idx="89">
                  <c:v>17453.151486197919</c:v>
                </c:pt>
                <c:pt idx="90">
                  <c:v>18113.481640518825</c:v>
                </c:pt>
                <c:pt idx="91">
                  <c:v>18651.966949250313</c:v>
                </c:pt>
                <c:pt idx="92">
                  <c:v>19341.955432334355</c:v>
                </c:pt>
                <c:pt idx="93">
                  <c:v>19904.450894945792</c:v>
                </c:pt>
                <c:pt idx="94">
                  <c:v>20624.749150758606</c:v>
                </c:pt>
                <c:pt idx="95">
                  <c:v>21211.778367070317</c:v>
                </c:pt>
                <c:pt idx="96">
                  <c:v>21809.443971058121</c:v>
                </c:pt>
                <c:pt idx="97">
                  <c:v>22575.124409415355</c:v>
                </c:pt>
                <c:pt idx="98">
                  <c:v>23198.071650238282</c:v>
                </c:pt>
                <c:pt idx="99">
                  <c:v>23995.664065777273</c:v>
                </c:pt>
                <c:pt idx="100">
                  <c:v>24644.416543458243</c:v>
                </c:pt>
                <c:pt idx="101">
                  <c:v>25474.572379956899</c:v>
                </c:pt>
                <c:pt idx="102">
                  <c:v>26149.6536944779</c:v>
                </c:pt>
                <c:pt idx="103">
                  <c:v>27013.024395759032</c:v>
                </c:pt>
                <c:pt idx="104">
                  <c:v>27714.958147064292</c:v>
                </c:pt>
                <c:pt idx="105">
                  <c:v>28612.195156992111</c:v>
                </c:pt>
                <c:pt idx="106">
                  <c:v>29341.504944990967</c:v>
                </c:pt>
                <c:pt idx="107">
                  <c:v>30273.259707467834</c:v>
                </c:pt>
                <c:pt idx="108">
                  <c:v>31030.469132037309</c:v>
                </c:pt>
                <c:pt idx="109">
                  <c:v>31997.393091000875</c:v>
                </c:pt>
                <c:pt idx="110">
                  <c:v>32783.025751988069</c:v>
                </c:pt>
                <c:pt idx="111">
                  <c:v>33580.95538995188</c:v>
                </c:pt>
                <c:pt idx="112">
                  <c:v>34600.34984863281</c:v>
                </c:pt>
                <c:pt idx="113">
                  <c:v>35427.450606048202</c:v>
                </c:pt>
                <c:pt idx="114">
                  <c:v>36483.616465765554</c:v>
                </c:pt>
                <c:pt idx="115">
                  <c:v>37340.411942657345</c:v>
                </c:pt>
                <c:pt idx="116">
                  <c:v>38434.000647184315</c:v>
                </c:pt>
                <c:pt idx="117">
                  <c:v>39321.014443541557</c:v>
                </c:pt>
                <c:pt idx="118">
                  <c:v>40452.677436690814</c:v>
                </c:pt>
                <c:pt idx="119">
                  <c:v>41370.433152469152</c:v>
                </c:pt>
                <c:pt idx="120">
                  <c:v>42540.821878090152</c:v>
                </c:pt>
                <c:pt idx="121">
                  <c:v>43489.843113214061</c:v>
                </c:pt>
                <c:pt idx="122">
                  <c:v>44699.60901519053</c:v>
                </c:pt>
                <c:pt idx="123">
                  <c:v>45680.419369555391</c:v>
                </c:pt>
                <c:pt idx="124">
                  <c:v>46930.213891802981</c:v>
                </c:pt>
                <c:pt idx="125">
                  <c:v>47943.336965276882</c:v>
                </c:pt>
                <c:pt idx="126">
                  <c:v>49233.81155174115</c:v>
                </c:pt>
                <c:pt idx="127">
                  <c:v>50279.770944166688</c:v>
                </c:pt>
                <c:pt idx="128">
                  <c:v>51339.912186070855</c:v>
                </c:pt>
                <c:pt idx="129">
                  <c:v>52690.896350016912</c:v>
                </c:pt>
                <c:pt idx="130">
                  <c:v>53784.621794012623</c:v>
                </c:pt>
                <c:pt idx="131">
                  <c:v>55177.888226623414</c:v>
                </c:pt>
                <c:pt idx="132">
                  <c:v>56305.721472705227</c:v>
                </c:pt>
                <c:pt idx="133">
                  <c:v>57741.921617785381</c:v>
                </c:pt>
                <c:pt idx="134">
                  <c:v>58904.386265917987</c:v>
                </c:pt>
                <c:pt idx="135">
                  <c:v>60384.171567305231</c:v>
                </c:pt>
                <c:pt idx="136">
                  <c:v>61581.791217425125</c:v>
                </c:pt>
                <c:pt idx="137">
                  <c:v>63105.813118988255</c:v>
                </c:pt>
                <c:pt idx="138">
                  <c:v>64339.111371005471</c:v>
                </c:pt>
                <c:pt idx="139">
                  <c:v>65908.02131664248</c:v>
                </c:pt>
                <c:pt idx="140">
                  <c:v>67177.52177044205</c:v>
                </c:pt>
                <c:pt idx="141">
                  <c:v>68791.971204078422</c:v>
                </c:pt>
                <c:pt idx="142">
                  <c:v>70098.197459521805</c:v>
                </c:pt>
                <c:pt idx="143">
                  <c:v>71420.266153811535</c:v>
                </c:pt>
                <c:pt idx="144">
                  <c:v>73102.313482035388</c:v>
                </c:pt>
                <c:pt idx="145">
                  <c:v>74461.855861029529</c:v>
                </c:pt>
                <c:pt idx="146">
                  <c:v>76191.044881776834</c:v>
                </c:pt>
                <c:pt idx="147">
                  <c:v>77588.584545474427</c:v>
                </c:pt>
                <c:pt idx="148">
                  <c:v>79365.566702543263</c:v>
                </c:pt>
                <c:pt idx="149">
                  <c:v>80801.62725091631</c:v>
                </c:pt>
                <c:pt idx="150">
                  <c:v>82627.053988134867</c:v>
                </c:pt>
                <c:pt idx="151">
                  <c:v>84102.159021129642</c:v>
                </c:pt>
                <c:pt idx="152">
                  <c:v>85976.681782354513</c:v>
                </c:pt>
                <c:pt idx="153">
                  <c:v>87491.354899893035</c:v>
                </c:pt>
                <c:pt idx="154">
                  <c:v>89415.625129007691</c:v>
                </c:pt>
                <c:pt idx="155">
                  <c:v>90970.389930988924</c:v>
                </c:pt>
                <c:pt idx="156">
                  <c:v>92945.059071902273</c:v>
                </c:pt>
                <c:pt idx="157">
                  <c:v>94540.439158203284</c:v>
                </c:pt>
                <c:pt idx="158">
                  <c:v>96566.158654848361</c:v>
                </c:pt>
                <c:pt idx="159">
                  <c:v>98202.677625325552</c:v>
                </c:pt>
                <c:pt idx="160">
                  <c:v>99856.923907213553</c:v>
                </c:pt>
                <c:pt idx="161">
                  <c:v>101958.28037614825</c:v>
                </c:pt>
                <c:pt idx="162">
                  <c:v>103654.41342535467</c:v>
                </c:pt>
                <c:pt idx="163">
                  <c:v>105808.42245446678</c:v>
                </c:pt>
                <c:pt idx="164">
                  <c:v>107546.96587096959</c:v>
                </c:pt>
                <c:pt idx="165">
                  <c:v>109754.27890407946</c:v>
                </c:pt>
                <c:pt idx="166">
                  <c:v>111535.75628783308</c:v>
                </c:pt>
                <c:pt idx="167">
                  <c:v>113797.0247687871</c:v>
                </c:pt>
                <c:pt idx="168">
                  <c:v>115621.95971972356</c:v>
                </c:pt>
                <c:pt idx="169">
                  <c:v>117937.83509239304</c:v>
                </c:pt>
                <c:pt idx="170">
                  <c:v>119806.7512104229</c:v>
                </c:pt>
                <c:pt idx="171">
                  <c:v>122177.88491870284</c:v>
                </c:pt>
                <c:pt idx="172">
                  <c:v>124091.30580371636</c:v>
                </c:pt>
                <c:pt idx="173">
                  <c:v>126518.34929152428</c:v>
                </c:pt>
                <c:pt idx="174">
                  <c:v>128476.79854339226</c:v>
                </c:pt>
                <c:pt idx="175">
                  <c:v>130454.63569607018</c:v>
                </c:pt>
                <c:pt idx="176">
                  <c:v>132964.40447324188</c:v>
                </c:pt>
                <c:pt idx="177">
                  <c:v>134988.01787585139</c:v>
                </c:pt>
                <c:pt idx="178">
                  <c:v>137555.29863705928</c:v>
                </c:pt>
                <c:pt idx="179">
                  <c:v>139625.21188958336</c:v>
                </c:pt>
                <c:pt idx="180">
                  <c:v>142250.65607864107</c:v>
                </c:pt>
                <c:pt idx="181">
                  <c:v>144367.39278104098</c:v>
                </c:pt>
                <c:pt idx="182">
                  <c:v>147051.65184178631</c:v>
                </c:pt>
                <c:pt idx="183">
                  <c:v>149215.7355940025</c:v>
                </c:pt>
                <c:pt idx="184">
                  <c:v>151959.46097029647</c:v>
                </c:pt>
                <c:pt idx="185">
                  <c:v>154171.41537224941</c:v>
                </c:pt>
                <c:pt idx="186">
                  <c:v>156975.25850797514</c:v>
                </c:pt>
                <c:pt idx="187">
                  <c:v>159235.60715956634</c:v>
                </c:pt>
                <c:pt idx="188">
                  <c:v>162100.21949862802</c:v>
                </c:pt>
                <c:pt idx="189">
                  <c:v>164409.48599974063</c:v>
                </c:pt>
                <c:pt idx="190">
                  <c:v>166739.80099110489</c:v>
                </c:pt>
                <c:pt idx="191">
                  <c:v>169694.22693656254</c:v>
                </c:pt>
                <c:pt idx="192">
                  <c:v>172074.20766047013</c:v>
                </c:pt>
                <c:pt idx="193">
                  <c:v>175091.00501382488</c:v>
                </c:pt>
                <c:pt idx="194">
                  <c:v>177521.1750702631</c:v>
                </c:pt>
                <c:pt idx="195">
                  <c:v>180600.99527532284</c:v>
                </c:pt>
                <c:pt idx="196">
                  <c:v>183081.87826425879</c:v>
                </c:pt>
                <c:pt idx="197">
                  <c:v>186225.37276485402</c:v>
                </c:pt>
                <c:pt idx="198">
                  <c:v>188757.49228623541</c:v>
                </c:pt>
                <c:pt idx="199">
                  <c:v>191965.31252621819</c:v>
                </c:pt>
                <c:pt idx="200">
                  <c:v>194549.19217997394</c:v>
                </c:pt>
                <c:pt idx="201">
                  <c:v>197821.98960321728</c:v>
                </c:pt>
                <c:pt idx="202">
                  <c:v>200458.15298925852</c:v>
                </c:pt>
                <c:pt idx="203">
                  <c:v>203796.57903965519</c:v>
                </c:pt>
                <c:pt idx="204">
                  <c:v>206485.54975787582</c:v>
                </c:pt>
                <c:pt idx="205">
                  <c:v>209890.25587933767</c:v>
                </c:pt>
                <c:pt idx="206">
                  <c:v>212632.55752961506</c:v>
                </c:pt>
                <c:pt idx="207">
                  <c:v>215397.7925427164</c:v>
                </c:pt>
                <c:pt idx="208">
                  <c:v>218900.35134826796</c:v>
                </c:pt>
                <c:pt idx="209">
                  <c:v>221719.66517651433</c:v>
                </c:pt>
                <c:pt idx="210">
                  <c:v>225290.10625762853</c:v>
                </c:pt>
                <c:pt idx="211">
                  <c:v>228164.02250099211</c:v>
                </c:pt>
                <c:pt idx="212">
                  <c:v>231802.99730149316</c:v>
                </c:pt>
                <c:pt idx="213">
                  <c:v>234732.03955992774</c:v>
                </c:pt>
                <c:pt idx="214">
                  <c:v>238440.19952365995</c:v>
                </c:pt>
                <c:pt idx="215">
                  <c:v>241424.89139710201</c:v>
                </c:pt>
                <c:pt idx="216">
                  <c:v>245202.88796792948</c:v>
                </c:pt>
                <c:pt idx="217">
                  <c:v>248243.75305629848</c:v>
                </c:pt>
                <c:pt idx="218">
                  <c:v>252092.23767810393</c:v>
                </c:pt>
                <c:pt idx="219">
                  <c:v>255189.79958130314</c:v>
                </c:pt>
                <c:pt idx="220">
                  <c:v>259109.42369798754</c:v>
                </c:pt>
                <c:pt idx="221">
                  <c:v>262264.20601590455</c:v>
                </c:pt>
                <c:pt idx="222">
                  <c:v>265443.58228609565</c:v>
                </c:pt>
                <c:pt idx="223">
                  <c:v>269468.14740389329</c:v>
                </c:pt>
                <c:pt idx="224">
                  <c:v>272705.49197184254</c:v>
                </c:pt>
                <c:pt idx="225">
                  <c:v>276802.79878906248</c:v>
                </c:pt>
                <c:pt idx="226">
                  <c:v>280098.63525474624</c:v>
                </c:pt>
                <c:pt idx="227">
                  <c:v>284269.33521520713</c:v>
                </c:pt>
                <c:pt idx="228">
                  <c:v>287624.18717858486</c:v>
                </c:pt>
                <c:pt idx="229">
                  <c:v>291868.93172612443</c:v>
                </c:pt>
                <c:pt idx="230">
                  <c:v>295283.32278713892</c:v>
                </c:pt>
                <c:pt idx="231">
                  <c:v>299602.76336561324</c:v>
                </c:pt>
                <c:pt idx="232">
                  <c:v>303077.21712419152</c:v>
                </c:pt>
                <c:pt idx="233">
                  <c:v>307472.00517747452</c:v>
                </c:pt>
                <c:pt idx="234">
                  <c:v>311007.0452335279</c:v>
                </c:pt>
                <c:pt idx="235">
                  <c:v>315477.83220551076</c:v>
                </c:pt>
                <c:pt idx="236">
                  <c:v>319073.98215893609</c:v>
                </c:pt>
                <c:pt idx="237">
                  <c:v>323621.41949352651</c:v>
                </c:pt>
                <c:pt idx="238">
                  <c:v>327279.2029442059</c:v>
                </c:pt>
                <c:pt idx="239">
                  <c:v>330963.46521975321</c:v>
                </c:pt>
                <c:pt idx="240">
                  <c:v>335623.88263312925</c:v>
                </c:pt>
                <c:pt idx="241">
                  <c:v>339370.52628902689</c:v>
                </c:pt>
                <c:pt idx="242">
                  <c:v>344109.19626950024</c:v>
                </c:pt>
                <c:pt idx="243">
                  <c:v>347918.74490571249</c:v>
                </c:pt>
                <c:pt idx="244">
                  <c:v>352736.31889711495</c:v>
                </c:pt>
                <c:pt idx="245">
                  <c:v>356609.29611359036</c:v>
                </c:pt>
                <c:pt idx="246">
                  <c:v>361506.42555977101</c:v>
                </c:pt>
                <c:pt idx="247">
                  <c:v>365443.35495644313</c:v>
                </c:pt>
                <c:pt idx="248">
                  <c:v>370420.69130126818</c:v>
                </c:pt>
                <c:pt idx="249">
                  <c:v>374422.09647805558</c:v>
                </c:pt>
                <c:pt idx="250">
                  <c:v>379480.29116540757</c:v>
                </c:pt>
                <c:pt idx="251">
                  <c:v>383546.69572221505</c:v>
                </c:pt>
                <c:pt idx="252">
                  <c:v>388686.40019599226</c:v>
                </c:pt>
                <c:pt idx="253">
                  <c:v>392818.32773271063</c:v>
                </c:pt>
                <c:pt idx="254">
                  <c:v>396978.39468375186</c:v>
                </c:pt>
                <c:pt idx="255">
                  <c:v>402238.16755333351</c:v>
                </c:pt>
                <c:pt idx="256">
                  <c:v>406464.50536733953</c:v>
                </c:pt>
                <c:pt idx="257">
                  <c:v>411807.39022787672</c:v>
                </c:pt>
                <c:pt idx="258">
                  <c:v>416100.52250481612</c:v>
                </c:pt>
                <c:pt idx="259">
                  <c:v>421527.1708001353</c:v>
                </c:pt>
                <c:pt idx="260">
                  <c:v>425887.6211399617</c:v>
                </c:pt>
                <c:pt idx="261">
                  <c:v>431398.68431390607</c:v>
                </c:pt>
                <c:pt idx="262">
                  <c:v>435826.97631655872</c:v>
                </c:pt>
                <c:pt idx="263">
                  <c:v>441423.10581298731</c:v>
                </c:pt>
                <c:pt idx="264">
                  <c:v>445919.76307839149</c:v>
                </c:pt>
                <c:pt idx="265">
                  <c:v>451601.61034117907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D-4AC8-84FF-36914C5D5422}"/>
            </c:ext>
          </c:extLst>
        </c:ser>
        <c:ser>
          <c:idx val="1"/>
          <c:order val="1"/>
          <c:tx>
            <c:strRef>
              <c:f>'V2'!$BD$12</c:f>
              <c:strCache>
                <c:ptCount val="1"/>
                <c:pt idx="0">
                  <c:v>Best Total Mbps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0.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'V2'!$AY$13:$AY$278</c:f>
              <c:numCache>
                <c:formatCode>#,##0</c:formatCode>
                <c:ptCount val="266"/>
                <c:pt idx="0">
                  <c:v>20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700</c:v>
                </c:pt>
                <c:pt idx="5">
                  <c:v>1080</c:v>
                </c:pt>
                <c:pt idx="6">
                  <c:v>1400</c:v>
                </c:pt>
                <c:pt idx="7">
                  <c:v>1920</c:v>
                </c:pt>
                <c:pt idx="8">
                  <c:v>2340</c:v>
                </c:pt>
                <c:pt idx="9">
                  <c:v>3000</c:v>
                </c:pt>
                <c:pt idx="10">
                  <c:v>3520</c:v>
                </c:pt>
                <c:pt idx="11">
                  <c:v>4320</c:v>
                </c:pt>
                <c:pt idx="12">
                  <c:v>4940</c:v>
                </c:pt>
                <c:pt idx="13">
                  <c:v>5880</c:v>
                </c:pt>
                <c:pt idx="14">
                  <c:v>6600</c:v>
                </c:pt>
                <c:pt idx="15">
                  <c:v>7360</c:v>
                </c:pt>
                <c:pt idx="16">
                  <c:v>8500</c:v>
                </c:pt>
                <c:pt idx="17">
                  <c:v>9360</c:v>
                </c:pt>
                <c:pt idx="18">
                  <c:v>10640</c:v>
                </c:pt>
                <c:pt idx="19">
                  <c:v>11600</c:v>
                </c:pt>
                <c:pt idx="20">
                  <c:v>13020</c:v>
                </c:pt>
                <c:pt idx="21">
                  <c:v>14080</c:v>
                </c:pt>
                <c:pt idx="22">
                  <c:v>15640</c:v>
                </c:pt>
                <c:pt idx="23">
                  <c:v>16800</c:v>
                </c:pt>
                <c:pt idx="24">
                  <c:v>18500</c:v>
                </c:pt>
                <c:pt idx="25">
                  <c:v>19760</c:v>
                </c:pt>
                <c:pt idx="26">
                  <c:v>21600</c:v>
                </c:pt>
                <c:pt idx="27">
                  <c:v>22960</c:v>
                </c:pt>
                <c:pt idx="28">
                  <c:v>24940</c:v>
                </c:pt>
                <c:pt idx="29">
                  <c:v>26400</c:v>
                </c:pt>
                <c:pt idx="30">
                  <c:v>28520</c:v>
                </c:pt>
                <c:pt idx="31">
                  <c:v>30080</c:v>
                </c:pt>
                <c:pt idx="32">
                  <c:v>31680</c:v>
                </c:pt>
                <c:pt idx="33">
                  <c:v>34000</c:v>
                </c:pt>
                <c:pt idx="34">
                  <c:v>35700</c:v>
                </c:pt>
                <c:pt idx="35">
                  <c:v>38160</c:v>
                </c:pt>
                <c:pt idx="36">
                  <c:v>39960</c:v>
                </c:pt>
                <c:pt idx="37">
                  <c:v>42560</c:v>
                </c:pt>
                <c:pt idx="38">
                  <c:v>44460</c:v>
                </c:pt>
                <c:pt idx="39">
                  <c:v>47200</c:v>
                </c:pt>
                <c:pt idx="40">
                  <c:v>49200</c:v>
                </c:pt>
                <c:pt idx="41">
                  <c:v>52080</c:v>
                </c:pt>
                <c:pt idx="42">
                  <c:v>54180</c:v>
                </c:pt>
                <c:pt idx="43">
                  <c:v>57200</c:v>
                </c:pt>
                <c:pt idx="44">
                  <c:v>59400</c:v>
                </c:pt>
                <c:pt idx="45">
                  <c:v>62560</c:v>
                </c:pt>
                <c:pt idx="46">
                  <c:v>64860</c:v>
                </c:pt>
                <c:pt idx="47">
                  <c:v>67200</c:v>
                </c:pt>
                <c:pt idx="48">
                  <c:v>70560</c:v>
                </c:pt>
                <c:pt idx="49">
                  <c:v>73000</c:v>
                </c:pt>
                <c:pt idx="50">
                  <c:v>76500</c:v>
                </c:pt>
                <c:pt idx="51">
                  <c:v>79040</c:v>
                </c:pt>
                <c:pt idx="52">
                  <c:v>82680</c:v>
                </c:pt>
                <c:pt idx="53">
                  <c:v>85320</c:v>
                </c:pt>
                <c:pt idx="54">
                  <c:v>89100</c:v>
                </c:pt>
                <c:pt idx="55">
                  <c:v>91840</c:v>
                </c:pt>
                <c:pt idx="56">
                  <c:v>95760</c:v>
                </c:pt>
                <c:pt idx="57">
                  <c:v>98600</c:v>
                </c:pt>
                <c:pt idx="58">
                  <c:v>102660</c:v>
                </c:pt>
                <c:pt idx="59">
                  <c:v>105600</c:v>
                </c:pt>
                <c:pt idx="60">
                  <c:v>109800</c:v>
                </c:pt>
                <c:pt idx="61">
                  <c:v>112840</c:v>
                </c:pt>
                <c:pt idx="62">
                  <c:v>117180</c:v>
                </c:pt>
                <c:pt idx="63">
                  <c:v>120320</c:v>
                </c:pt>
                <c:pt idx="64">
                  <c:v>123500</c:v>
                </c:pt>
                <c:pt idx="65">
                  <c:v>128040</c:v>
                </c:pt>
                <c:pt idx="66">
                  <c:v>131320</c:v>
                </c:pt>
                <c:pt idx="67">
                  <c:v>136000</c:v>
                </c:pt>
                <c:pt idx="68">
                  <c:v>139380</c:v>
                </c:pt>
                <c:pt idx="69">
                  <c:v>144200</c:v>
                </c:pt>
                <c:pt idx="70">
                  <c:v>147680</c:v>
                </c:pt>
                <c:pt idx="71">
                  <c:v>152640</c:v>
                </c:pt>
                <c:pt idx="72">
                  <c:v>156220</c:v>
                </c:pt>
                <c:pt idx="73">
                  <c:v>161320</c:v>
                </c:pt>
                <c:pt idx="74">
                  <c:v>165000</c:v>
                </c:pt>
                <c:pt idx="75">
                  <c:v>170240</c:v>
                </c:pt>
                <c:pt idx="76">
                  <c:v>174020</c:v>
                </c:pt>
                <c:pt idx="77">
                  <c:v>179400</c:v>
                </c:pt>
                <c:pt idx="78">
                  <c:v>183280</c:v>
                </c:pt>
                <c:pt idx="79">
                  <c:v>187200</c:v>
                </c:pt>
                <c:pt idx="80">
                  <c:v>192780</c:v>
                </c:pt>
                <c:pt idx="81">
                  <c:v>196800</c:v>
                </c:pt>
                <c:pt idx="82">
                  <c:v>202520</c:v>
                </c:pt>
                <c:pt idx="83">
                  <c:v>206640</c:v>
                </c:pt>
                <c:pt idx="84">
                  <c:v>212500</c:v>
                </c:pt>
                <c:pt idx="85">
                  <c:v>216720</c:v>
                </c:pt>
                <c:pt idx="86">
                  <c:v>222720</c:v>
                </c:pt>
                <c:pt idx="87">
                  <c:v>227040</c:v>
                </c:pt>
                <c:pt idx="88">
                  <c:v>233180</c:v>
                </c:pt>
                <c:pt idx="89">
                  <c:v>237600</c:v>
                </c:pt>
                <c:pt idx="90">
                  <c:v>243880</c:v>
                </c:pt>
                <c:pt idx="91">
                  <c:v>248400</c:v>
                </c:pt>
                <c:pt idx="92">
                  <c:v>254820</c:v>
                </c:pt>
                <c:pt idx="93">
                  <c:v>259440</c:v>
                </c:pt>
                <c:pt idx="94">
                  <c:v>266000</c:v>
                </c:pt>
                <c:pt idx="95">
                  <c:v>270720</c:v>
                </c:pt>
                <c:pt idx="96">
                  <c:v>275480</c:v>
                </c:pt>
                <c:pt idx="97">
                  <c:v>282240</c:v>
                </c:pt>
                <c:pt idx="98">
                  <c:v>287100</c:v>
                </c:pt>
                <c:pt idx="99">
                  <c:v>294000</c:v>
                </c:pt>
                <c:pt idx="100">
                  <c:v>298960</c:v>
                </c:pt>
                <c:pt idx="101">
                  <c:v>306000</c:v>
                </c:pt>
                <c:pt idx="102">
                  <c:v>311060</c:v>
                </c:pt>
                <c:pt idx="103">
                  <c:v>318240</c:v>
                </c:pt>
                <c:pt idx="104">
                  <c:v>323400</c:v>
                </c:pt>
                <c:pt idx="105">
                  <c:v>330720</c:v>
                </c:pt>
                <c:pt idx="106">
                  <c:v>335980</c:v>
                </c:pt>
                <c:pt idx="107">
                  <c:v>343440</c:v>
                </c:pt>
                <c:pt idx="108">
                  <c:v>348800</c:v>
                </c:pt>
                <c:pt idx="109">
                  <c:v>356400</c:v>
                </c:pt>
                <c:pt idx="110">
                  <c:v>361860</c:v>
                </c:pt>
                <c:pt idx="111">
                  <c:v>367360</c:v>
                </c:pt>
                <c:pt idx="112">
                  <c:v>375160</c:v>
                </c:pt>
                <c:pt idx="113">
                  <c:v>380760</c:v>
                </c:pt>
                <c:pt idx="114">
                  <c:v>388700</c:v>
                </c:pt>
                <c:pt idx="115">
                  <c:v>394400</c:v>
                </c:pt>
                <c:pt idx="116">
                  <c:v>402480</c:v>
                </c:pt>
                <c:pt idx="117">
                  <c:v>408280</c:v>
                </c:pt>
                <c:pt idx="118">
                  <c:v>416500</c:v>
                </c:pt>
                <c:pt idx="119">
                  <c:v>422400</c:v>
                </c:pt>
                <c:pt idx="120">
                  <c:v>430760</c:v>
                </c:pt>
                <c:pt idx="121">
                  <c:v>436760</c:v>
                </c:pt>
                <c:pt idx="122">
                  <c:v>445260</c:v>
                </c:pt>
                <c:pt idx="123">
                  <c:v>451360</c:v>
                </c:pt>
                <c:pt idx="124">
                  <c:v>460000</c:v>
                </c:pt>
                <c:pt idx="125">
                  <c:v>466200</c:v>
                </c:pt>
                <c:pt idx="126">
                  <c:v>474980</c:v>
                </c:pt>
                <c:pt idx="127">
                  <c:v>481280</c:v>
                </c:pt>
                <c:pt idx="128">
                  <c:v>487620</c:v>
                </c:pt>
                <c:pt idx="129">
                  <c:v>496600</c:v>
                </c:pt>
                <c:pt idx="130">
                  <c:v>503040</c:v>
                </c:pt>
                <c:pt idx="131">
                  <c:v>512160</c:v>
                </c:pt>
                <c:pt idx="132">
                  <c:v>518700</c:v>
                </c:pt>
                <c:pt idx="133">
                  <c:v>527960</c:v>
                </c:pt>
                <c:pt idx="134">
                  <c:v>534600</c:v>
                </c:pt>
                <c:pt idx="135">
                  <c:v>544000</c:v>
                </c:pt>
                <c:pt idx="136">
                  <c:v>550740</c:v>
                </c:pt>
                <c:pt idx="137">
                  <c:v>560280</c:v>
                </c:pt>
                <c:pt idx="138">
                  <c:v>567120</c:v>
                </c:pt>
                <c:pt idx="139">
                  <c:v>576800</c:v>
                </c:pt>
                <c:pt idx="140">
                  <c:v>583740</c:v>
                </c:pt>
                <c:pt idx="141">
                  <c:v>593560</c:v>
                </c:pt>
                <c:pt idx="142">
                  <c:v>600600</c:v>
                </c:pt>
                <c:pt idx="143">
                  <c:v>607680</c:v>
                </c:pt>
                <c:pt idx="144">
                  <c:v>617700</c:v>
                </c:pt>
                <c:pt idx="145">
                  <c:v>624880</c:v>
                </c:pt>
                <c:pt idx="146">
                  <c:v>635040</c:v>
                </c:pt>
                <c:pt idx="147">
                  <c:v>642320</c:v>
                </c:pt>
                <c:pt idx="148">
                  <c:v>652620</c:v>
                </c:pt>
                <c:pt idx="149">
                  <c:v>660000</c:v>
                </c:pt>
                <c:pt idx="150">
                  <c:v>670440</c:v>
                </c:pt>
                <c:pt idx="151">
                  <c:v>677920</c:v>
                </c:pt>
                <c:pt idx="152">
                  <c:v>688500</c:v>
                </c:pt>
                <c:pt idx="153">
                  <c:v>696080</c:v>
                </c:pt>
                <c:pt idx="154">
                  <c:v>706800</c:v>
                </c:pt>
                <c:pt idx="155">
                  <c:v>714480</c:v>
                </c:pt>
                <c:pt idx="156">
                  <c:v>725340</c:v>
                </c:pt>
                <c:pt idx="157">
                  <c:v>733120</c:v>
                </c:pt>
                <c:pt idx="158">
                  <c:v>744120</c:v>
                </c:pt>
                <c:pt idx="159">
                  <c:v>752000</c:v>
                </c:pt>
                <c:pt idx="160">
                  <c:v>759920</c:v>
                </c:pt>
                <c:pt idx="161">
                  <c:v>771120</c:v>
                </c:pt>
                <c:pt idx="162">
                  <c:v>779140</c:v>
                </c:pt>
                <c:pt idx="163">
                  <c:v>790480</c:v>
                </c:pt>
                <c:pt idx="164">
                  <c:v>798600</c:v>
                </c:pt>
                <c:pt idx="165">
                  <c:v>810080</c:v>
                </c:pt>
                <c:pt idx="166">
                  <c:v>818300</c:v>
                </c:pt>
                <c:pt idx="167">
                  <c:v>829920</c:v>
                </c:pt>
                <c:pt idx="168">
                  <c:v>838240</c:v>
                </c:pt>
                <c:pt idx="169">
                  <c:v>850000</c:v>
                </c:pt>
                <c:pt idx="170">
                  <c:v>858420</c:v>
                </c:pt>
                <c:pt idx="171">
                  <c:v>870320</c:v>
                </c:pt>
                <c:pt idx="172">
                  <c:v>878840</c:v>
                </c:pt>
                <c:pt idx="173">
                  <c:v>890880</c:v>
                </c:pt>
                <c:pt idx="174">
                  <c:v>899500</c:v>
                </c:pt>
                <c:pt idx="175">
                  <c:v>908160</c:v>
                </c:pt>
                <c:pt idx="176">
                  <c:v>920400</c:v>
                </c:pt>
                <c:pt idx="177">
                  <c:v>929160</c:v>
                </c:pt>
                <c:pt idx="178">
                  <c:v>941540</c:v>
                </c:pt>
                <c:pt idx="179">
                  <c:v>950400</c:v>
                </c:pt>
                <c:pt idx="180">
                  <c:v>962920</c:v>
                </c:pt>
                <c:pt idx="181">
                  <c:v>971880</c:v>
                </c:pt>
                <c:pt idx="182">
                  <c:v>984540</c:v>
                </c:pt>
                <c:pt idx="183">
                  <c:v>993600</c:v>
                </c:pt>
                <c:pt idx="184">
                  <c:v>1006400</c:v>
                </c:pt>
                <c:pt idx="185">
                  <c:v>1015560</c:v>
                </c:pt>
                <c:pt idx="186">
                  <c:v>1028500</c:v>
                </c:pt>
                <c:pt idx="187">
                  <c:v>1037760</c:v>
                </c:pt>
                <c:pt idx="188">
                  <c:v>1050840</c:v>
                </c:pt>
                <c:pt idx="189">
                  <c:v>1060200</c:v>
                </c:pt>
                <c:pt idx="190">
                  <c:v>1069600</c:v>
                </c:pt>
                <c:pt idx="191">
                  <c:v>1082880</c:v>
                </c:pt>
                <c:pt idx="192">
                  <c:v>1092380</c:v>
                </c:pt>
                <c:pt idx="193">
                  <c:v>1105800</c:v>
                </c:pt>
                <c:pt idx="194">
                  <c:v>1115400</c:v>
                </c:pt>
                <c:pt idx="195">
                  <c:v>1128960</c:v>
                </c:pt>
                <c:pt idx="196">
                  <c:v>1138660</c:v>
                </c:pt>
                <c:pt idx="197">
                  <c:v>1152360</c:v>
                </c:pt>
                <c:pt idx="198">
                  <c:v>1162160</c:v>
                </c:pt>
                <c:pt idx="199">
                  <c:v>1176000</c:v>
                </c:pt>
                <c:pt idx="200">
                  <c:v>1185900</c:v>
                </c:pt>
                <c:pt idx="201">
                  <c:v>1199880</c:v>
                </c:pt>
                <c:pt idx="202">
                  <c:v>1209880</c:v>
                </c:pt>
                <c:pt idx="203">
                  <c:v>1224000</c:v>
                </c:pt>
                <c:pt idx="204">
                  <c:v>1234100</c:v>
                </c:pt>
                <c:pt idx="205">
                  <c:v>1248360</c:v>
                </c:pt>
                <c:pt idx="206">
                  <c:v>1258560</c:v>
                </c:pt>
                <c:pt idx="207">
                  <c:v>1268800</c:v>
                </c:pt>
                <c:pt idx="208">
                  <c:v>1283260</c:v>
                </c:pt>
                <c:pt idx="209">
                  <c:v>1293600</c:v>
                </c:pt>
                <c:pt idx="210">
                  <c:v>1308200</c:v>
                </c:pt>
                <c:pt idx="211">
                  <c:v>1318640</c:v>
                </c:pt>
                <c:pt idx="212">
                  <c:v>1333380</c:v>
                </c:pt>
                <c:pt idx="213">
                  <c:v>1343920</c:v>
                </c:pt>
                <c:pt idx="214">
                  <c:v>1358800</c:v>
                </c:pt>
                <c:pt idx="215">
                  <c:v>1369440</c:v>
                </c:pt>
                <c:pt idx="216">
                  <c:v>1384460</c:v>
                </c:pt>
                <c:pt idx="217">
                  <c:v>1395200</c:v>
                </c:pt>
                <c:pt idx="218">
                  <c:v>1410360</c:v>
                </c:pt>
                <c:pt idx="219">
                  <c:v>1421200</c:v>
                </c:pt>
                <c:pt idx="220">
                  <c:v>1436500</c:v>
                </c:pt>
                <c:pt idx="221">
                  <c:v>1447440</c:v>
                </c:pt>
                <c:pt idx="222">
                  <c:v>1458420</c:v>
                </c:pt>
                <c:pt idx="223">
                  <c:v>1473920</c:v>
                </c:pt>
                <c:pt idx="224">
                  <c:v>1485000</c:v>
                </c:pt>
                <c:pt idx="225">
                  <c:v>1500640</c:v>
                </c:pt>
                <c:pt idx="226">
                  <c:v>1511820</c:v>
                </c:pt>
                <c:pt idx="227">
                  <c:v>1527600</c:v>
                </c:pt>
                <c:pt idx="228">
                  <c:v>1538880</c:v>
                </c:pt>
                <c:pt idx="229">
                  <c:v>1554800</c:v>
                </c:pt>
                <c:pt idx="230">
                  <c:v>1566180</c:v>
                </c:pt>
                <c:pt idx="231">
                  <c:v>1582240</c:v>
                </c:pt>
                <c:pt idx="232">
                  <c:v>1593720</c:v>
                </c:pt>
                <c:pt idx="233">
                  <c:v>1609920</c:v>
                </c:pt>
                <c:pt idx="234">
                  <c:v>1621500</c:v>
                </c:pt>
                <c:pt idx="235">
                  <c:v>1637840</c:v>
                </c:pt>
                <c:pt idx="236">
                  <c:v>1649520</c:v>
                </c:pt>
                <c:pt idx="237">
                  <c:v>1666000</c:v>
                </c:pt>
                <c:pt idx="238">
                  <c:v>1677780</c:v>
                </c:pt>
                <c:pt idx="239">
                  <c:v>1689600</c:v>
                </c:pt>
                <c:pt idx="240">
                  <c:v>1706280</c:v>
                </c:pt>
                <c:pt idx="241">
                  <c:v>1718200</c:v>
                </c:pt>
                <c:pt idx="242">
                  <c:v>1735020</c:v>
                </c:pt>
                <c:pt idx="243">
                  <c:v>1747040</c:v>
                </c:pt>
                <c:pt idx="244">
                  <c:v>1764000</c:v>
                </c:pt>
                <c:pt idx="245">
                  <c:v>1776120</c:v>
                </c:pt>
                <c:pt idx="246">
                  <c:v>1793220</c:v>
                </c:pt>
                <c:pt idx="247">
                  <c:v>1805440</c:v>
                </c:pt>
                <c:pt idx="248">
                  <c:v>1822680</c:v>
                </c:pt>
                <c:pt idx="249">
                  <c:v>1835000</c:v>
                </c:pt>
                <c:pt idx="250">
                  <c:v>1852380</c:v>
                </c:pt>
                <c:pt idx="251">
                  <c:v>1864800</c:v>
                </c:pt>
                <c:pt idx="252">
                  <c:v>1882320</c:v>
                </c:pt>
                <c:pt idx="253">
                  <c:v>1894840</c:v>
                </c:pt>
                <c:pt idx="254">
                  <c:v>1907400</c:v>
                </c:pt>
                <c:pt idx="255">
                  <c:v>1925120</c:v>
                </c:pt>
                <c:pt idx="256">
                  <c:v>1937780</c:v>
                </c:pt>
                <c:pt idx="257">
                  <c:v>1955640</c:v>
                </c:pt>
                <c:pt idx="258">
                  <c:v>1968400</c:v>
                </c:pt>
                <c:pt idx="259">
                  <c:v>1986400</c:v>
                </c:pt>
                <c:pt idx="260">
                  <c:v>1999260</c:v>
                </c:pt>
                <c:pt idx="261">
                  <c:v>2017400</c:v>
                </c:pt>
                <c:pt idx="262">
                  <c:v>2030360</c:v>
                </c:pt>
                <c:pt idx="263">
                  <c:v>2048640</c:v>
                </c:pt>
                <c:pt idx="264">
                  <c:v>2061700</c:v>
                </c:pt>
                <c:pt idx="265">
                  <c:v>2080120</c:v>
                </c:pt>
              </c:numCache>
            </c:numRef>
          </c:xVal>
          <c:yVal>
            <c:numRef>
              <c:f>'V2'!$BD$13:$BD$278</c:f>
              <c:numCache>
                <c:formatCode>#,##0</c:formatCode>
                <c:ptCount val="266"/>
                <c:pt idx="0">
                  <c:v>2.2222222222222223E-2</c:v>
                </c:pt>
                <c:pt idx="1">
                  <c:v>0.4</c:v>
                </c:pt>
                <c:pt idx="2">
                  <c:v>1.0666666666666667</c:v>
                </c:pt>
                <c:pt idx="3">
                  <c:v>3.2</c:v>
                </c:pt>
                <c:pt idx="4">
                  <c:v>5.4444444444444446</c:v>
                </c:pt>
                <c:pt idx="5">
                  <c:v>10.8</c:v>
                </c:pt>
                <c:pt idx="6">
                  <c:v>15.555555555555555</c:v>
                </c:pt>
                <c:pt idx="7">
                  <c:v>25.6</c:v>
                </c:pt>
                <c:pt idx="8">
                  <c:v>33.799999999999997</c:v>
                </c:pt>
                <c:pt idx="9">
                  <c:v>50</c:v>
                </c:pt>
                <c:pt idx="10">
                  <c:v>62.577777777777776</c:v>
                </c:pt>
                <c:pt idx="11">
                  <c:v>86.4</c:v>
                </c:pt>
                <c:pt idx="12">
                  <c:v>104.28888888888889</c:v>
                </c:pt>
                <c:pt idx="13">
                  <c:v>137.19999999999999</c:v>
                </c:pt>
                <c:pt idx="14">
                  <c:v>161.33333333333334</c:v>
                </c:pt>
                <c:pt idx="15">
                  <c:v>188.0888888888889</c:v>
                </c:pt>
                <c:pt idx="16">
                  <c:v>236.11111111111111</c:v>
                </c:pt>
                <c:pt idx="17">
                  <c:v>270.39999999999998</c:v>
                </c:pt>
                <c:pt idx="18">
                  <c:v>331.02222222222224</c:v>
                </c:pt>
                <c:pt idx="19">
                  <c:v>373.77777777777777</c:v>
                </c:pt>
                <c:pt idx="20">
                  <c:v>448.46666666666664</c:v>
                </c:pt>
                <c:pt idx="21">
                  <c:v>500.62222222222221</c:v>
                </c:pt>
                <c:pt idx="22">
                  <c:v>590.84444444444443</c:v>
                </c:pt>
                <c:pt idx="23">
                  <c:v>653.33333333333337</c:v>
                </c:pt>
                <c:pt idx="24">
                  <c:v>760.55555555555554</c:v>
                </c:pt>
                <c:pt idx="25">
                  <c:v>834.31111111111113</c:v>
                </c:pt>
                <c:pt idx="26">
                  <c:v>960</c:v>
                </c:pt>
                <c:pt idx="27">
                  <c:v>1045.9555555555555</c:v>
                </c:pt>
                <c:pt idx="28">
                  <c:v>1191.5777777777778</c:v>
                </c:pt>
                <c:pt idx="29">
                  <c:v>1290.6666666666667</c:v>
                </c:pt>
                <c:pt idx="30">
                  <c:v>1457.6888888888889</c:v>
                </c:pt>
                <c:pt idx="31">
                  <c:v>1570.8444444444444</c:v>
                </c:pt>
                <c:pt idx="32">
                  <c:v>1689.6</c:v>
                </c:pt>
                <c:pt idx="33">
                  <c:v>1888.8888888888889</c:v>
                </c:pt>
                <c:pt idx="34">
                  <c:v>2023</c:v>
                </c:pt>
                <c:pt idx="35">
                  <c:v>2247.1999999999998</c:v>
                </c:pt>
                <c:pt idx="36">
                  <c:v>2397.6</c:v>
                </c:pt>
                <c:pt idx="37">
                  <c:v>2648.1777777777779</c:v>
                </c:pt>
                <c:pt idx="38">
                  <c:v>2815.8</c:v>
                </c:pt>
                <c:pt idx="39">
                  <c:v>3094.2222222222222</c:v>
                </c:pt>
                <c:pt idx="40">
                  <c:v>3280</c:v>
                </c:pt>
                <c:pt idx="41">
                  <c:v>3587.7333333333331</c:v>
                </c:pt>
                <c:pt idx="42">
                  <c:v>3792.6</c:v>
                </c:pt>
                <c:pt idx="43">
                  <c:v>4131.1111111111113</c:v>
                </c:pt>
                <c:pt idx="44">
                  <c:v>4356</c:v>
                </c:pt>
                <c:pt idx="45">
                  <c:v>4726.7555555555555</c:v>
                </c:pt>
                <c:pt idx="46">
                  <c:v>4972.6000000000004</c:v>
                </c:pt>
                <c:pt idx="47">
                  <c:v>5226.666666666667</c:v>
                </c:pt>
                <c:pt idx="48">
                  <c:v>5644.8</c:v>
                </c:pt>
                <c:pt idx="49">
                  <c:v>5921.1111111111113</c:v>
                </c:pt>
                <c:pt idx="50">
                  <c:v>6375</c:v>
                </c:pt>
                <c:pt idx="51">
                  <c:v>6674.4888888888891</c:v>
                </c:pt>
                <c:pt idx="52">
                  <c:v>7165.6</c:v>
                </c:pt>
                <c:pt idx="53">
                  <c:v>7489.2</c:v>
                </c:pt>
                <c:pt idx="54">
                  <c:v>8019</c:v>
                </c:pt>
                <c:pt idx="55">
                  <c:v>8367.6444444444442</c:v>
                </c:pt>
                <c:pt idx="56">
                  <c:v>8937.6</c:v>
                </c:pt>
                <c:pt idx="57">
                  <c:v>9312.2222222222226</c:v>
                </c:pt>
                <c:pt idx="58">
                  <c:v>9923.7999999999993</c:v>
                </c:pt>
                <c:pt idx="59">
                  <c:v>10325.333333333334</c:v>
                </c:pt>
                <c:pt idx="60">
                  <c:v>10980</c:v>
                </c:pt>
                <c:pt idx="61">
                  <c:v>11409.377777777778</c:v>
                </c:pt>
                <c:pt idx="62">
                  <c:v>12108.6</c:v>
                </c:pt>
                <c:pt idx="63">
                  <c:v>12566.755555555555</c:v>
                </c:pt>
                <c:pt idx="64">
                  <c:v>13036.111111111111</c:v>
                </c:pt>
                <c:pt idx="65">
                  <c:v>13799.866666666667</c:v>
                </c:pt>
                <c:pt idx="66">
                  <c:v>14299.288888888888</c:v>
                </c:pt>
                <c:pt idx="67">
                  <c:v>15111.111111111111</c:v>
                </c:pt>
                <c:pt idx="68">
                  <c:v>15641.533333333333</c:v>
                </c:pt>
                <c:pt idx="69">
                  <c:v>16502.888888888891</c:v>
                </c:pt>
                <c:pt idx="70">
                  <c:v>17065.244444444445</c:v>
                </c:pt>
                <c:pt idx="71">
                  <c:v>17977.599999999999</c:v>
                </c:pt>
                <c:pt idx="72">
                  <c:v>18572.822222222221</c:v>
                </c:pt>
                <c:pt idx="73">
                  <c:v>19537.644444444446</c:v>
                </c:pt>
                <c:pt idx="74">
                  <c:v>20166.666666666668</c:v>
                </c:pt>
                <c:pt idx="75">
                  <c:v>21185.422222222223</c:v>
                </c:pt>
                <c:pt idx="76">
                  <c:v>21849.177777777775</c:v>
                </c:pt>
                <c:pt idx="77">
                  <c:v>22923.333333333332</c:v>
                </c:pt>
                <c:pt idx="78">
                  <c:v>23622.755555555555</c:v>
                </c:pt>
                <c:pt idx="79">
                  <c:v>24336</c:v>
                </c:pt>
                <c:pt idx="80">
                  <c:v>25489.8</c:v>
                </c:pt>
                <c:pt idx="81">
                  <c:v>26240</c:v>
                </c:pt>
                <c:pt idx="82">
                  <c:v>27452.711111111112</c:v>
                </c:pt>
                <c:pt idx="83">
                  <c:v>28240.799999999999</c:v>
                </c:pt>
                <c:pt idx="84">
                  <c:v>29513.888888888887</c:v>
                </c:pt>
                <c:pt idx="85">
                  <c:v>30340.799999999999</c:v>
                </c:pt>
                <c:pt idx="86">
                  <c:v>31675.733333333334</c:v>
                </c:pt>
                <c:pt idx="87">
                  <c:v>32542.400000000001</c:v>
                </c:pt>
                <c:pt idx="88">
                  <c:v>33940.644444444442</c:v>
                </c:pt>
                <c:pt idx="89">
                  <c:v>34848</c:v>
                </c:pt>
                <c:pt idx="90">
                  <c:v>36311.022222222222</c:v>
                </c:pt>
                <c:pt idx="91">
                  <c:v>37260</c:v>
                </c:pt>
                <c:pt idx="92">
                  <c:v>38789.266666666663</c:v>
                </c:pt>
                <c:pt idx="93">
                  <c:v>39780.800000000003</c:v>
                </c:pt>
                <c:pt idx="94">
                  <c:v>41377.777777777781</c:v>
                </c:pt>
                <c:pt idx="95">
                  <c:v>42412.800000000003</c:v>
                </c:pt>
                <c:pt idx="96">
                  <c:v>43464.62222222222</c:v>
                </c:pt>
                <c:pt idx="97">
                  <c:v>45158.400000000001</c:v>
                </c:pt>
                <c:pt idx="98">
                  <c:v>46255</c:v>
                </c:pt>
                <c:pt idx="99">
                  <c:v>48020</c:v>
                </c:pt>
                <c:pt idx="100">
                  <c:v>49162.311111111114</c:v>
                </c:pt>
                <c:pt idx="101">
                  <c:v>51000</c:v>
                </c:pt>
                <c:pt idx="102">
                  <c:v>52188.955555555556</c:v>
                </c:pt>
                <c:pt idx="103">
                  <c:v>54100.800000000003</c:v>
                </c:pt>
                <c:pt idx="104">
                  <c:v>55337.333333333336</c:v>
                </c:pt>
                <c:pt idx="105">
                  <c:v>57324.800000000003</c:v>
                </c:pt>
                <c:pt idx="106">
                  <c:v>58609.844444444447</c:v>
                </c:pt>
                <c:pt idx="107">
                  <c:v>60674.400000000001</c:v>
                </c:pt>
                <c:pt idx="108">
                  <c:v>62008.888888888891</c:v>
                </c:pt>
                <c:pt idx="109">
                  <c:v>64152</c:v>
                </c:pt>
                <c:pt idx="110">
                  <c:v>65536.866666666669</c:v>
                </c:pt>
                <c:pt idx="111">
                  <c:v>66941.155555555553</c:v>
                </c:pt>
                <c:pt idx="112">
                  <c:v>69196.177777777775</c:v>
                </c:pt>
                <c:pt idx="113">
                  <c:v>70652.133333333331</c:v>
                </c:pt>
                <c:pt idx="114">
                  <c:v>72989.222222222219</c:v>
                </c:pt>
                <c:pt idx="115">
                  <c:v>74497.777777777781</c:v>
                </c:pt>
                <c:pt idx="116">
                  <c:v>76918.399999999994</c:v>
                </c:pt>
                <c:pt idx="117">
                  <c:v>78480.488888888896</c:v>
                </c:pt>
                <c:pt idx="118">
                  <c:v>80986.111111111109</c:v>
                </c:pt>
                <c:pt idx="119">
                  <c:v>82602.666666666672</c:v>
                </c:pt>
                <c:pt idx="120">
                  <c:v>85194.755555555545</c:v>
                </c:pt>
                <c:pt idx="121">
                  <c:v>86866.711111111101</c:v>
                </c:pt>
                <c:pt idx="122">
                  <c:v>89546.733333333337</c:v>
                </c:pt>
                <c:pt idx="123">
                  <c:v>91275.022222222222</c:v>
                </c:pt>
                <c:pt idx="124">
                  <c:v>94044.444444444438</c:v>
                </c:pt>
                <c:pt idx="125">
                  <c:v>95830</c:v>
                </c:pt>
                <c:pt idx="126">
                  <c:v>98690.288888888885</c:v>
                </c:pt>
                <c:pt idx="127">
                  <c:v>100534.04444444444</c:v>
                </c:pt>
                <c:pt idx="128">
                  <c:v>102400.20000000001</c:v>
                </c:pt>
                <c:pt idx="129">
                  <c:v>105389.55555555555</c:v>
                </c:pt>
                <c:pt idx="130">
                  <c:v>107315.2</c:v>
                </c:pt>
                <c:pt idx="131">
                  <c:v>110398.93333333333</c:v>
                </c:pt>
                <c:pt idx="132">
                  <c:v>112385</c:v>
                </c:pt>
                <c:pt idx="133">
                  <c:v>115564.57777777778</c:v>
                </c:pt>
                <c:pt idx="134">
                  <c:v>117612.00000000001</c:v>
                </c:pt>
                <c:pt idx="135">
                  <c:v>120888.88888888889</c:v>
                </c:pt>
                <c:pt idx="136">
                  <c:v>122998.6</c:v>
                </c:pt>
                <c:pt idx="137">
                  <c:v>126374.26666666666</c:v>
                </c:pt>
                <c:pt idx="138">
                  <c:v>128547.2</c:v>
                </c:pt>
                <c:pt idx="139">
                  <c:v>132023.11111111112</c:v>
                </c:pt>
                <c:pt idx="140">
                  <c:v>134260.20000000001</c:v>
                </c:pt>
                <c:pt idx="141">
                  <c:v>137837.82222222222</c:v>
                </c:pt>
                <c:pt idx="142">
                  <c:v>140140</c:v>
                </c:pt>
                <c:pt idx="143">
                  <c:v>142467.20000000001</c:v>
                </c:pt>
                <c:pt idx="144">
                  <c:v>146189</c:v>
                </c:pt>
                <c:pt idx="145">
                  <c:v>148582.57777777777</c:v>
                </c:pt>
                <c:pt idx="146">
                  <c:v>152409.60000000001</c:v>
                </c:pt>
                <c:pt idx="147">
                  <c:v>154870.48888888888</c:v>
                </c:pt>
                <c:pt idx="148">
                  <c:v>158804.20000000001</c:v>
                </c:pt>
                <c:pt idx="149">
                  <c:v>161333.33333333334</c:v>
                </c:pt>
                <c:pt idx="150">
                  <c:v>165375.20000000001</c:v>
                </c:pt>
                <c:pt idx="151">
                  <c:v>167973.51111111112</c:v>
                </c:pt>
                <c:pt idx="152">
                  <c:v>172125</c:v>
                </c:pt>
                <c:pt idx="153">
                  <c:v>174793.4222222222</c:v>
                </c:pt>
                <c:pt idx="154">
                  <c:v>179056</c:v>
                </c:pt>
                <c:pt idx="155">
                  <c:v>181795.46666666667</c:v>
                </c:pt>
                <c:pt idx="156">
                  <c:v>186170.6</c:v>
                </c:pt>
                <c:pt idx="157">
                  <c:v>188982.04444444444</c:v>
                </c:pt>
                <c:pt idx="158">
                  <c:v>193471.2</c:v>
                </c:pt>
                <c:pt idx="159">
                  <c:v>196355.55555555556</c:v>
                </c:pt>
                <c:pt idx="160">
                  <c:v>199267.91111111111</c:v>
                </c:pt>
                <c:pt idx="161">
                  <c:v>203918.4</c:v>
                </c:pt>
                <c:pt idx="162">
                  <c:v>206904.95555555553</c:v>
                </c:pt>
                <c:pt idx="163">
                  <c:v>211672.97777777776</c:v>
                </c:pt>
                <c:pt idx="164">
                  <c:v>214734.66666666666</c:v>
                </c:pt>
                <c:pt idx="165">
                  <c:v>219621.68888888889</c:v>
                </c:pt>
                <c:pt idx="166">
                  <c:v>222759.44444444444</c:v>
                </c:pt>
                <c:pt idx="167">
                  <c:v>227766.93333333332</c:v>
                </c:pt>
                <c:pt idx="168">
                  <c:v>230981.68888888889</c:v>
                </c:pt>
                <c:pt idx="169">
                  <c:v>236111.11111111109</c:v>
                </c:pt>
                <c:pt idx="170">
                  <c:v>239403.8</c:v>
                </c:pt>
                <c:pt idx="171">
                  <c:v>244656.62222222224</c:v>
                </c:pt>
                <c:pt idx="172">
                  <c:v>248028.17777777778</c:v>
                </c:pt>
                <c:pt idx="173">
                  <c:v>253405.86666666667</c:v>
                </c:pt>
                <c:pt idx="174">
                  <c:v>256857.22222222222</c:v>
                </c:pt>
                <c:pt idx="175">
                  <c:v>260339.20000000001</c:v>
                </c:pt>
                <c:pt idx="176">
                  <c:v>265893.33333333331</c:v>
                </c:pt>
                <c:pt idx="177">
                  <c:v>269456.40000000002</c:v>
                </c:pt>
                <c:pt idx="178">
                  <c:v>275138.91111111111</c:v>
                </c:pt>
                <c:pt idx="179">
                  <c:v>278784</c:v>
                </c:pt>
                <c:pt idx="180">
                  <c:v>284596.35555555555</c:v>
                </c:pt>
                <c:pt idx="181">
                  <c:v>288324.40000000002</c:v>
                </c:pt>
                <c:pt idx="182">
                  <c:v>294268.06666666671</c:v>
                </c:pt>
                <c:pt idx="183">
                  <c:v>298080</c:v>
                </c:pt>
                <c:pt idx="184">
                  <c:v>304156.44444444444</c:v>
                </c:pt>
                <c:pt idx="185">
                  <c:v>308053.2</c:v>
                </c:pt>
                <c:pt idx="186">
                  <c:v>314263.88888888888</c:v>
                </c:pt>
                <c:pt idx="187">
                  <c:v>318246.40000000002</c:v>
                </c:pt>
                <c:pt idx="188">
                  <c:v>324592.8</c:v>
                </c:pt>
                <c:pt idx="189">
                  <c:v>328662</c:v>
                </c:pt>
                <c:pt idx="190">
                  <c:v>332764.44444444444</c:v>
                </c:pt>
                <c:pt idx="191">
                  <c:v>339302.40000000002</c:v>
                </c:pt>
                <c:pt idx="192">
                  <c:v>343492.82222222222</c:v>
                </c:pt>
                <c:pt idx="193">
                  <c:v>350170</c:v>
                </c:pt>
                <c:pt idx="194">
                  <c:v>354449.33333333331</c:v>
                </c:pt>
                <c:pt idx="195">
                  <c:v>361267.20000000001</c:v>
                </c:pt>
                <c:pt idx="196">
                  <c:v>365636.37777777779</c:v>
                </c:pt>
                <c:pt idx="197">
                  <c:v>372596.4</c:v>
                </c:pt>
                <c:pt idx="198">
                  <c:v>377056.35555555561</c:v>
                </c:pt>
                <c:pt idx="199">
                  <c:v>384160</c:v>
                </c:pt>
                <c:pt idx="200">
                  <c:v>388711.66666666669</c:v>
                </c:pt>
                <c:pt idx="201">
                  <c:v>395960.4</c:v>
                </c:pt>
                <c:pt idx="202">
                  <c:v>400604.7111111111</c:v>
                </c:pt>
                <c:pt idx="203">
                  <c:v>408000</c:v>
                </c:pt>
                <c:pt idx="204">
                  <c:v>412737.88888888888</c:v>
                </c:pt>
                <c:pt idx="205">
                  <c:v>420281.2</c:v>
                </c:pt>
                <c:pt idx="206">
                  <c:v>425113.59999999998</c:v>
                </c:pt>
                <c:pt idx="207">
                  <c:v>429982.22222222219</c:v>
                </c:pt>
                <c:pt idx="208">
                  <c:v>437734.24444444448</c:v>
                </c:pt>
                <c:pt idx="209">
                  <c:v>442698.66666666669</c:v>
                </c:pt>
                <c:pt idx="210">
                  <c:v>450602.22222222225</c:v>
                </c:pt>
                <c:pt idx="211">
                  <c:v>455663.37777777779</c:v>
                </c:pt>
                <c:pt idx="212">
                  <c:v>463719.93333333335</c:v>
                </c:pt>
                <c:pt idx="213">
                  <c:v>468878.75555555557</c:v>
                </c:pt>
                <c:pt idx="214">
                  <c:v>477089.77777777781</c:v>
                </c:pt>
                <c:pt idx="215">
                  <c:v>482347.2</c:v>
                </c:pt>
                <c:pt idx="216">
                  <c:v>490714.1555555556</c:v>
                </c:pt>
                <c:pt idx="217">
                  <c:v>496071.11111111112</c:v>
                </c:pt>
                <c:pt idx="218">
                  <c:v>504595.46666666667</c:v>
                </c:pt>
                <c:pt idx="219">
                  <c:v>510052.88888888888</c:v>
                </c:pt>
                <c:pt idx="220">
                  <c:v>518736.11111111112</c:v>
                </c:pt>
                <c:pt idx="221">
                  <c:v>524294.93333333335</c:v>
                </c:pt>
                <c:pt idx="222">
                  <c:v>529892.6</c:v>
                </c:pt>
                <c:pt idx="223">
                  <c:v>538799.64444444445</c:v>
                </c:pt>
                <c:pt idx="224">
                  <c:v>544500</c:v>
                </c:pt>
                <c:pt idx="225">
                  <c:v>553569.4222222222</c:v>
                </c:pt>
                <c:pt idx="226">
                  <c:v>559373.4</c:v>
                </c:pt>
                <c:pt idx="227">
                  <c:v>568606.66666666674</c:v>
                </c:pt>
                <c:pt idx="228">
                  <c:v>574515.19999999995</c:v>
                </c:pt>
                <c:pt idx="229">
                  <c:v>583913.77777777775</c:v>
                </c:pt>
                <c:pt idx="230">
                  <c:v>589927.80000000005</c:v>
                </c:pt>
                <c:pt idx="231">
                  <c:v>599493.1555555556</c:v>
                </c:pt>
                <c:pt idx="232">
                  <c:v>605613.6</c:v>
                </c:pt>
                <c:pt idx="233">
                  <c:v>615347.19999999995</c:v>
                </c:pt>
                <c:pt idx="234">
                  <c:v>621575</c:v>
                </c:pt>
                <c:pt idx="235">
                  <c:v>631478.31111111108</c:v>
                </c:pt>
                <c:pt idx="236">
                  <c:v>637814.4</c:v>
                </c:pt>
                <c:pt idx="237">
                  <c:v>647888.88888888888</c:v>
                </c:pt>
                <c:pt idx="238">
                  <c:v>654334.20000000007</c:v>
                </c:pt>
                <c:pt idx="239">
                  <c:v>660821.33333333337</c:v>
                </c:pt>
                <c:pt idx="240">
                  <c:v>671136.8</c:v>
                </c:pt>
                <c:pt idx="241">
                  <c:v>677734.4444444445</c:v>
                </c:pt>
                <c:pt idx="242">
                  <c:v>688224.6</c:v>
                </c:pt>
                <c:pt idx="243">
                  <c:v>694933.68888888881</c:v>
                </c:pt>
                <c:pt idx="244">
                  <c:v>705600</c:v>
                </c:pt>
                <c:pt idx="245">
                  <c:v>712421.46666666667</c:v>
                </c:pt>
                <c:pt idx="246">
                  <c:v>723265.4</c:v>
                </c:pt>
                <c:pt idx="247">
                  <c:v>730200.17777777778</c:v>
                </c:pt>
                <c:pt idx="248">
                  <c:v>741223.2</c:v>
                </c:pt>
                <c:pt idx="249">
                  <c:v>748272.22222222213</c:v>
                </c:pt>
                <c:pt idx="250">
                  <c:v>759475.8</c:v>
                </c:pt>
                <c:pt idx="251">
                  <c:v>766640</c:v>
                </c:pt>
                <c:pt idx="252">
                  <c:v>778025.6</c:v>
                </c:pt>
                <c:pt idx="253">
                  <c:v>785305.91111111105</c:v>
                </c:pt>
                <c:pt idx="254">
                  <c:v>792630.66666666674</c:v>
                </c:pt>
                <c:pt idx="255">
                  <c:v>804272.35555555555</c:v>
                </c:pt>
                <c:pt idx="256">
                  <c:v>811714.51111111115</c:v>
                </c:pt>
                <c:pt idx="257">
                  <c:v>823541.7333333334</c:v>
                </c:pt>
                <c:pt idx="258">
                  <c:v>831102.22222222225</c:v>
                </c:pt>
                <c:pt idx="259">
                  <c:v>843116.44444444438</c:v>
                </c:pt>
                <c:pt idx="260">
                  <c:v>850796.20000000007</c:v>
                </c:pt>
                <c:pt idx="261">
                  <c:v>862998.88888888888</c:v>
                </c:pt>
                <c:pt idx="262">
                  <c:v>870798.84444444452</c:v>
                </c:pt>
                <c:pt idx="263">
                  <c:v>883191.46666666667</c:v>
                </c:pt>
                <c:pt idx="264">
                  <c:v>891112.5555555555</c:v>
                </c:pt>
                <c:pt idx="265">
                  <c:v>903696.5777777778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8D-4AC8-84FF-36914C5D5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202383"/>
        <c:axId val="1361478159"/>
      </c:scatterChart>
      <c:valAx>
        <c:axId val="126620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satcount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361478159"/>
        <c:crosses val="autoZero"/>
        <c:crossBetween val="midCat"/>
      </c:valAx>
      <c:valAx>
        <c:axId val="136147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Mbps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266202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750092</xdr:colOff>
      <xdr:row>284</xdr:row>
      <xdr:rowOff>71436</xdr:rowOff>
    </xdr:from>
    <xdr:to>
      <xdr:col>19</xdr:col>
      <xdr:colOff>404812</xdr:colOff>
      <xdr:row>319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1E92B3-DDB9-97C4-BA3A-4AD0CAF9B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264318</xdr:colOff>
      <xdr:row>280</xdr:row>
      <xdr:rowOff>171451</xdr:rowOff>
    </xdr:from>
    <xdr:to>
      <xdr:col>22</xdr:col>
      <xdr:colOff>302418</xdr:colOff>
      <xdr:row>296</xdr:row>
      <xdr:rowOff>19051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DECE94-EF59-DB4B-57E6-DAC930F4D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276224</xdr:colOff>
      <xdr:row>17</xdr:row>
      <xdr:rowOff>128588</xdr:rowOff>
    </xdr:from>
    <xdr:to>
      <xdr:col>45</xdr:col>
      <xdr:colOff>342899</xdr:colOff>
      <xdr:row>43</xdr:row>
      <xdr:rowOff>128588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F57F59-F2CC-4C77-8A94-025A1C702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178593</xdr:colOff>
      <xdr:row>46</xdr:row>
      <xdr:rowOff>176212</xdr:rowOff>
    </xdr:from>
    <xdr:to>
      <xdr:col>43</xdr:col>
      <xdr:colOff>283368</xdr:colOff>
      <xdr:row>62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78DA01-D74D-723F-081E-0FE21E200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60</xdr:col>
      <xdr:colOff>180974</xdr:colOff>
      <xdr:row>11</xdr:row>
      <xdr:rowOff>180975</xdr:rowOff>
    </xdr:from>
    <xdr:to>
      <xdr:col>73</xdr:col>
      <xdr:colOff>247649</xdr:colOff>
      <xdr:row>37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62560FA-E307-4651-A36A-2C5163452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1697-3E89-4D82-B444-B35041C7A263}">
  <dimension ref="A1:L6"/>
  <sheetViews>
    <sheetView workbookViewId="0">
      <selection activeCell="E5" sqref="E5"/>
    </sheetView>
  </sheetViews>
  <sheetFormatPr defaultRowHeight="14.25" x14ac:dyDescent="0.45"/>
  <cols>
    <col min="2" max="2" width="10.796875" bestFit="1" customWidth="1"/>
  </cols>
  <sheetData>
    <row r="1" spans="1:12" x14ac:dyDescent="0.45">
      <c r="A1" t="s">
        <v>3</v>
      </c>
      <c r="B1" s="3">
        <v>150000000</v>
      </c>
      <c r="C1" t="s">
        <v>2</v>
      </c>
      <c r="F1" t="s">
        <v>9</v>
      </c>
      <c r="G1" s="3">
        <v>100000</v>
      </c>
      <c r="H1" t="s">
        <v>8</v>
      </c>
      <c r="J1" t="s">
        <v>17</v>
      </c>
      <c r="K1">
        <v>10</v>
      </c>
      <c r="L1" t="s">
        <v>18</v>
      </c>
    </row>
    <row r="2" spans="1:12" x14ac:dyDescent="0.45">
      <c r="A2" t="s">
        <v>4</v>
      </c>
      <c r="B2" s="3">
        <f>B1*1.6</f>
        <v>240000000</v>
      </c>
      <c r="C2" t="s">
        <v>2</v>
      </c>
      <c r="G2" s="3">
        <v>3000</v>
      </c>
      <c r="H2" t="s">
        <v>2</v>
      </c>
      <c r="J2" t="s">
        <v>19</v>
      </c>
      <c r="K2" s="3">
        <f>K1*G1</f>
        <v>1000000</v>
      </c>
      <c r="L2" t="s">
        <v>8</v>
      </c>
    </row>
    <row r="3" spans="1:12" x14ac:dyDescent="0.45">
      <c r="A3" t="s">
        <v>1</v>
      </c>
      <c r="B3" s="3">
        <f>AVERAGE(B1:B2)</f>
        <v>195000000</v>
      </c>
      <c r="C3" t="s">
        <v>2</v>
      </c>
      <c r="K3" s="3">
        <f>G2</f>
        <v>3000</v>
      </c>
      <c r="L3" t="s">
        <v>2</v>
      </c>
    </row>
    <row r="4" spans="1:12" x14ac:dyDescent="0.45">
      <c r="A4" s="1" t="s">
        <v>21</v>
      </c>
      <c r="B4" s="3">
        <f>B2-B1</f>
        <v>90000000</v>
      </c>
      <c r="C4" t="s">
        <v>2</v>
      </c>
    </row>
    <row r="5" spans="1:12" x14ac:dyDescent="0.45">
      <c r="A5" s="1"/>
      <c r="B5" s="3"/>
    </row>
    <row r="6" spans="1:12" x14ac:dyDescent="0.45">
      <c r="A6" s="1" t="s">
        <v>22</v>
      </c>
      <c r="B6" s="3">
        <v>1000</v>
      </c>
      <c r="C6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DD40-AD6F-499D-BD3B-A612CA0C439F}">
  <dimension ref="A7:BE482"/>
  <sheetViews>
    <sheetView topLeftCell="AF7" workbookViewId="0">
      <selection activeCell="R15" sqref="R15"/>
    </sheetView>
  </sheetViews>
  <sheetFormatPr defaultRowHeight="14.25" x14ac:dyDescent="0.45"/>
  <cols>
    <col min="1" max="1" width="9.796875" bestFit="1" customWidth="1"/>
    <col min="2" max="2" width="11.73046875" bestFit="1" customWidth="1"/>
    <col min="7" max="7" width="18" bestFit="1" customWidth="1"/>
    <col min="8" max="8" width="9.796875" bestFit="1" customWidth="1"/>
    <col min="9" max="9" width="12.33203125" bestFit="1" customWidth="1"/>
    <col min="10" max="10" width="9.796875" customWidth="1"/>
    <col min="12" max="21" width="12.19921875" customWidth="1"/>
    <col min="22" max="27" width="10.6640625" customWidth="1"/>
    <col min="28" max="28" width="12.53125" bestFit="1" customWidth="1"/>
    <col min="29" max="29" width="12.33203125" bestFit="1" customWidth="1"/>
    <col min="32" max="32" width="12.6640625" customWidth="1"/>
    <col min="33" max="33" width="12.19921875" customWidth="1"/>
    <col min="37" max="37" width="9.06640625" customWidth="1"/>
  </cols>
  <sheetData>
    <row r="7" spans="1:57" x14ac:dyDescent="0.45">
      <c r="A7" s="1"/>
      <c r="B7" s="3"/>
    </row>
    <row r="8" spans="1:57" x14ac:dyDescent="0.45">
      <c r="A8" s="1"/>
      <c r="B8" s="3"/>
    </row>
    <row r="9" spans="1:57" x14ac:dyDescent="0.45">
      <c r="A9" s="1"/>
      <c r="B9" s="3"/>
    </row>
    <row r="10" spans="1:57" x14ac:dyDescent="0.45">
      <c r="A10" s="14" t="s">
        <v>29</v>
      </c>
      <c r="B10" s="14"/>
      <c r="C10" s="14"/>
      <c r="D10" s="14"/>
      <c r="E10" s="14"/>
      <c r="G10" s="14" t="s">
        <v>44</v>
      </c>
      <c r="H10" s="14"/>
      <c r="I10" s="14"/>
      <c r="J10" s="14"/>
      <c r="K10" s="14"/>
      <c r="V10" s="14" t="s">
        <v>30</v>
      </c>
      <c r="W10" s="14"/>
      <c r="X10" s="14"/>
      <c r="Y10" s="14"/>
      <c r="Z10" s="14"/>
      <c r="AB10" s="5" t="s">
        <v>14</v>
      </c>
      <c r="AF10" s="5" t="s">
        <v>27</v>
      </c>
    </row>
    <row r="11" spans="1:57" x14ac:dyDescent="0.45">
      <c r="A11" s="14" t="s">
        <v>25</v>
      </c>
      <c r="B11" s="14"/>
      <c r="C11" s="14"/>
      <c r="D11" s="14"/>
      <c r="E11" s="14"/>
      <c r="G11" s="14" t="s">
        <v>25</v>
      </c>
      <c r="H11" s="14"/>
      <c r="I11" s="14"/>
      <c r="J11" s="14"/>
      <c r="K11" s="14"/>
      <c r="V11" s="14" t="s">
        <v>26</v>
      </c>
      <c r="W11" s="14"/>
      <c r="X11" s="14"/>
      <c r="Y11" s="14"/>
      <c r="Z11" s="14"/>
      <c r="AB11" t="s">
        <v>10</v>
      </c>
      <c r="AC11" s="3">
        <v>700</v>
      </c>
      <c r="AF11" t="s">
        <v>16</v>
      </c>
      <c r="AG11" s="3">
        <v>10</v>
      </c>
      <c r="AK11" t="s">
        <v>34</v>
      </c>
      <c r="AL11" t="s">
        <v>33</v>
      </c>
    </row>
    <row r="12" spans="1:57" x14ac:dyDescent="0.45">
      <c r="A12" s="5" t="s">
        <v>0</v>
      </c>
      <c r="B12" s="5" t="s">
        <v>5</v>
      </c>
      <c r="C12" s="5" t="s">
        <v>6</v>
      </c>
      <c r="D12" s="5" t="s">
        <v>7</v>
      </c>
      <c r="E12" s="5" t="s">
        <v>15</v>
      </c>
      <c r="F12" s="5"/>
      <c r="G12" s="5" t="s">
        <v>41</v>
      </c>
      <c r="H12" s="5" t="s">
        <v>42</v>
      </c>
      <c r="I12" s="5" t="s">
        <v>43</v>
      </c>
      <c r="J12" s="5" t="s">
        <v>40</v>
      </c>
      <c r="K12" s="5" t="s">
        <v>46</v>
      </c>
      <c r="L12" s="5" t="s">
        <v>49</v>
      </c>
      <c r="O12" s="5"/>
      <c r="P12" s="5" t="s">
        <v>48</v>
      </c>
      <c r="Q12" s="5" t="s">
        <v>45</v>
      </c>
      <c r="R12" s="5" t="s">
        <v>47</v>
      </c>
      <c r="S12" s="5"/>
      <c r="T12" s="5"/>
      <c r="U12" s="5"/>
      <c r="V12" s="5" t="s">
        <v>5</v>
      </c>
      <c r="W12" s="5" t="s">
        <v>6</v>
      </c>
      <c r="X12" s="5" t="s">
        <v>7</v>
      </c>
      <c r="Y12" s="5" t="s">
        <v>15</v>
      </c>
      <c r="Z12" s="5" t="s">
        <v>24</v>
      </c>
      <c r="AB12" t="s">
        <v>7</v>
      </c>
      <c r="AC12" s="3">
        <f>IMPROVED_MBPS*IMPROVED_KM^2*AC11^2/(4*PI()^2*AVG_SUN_DIST^2)</f>
        <v>2.9377147919967759</v>
      </c>
      <c r="AD12" t="s">
        <v>11</v>
      </c>
      <c r="AF12" s="4" t="s">
        <v>20</v>
      </c>
      <c r="AG12" s="3">
        <f>DIST_RINGS_EM/AG11</f>
        <v>9000000</v>
      </c>
      <c r="AH12" t="s">
        <v>2</v>
      </c>
      <c r="AK12" t="s">
        <v>32</v>
      </c>
      <c r="AL12">
        <v>100</v>
      </c>
      <c r="AM12">
        <f>AL12+100</f>
        <v>200</v>
      </c>
      <c r="AN12">
        <f t="shared" ref="AN12:BE12" si="0">AM12+100</f>
        <v>300</v>
      </c>
      <c r="AO12">
        <f t="shared" si="0"/>
        <v>400</v>
      </c>
      <c r="AP12">
        <f t="shared" si="0"/>
        <v>500</v>
      </c>
      <c r="AQ12">
        <f t="shared" si="0"/>
        <v>600</v>
      </c>
      <c r="AR12">
        <f t="shared" si="0"/>
        <v>700</v>
      </c>
      <c r="AS12">
        <f t="shared" si="0"/>
        <v>800</v>
      </c>
      <c r="AT12">
        <f t="shared" si="0"/>
        <v>900</v>
      </c>
      <c r="AU12">
        <f t="shared" si="0"/>
        <v>1000</v>
      </c>
      <c r="AV12">
        <f t="shared" si="0"/>
        <v>1100</v>
      </c>
      <c r="AW12">
        <f t="shared" si="0"/>
        <v>1200</v>
      </c>
      <c r="AX12">
        <f t="shared" si="0"/>
        <v>1300</v>
      </c>
      <c r="AY12">
        <f t="shared" si="0"/>
        <v>1400</v>
      </c>
      <c r="AZ12">
        <f t="shared" si="0"/>
        <v>1500</v>
      </c>
      <c r="BA12">
        <f t="shared" si="0"/>
        <v>1600</v>
      </c>
      <c r="BB12">
        <f t="shared" si="0"/>
        <v>1700</v>
      </c>
      <c r="BC12">
        <f t="shared" si="0"/>
        <v>1800</v>
      </c>
      <c r="BD12">
        <f t="shared" si="0"/>
        <v>1900</v>
      </c>
      <c r="BE12">
        <f t="shared" si="0"/>
        <v>2000</v>
      </c>
    </row>
    <row r="13" spans="1:57" x14ac:dyDescent="0.45">
      <c r="A13">
        <v>1</v>
      </c>
      <c r="B13" s="3">
        <f t="shared" ref="B13:B76" si="1">REQD_MBPS*DIST_RINGS_EM^2/(IMPROVED_MBPS*IMPROVED_KM^2*A13^2)</f>
        <v>900000</v>
      </c>
      <c r="C13" s="3">
        <f t="shared" ref="C13:C25" si="2">B13*A13</f>
        <v>900000</v>
      </c>
      <c r="D13" s="3">
        <f t="shared" ref="D13:D76" si="3">IMPROVED_MBPS*IMPROVED_KM^2*B13^2/(4*PI()^2*AVG_SUN_DIST^2)</f>
        <v>4856222.4112599762</v>
      </c>
      <c r="E13" s="3">
        <f t="shared" ref="E13:E76" si="4">IMPROVED_MBPS*IMPROVED_KM^2/(DIST_RINGS_EM/A13)^2</f>
        <v>1.1111111111111111E-3</v>
      </c>
      <c r="F13" s="3"/>
      <c r="G13" s="3">
        <f t="shared" ref="G13:G76" si="5">(2*PI()*AVG_SUN_DIST)/B13</f>
        <v>1361.3568165555771</v>
      </c>
      <c r="H13" s="3">
        <f t="shared" ref="H13:H76" si="6">DIST_RINGS_EM/A13</f>
        <v>90000000</v>
      </c>
      <c r="I13" s="3">
        <f>SQRT((G13/2)^2+H13^2)</f>
        <v>90000000.002574012</v>
      </c>
      <c r="J13" s="3">
        <f t="shared" ref="J13:J76" si="7">IMPROVED_MBPS*IMPROVED_KM^2/I13^2</f>
        <v>1.1111111110475552E-3</v>
      </c>
      <c r="K13" s="3">
        <f>J13*B13</f>
        <v>999.9999999427996</v>
      </c>
      <c r="L13" s="3">
        <f t="shared" ref="L13:L21" si="8">IMPROVED_MBPS*IMPROVED_KM^2/((PI()*AVG_SUN_DIST/B13)^2+(DIST_RINGS_EM/A13)^2)*B13</f>
        <v>999.9999999427996</v>
      </c>
      <c r="O13" s="9">
        <f t="shared" ref="O13:O76" si="9">K13/$K$13</f>
        <v>1</v>
      </c>
      <c r="P13" s="9">
        <f>1/O13-1</f>
        <v>0</v>
      </c>
      <c r="Q13" s="3">
        <f t="shared" ref="Q13:Q76" si="10">B13*(1+P13)</f>
        <v>900000</v>
      </c>
      <c r="R13" s="3">
        <f t="shared" ref="R13:R76" si="11">IMPROVED_MBPS*IMPROVED_KM^2/((PI()*AVG_SUN_DIST/Q13)^2+(DIST_RINGS_EM/A13)^2)*Q13</f>
        <v>999.9999999427996</v>
      </c>
      <c r="S13" s="3">
        <f t="shared" ref="S13:S76" si="12">IMPROVED_MBPS*IMPROVED_KM^2*Q13^3*A13^2/((A13*PI()*AVG_SUN_DIST)^2+(DIST_RINGS_EM*Q13)^2)</f>
        <v>999.99999994279972</v>
      </c>
      <c r="T13" s="3"/>
      <c r="U13" s="3"/>
      <c r="V13" s="3">
        <f t="shared" ref="V13:V76" si="13">2*PI()*AVG_SUN_DIST*A13/DIST_RINGS_EM</f>
        <v>13.613568165555771</v>
      </c>
      <c r="W13" s="3">
        <f>V13*A13</f>
        <v>13.613568165555771</v>
      </c>
      <c r="X13" s="3">
        <f t="shared" ref="X13:X76" si="14">IMPROVED_MBPS*IMPROVED_KM^2*V13^2/(4*PI()^2*AVG_SUN_DIST^2)</f>
        <v>1.1111111111111113E-3</v>
      </c>
      <c r="Y13" s="3">
        <f t="shared" ref="Y13:Y76" si="15">IMPROVED_MBPS*IMPROVED_KM^2/(DIST_RINGS_EM/A13)^2</f>
        <v>1.1111111111111111E-3</v>
      </c>
      <c r="Z13" s="3">
        <f>Y13*V13</f>
        <v>1.5126186850617522E-2</v>
      </c>
      <c r="AB13" t="s">
        <v>13</v>
      </c>
      <c r="AC13" s="3">
        <f>2*PI()*Constants!B3</f>
        <v>1225221134.9000194</v>
      </c>
      <c r="AD13" t="s">
        <v>2</v>
      </c>
      <c r="AF13" t="s">
        <v>15</v>
      </c>
      <c r="AG13" s="3">
        <f>IMPROVED_MBPS*IMPROVED_KM^2/(DIST_RINGS_EM/AG11)^2</f>
        <v>0.1111111111111111</v>
      </c>
      <c r="AH13" t="s">
        <v>11</v>
      </c>
      <c r="AK13">
        <v>1</v>
      </c>
      <c r="AL13" s="3">
        <f t="shared" ref="AL13:AU22" si="16">AL$12/(IMPROVED_MBPS*IMPROVED_KM^2/(DIST_RINGS_EM/$AK13)^2)*$AK13</f>
        <v>90000</v>
      </c>
      <c r="AM13" s="3">
        <f t="shared" si="16"/>
        <v>180000</v>
      </c>
      <c r="AN13" s="3">
        <f t="shared" si="16"/>
        <v>270000</v>
      </c>
      <c r="AO13" s="3">
        <f t="shared" si="16"/>
        <v>360000</v>
      </c>
      <c r="AP13" s="3">
        <f t="shared" si="16"/>
        <v>450000</v>
      </c>
      <c r="AQ13" s="3">
        <f t="shared" si="16"/>
        <v>540000</v>
      </c>
      <c r="AR13" s="3">
        <f t="shared" si="16"/>
        <v>630000</v>
      </c>
      <c r="AS13" s="3">
        <f t="shared" si="16"/>
        <v>720000</v>
      </c>
      <c r="AT13" s="3">
        <f t="shared" si="16"/>
        <v>810000</v>
      </c>
      <c r="AU13" s="3">
        <f t="shared" si="16"/>
        <v>900000</v>
      </c>
      <c r="AV13" s="3">
        <f t="shared" ref="AV13:BE22" si="17">AV$12/(IMPROVED_MBPS*IMPROVED_KM^2/(DIST_RINGS_EM/$AK13)^2)*$AK13</f>
        <v>990000</v>
      </c>
      <c r="AW13" s="3">
        <f t="shared" si="17"/>
        <v>1080000</v>
      </c>
      <c r="AX13" s="3">
        <f t="shared" si="17"/>
        <v>1170000</v>
      </c>
      <c r="AY13" s="3">
        <f t="shared" si="17"/>
        <v>1260000</v>
      </c>
      <c r="AZ13" s="3">
        <f t="shared" si="17"/>
        <v>1350000</v>
      </c>
      <c r="BA13" s="3">
        <f t="shared" si="17"/>
        <v>1440000</v>
      </c>
      <c r="BB13" s="3">
        <f t="shared" si="17"/>
        <v>1530000</v>
      </c>
      <c r="BC13" s="3">
        <f t="shared" si="17"/>
        <v>1620000</v>
      </c>
      <c r="BD13" s="3">
        <f t="shared" si="17"/>
        <v>1710000</v>
      </c>
      <c r="BE13" s="3">
        <f t="shared" si="17"/>
        <v>1800000</v>
      </c>
    </row>
    <row r="14" spans="1:57" x14ac:dyDescent="0.45">
      <c r="A14">
        <f>A13+1</f>
        <v>2</v>
      </c>
      <c r="B14" s="3">
        <f t="shared" si="1"/>
        <v>225000</v>
      </c>
      <c r="C14" s="3">
        <f t="shared" si="2"/>
        <v>450000</v>
      </c>
      <c r="D14" s="3">
        <f t="shared" si="3"/>
        <v>303513.90070374851</v>
      </c>
      <c r="E14" s="3">
        <f t="shared" si="4"/>
        <v>4.4444444444444444E-3</v>
      </c>
      <c r="F14" s="3"/>
      <c r="G14" s="3">
        <f t="shared" si="5"/>
        <v>5445.4272662223084</v>
      </c>
      <c r="H14" s="3">
        <f t="shared" si="6"/>
        <v>45000000</v>
      </c>
      <c r="I14" s="3">
        <f t="shared" ref="I14:I77" si="18">SQRT((G14/2)^2+H14^2)</f>
        <v>45000000.082368553</v>
      </c>
      <c r="J14" s="3">
        <f t="shared" si="7"/>
        <v>4.444444428174113E-3</v>
      </c>
      <c r="K14" s="3">
        <f t="shared" ref="K14:K77" si="19">J14*B14</f>
        <v>999.99999633917548</v>
      </c>
      <c r="L14" s="3">
        <f t="shared" si="8"/>
        <v>999.9999963391756</v>
      </c>
      <c r="O14" s="9">
        <f t="shared" si="9"/>
        <v>0.99999999639637582</v>
      </c>
      <c r="P14" s="9">
        <f t="shared" ref="P14:P77" si="20">1/O14-1</f>
        <v>3.603624287862317E-9</v>
      </c>
      <c r="Q14" s="3">
        <f t="shared" si="10"/>
        <v>225000.00081081546</v>
      </c>
      <c r="R14" s="3">
        <f t="shared" si="11"/>
        <v>999.99999994279983</v>
      </c>
      <c r="S14" s="3">
        <f t="shared" si="12"/>
        <v>999.99999994279995</v>
      </c>
      <c r="T14" s="9"/>
      <c r="U14" s="3"/>
      <c r="V14" s="3">
        <f t="shared" si="13"/>
        <v>27.227136331111542</v>
      </c>
      <c r="W14" s="3">
        <f t="shared" ref="W14:W77" si="21">V14*A14</f>
        <v>54.454272662223083</v>
      </c>
      <c r="X14" s="3">
        <f t="shared" si="14"/>
        <v>4.4444444444444453E-3</v>
      </c>
      <c r="Y14" s="3">
        <f t="shared" si="15"/>
        <v>4.4444444444444444E-3</v>
      </c>
      <c r="Z14" s="3">
        <f t="shared" ref="Z14:Z77" si="22">Y14*V14</f>
        <v>0.12100949480494018</v>
      </c>
      <c r="AB14" t="s">
        <v>12</v>
      </c>
      <c r="AC14" s="3">
        <f>AC13/AC11</f>
        <v>1750315.9070000278</v>
      </c>
      <c r="AD14" t="s">
        <v>2</v>
      </c>
      <c r="AK14">
        <f>AK13+1</f>
        <v>2</v>
      </c>
      <c r="AL14" s="3">
        <f t="shared" si="16"/>
        <v>45000</v>
      </c>
      <c r="AM14" s="3">
        <f t="shared" si="16"/>
        <v>90000</v>
      </c>
      <c r="AN14" s="3">
        <f t="shared" si="16"/>
        <v>135000</v>
      </c>
      <c r="AO14" s="3">
        <f t="shared" si="16"/>
        <v>180000</v>
      </c>
      <c r="AP14" s="3">
        <f t="shared" si="16"/>
        <v>225000</v>
      </c>
      <c r="AQ14" s="3">
        <f t="shared" si="16"/>
        <v>270000</v>
      </c>
      <c r="AR14" s="3">
        <f t="shared" si="16"/>
        <v>315000</v>
      </c>
      <c r="AS14" s="3">
        <f t="shared" si="16"/>
        <v>360000</v>
      </c>
      <c r="AT14" s="3">
        <f t="shared" si="16"/>
        <v>405000</v>
      </c>
      <c r="AU14" s="3">
        <f t="shared" si="16"/>
        <v>450000</v>
      </c>
      <c r="AV14" s="3">
        <f t="shared" si="17"/>
        <v>495000</v>
      </c>
      <c r="AW14" s="3">
        <f t="shared" si="17"/>
        <v>540000</v>
      </c>
      <c r="AX14" s="3">
        <f t="shared" si="17"/>
        <v>585000</v>
      </c>
      <c r="AY14" s="3">
        <f t="shared" si="17"/>
        <v>630000</v>
      </c>
      <c r="AZ14" s="3">
        <f t="shared" si="17"/>
        <v>675000</v>
      </c>
      <c r="BA14" s="3">
        <f t="shared" si="17"/>
        <v>720000</v>
      </c>
      <c r="BB14" s="3">
        <f t="shared" si="17"/>
        <v>765000</v>
      </c>
      <c r="BC14" s="3">
        <f t="shared" si="17"/>
        <v>810000</v>
      </c>
      <c r="BD14" s="3">
        <f t="shared" si="17"/>
        <v>855000</v>
      </c>
      <c r="BE14" s="3">
        <f t="shared" si="17"/>
        <v>900000</v>
      </c>
    </row>
    <row r="15" spans="1:57" x14ac:dyDescent="0.45">
      <c r="A15">
        <f t="shared" ref="A15:A20" si="23">A14+1</f>
        <v>3</v>
      </c>
      <c r="B15" s="3">
        <f t="shared" si="1"/>
        <v>100000</v>
      </c>
      <c r="C15" s="3">
        <f t="shared" si="2"/>
        <v>300000</v>
      </c>
      <c r="D15" s="3">
        <f t="shared" si="3"/>
        <v>59953.36310197501</v>
      </c>
      <c r="E15" s="3">
        <f t="shared" si="4"/>
        <v>0.01</v>
      </c>
      <c r="F15" s="3"/>
      <c r="G15" s="3">
        <f t="shared" si="5"/>
        <v>12252.211349000194</v>
      </c>
      <c r="H15" s="3">
        <f t="shared" si="6"/>
        <v>30000000</v>
      </c>
      <c r="I15" s="3">
        <f t="shared" si="18"/>
        <v>30000000.625486173</v>
      </c>
      <c r="J15" s="3">
        <f t="shared" si="7"/>
        <v>9.9999995830092319E-3</v>
      </c>
      <c r="K15" s="3">
        <f t="shared" si="19"/>
        <v>999.99995830092314</v>
      </c>
      <c r="L15" s="3">
        <f t="shared" si="8"/>
        <v>999.99995830092314</v>
      </c>
      <c r="O15" s="9">
        <f t="shared" si="9"/>
        <v>0.9999999583581235</v>
      </c>
      <c r="P15" s="9">
        <f t="shared" si="20"/>
        <v>4.164187816790843E-8</v>
      </c>
      <c r="Q15" s="3">
        <f t="shared" si="10"/>
        <v>100000.00416418782</v>
      </c>
      <c r="R15" s="3">
        <f t="shared" si="11"/>
        <v>999.99999994280313</v>
      </c>
      <c r="S15" s="3">
        <f t="shared" si="12"/>
        <v>999.99999994280279</v>
      </c>
      <c r="T15" s="9"/>
      <c r="U15" s="3"/>
      <c r="V15" s="3">
        <f t="shared" si="13"/>
        <v>40.840704496667314</v>
      </c>
      <c r="W15" s="3">
        <f t="shared" si="21"/>
        <v>122.52211349000194</v>
      </c>
      <c r="X15" s="3">
        <f t="shared" si="14"/>
        <v>1.0000000000000002E-2</v>
      </c>
      <c r="Y15" s="3">
        <f t="shared" si="15"/>
        <v>0.01</v>
      </c>
      <c r="Z15" s="3">
        <f t="shared" si="22"/>
        <v>0.40840704496667313</v>
      </c>
      <c r="AB15" t="s">
        <v>7</v>
      </c>
      <c r="AC15" s="3">
        <f>IMPROVED_MBPS*IMPROVED_KM^2/AC14^2</f>
        <v>2.937714791996775</v>
      </c>
      <c r="AD15" t="s">
        <v>11</v>
      </c>
      <c r="AK15">
        <f t="shared" ref="AK15:AK34" si="24">AK14+1</f>
        <v>3</v>
      </c>
      <c r="AL15" s="3">
        <f t="shared" si="16"/>
        <v>30000</v>
      </c>
      <c r="AM15" s="3">
        <f t="shared" si="16"/>
        <v>60000</v>
      </c>
      <c r="AN15" s="3">
        <f t="shared" si="16"/>
        <v>90000</v>
      </c>
      <c r="AO15" s="3">
        <f t="shared" si="16"/>
        <v>120000</v>
      </c>
      <c r="AP15" s="3">
        <f t="shared" si="16"/>
        <v>150000</v>
      </c>
      <c r="AQ15" s="3">
        <f t="shared" si="16"/>
        <v>180000</v>
      </c>
      <c r="AR15" s="3">
        <f t="shared" si="16"/>
        <v>210000</v>
      </c>
      <c r="AS15" s="3">
        <f t="shared" si="16"/>
        <v>240000</v>
      </c>
      <c r="AT15" s="3">
        <f t="shared" si="16"/>
        <v>270000</v>
      </c>
      <c r="AU15" s="3">
        <f t="shared" si="16"/>
        <v>300000</v>
      </c>
      <c r="AV15" s="3">
        <f t="shared" si="17"/>
        <v>330000</v>
      </c>
      <c r="AW15" s="3">
        <f t="shared" si="17"/>
        <v>360000</v>
      </c>
      <c r="AX15" s="3">
        <f t="shared" si="17"/>
        <v>390000</v>
      </c>
      <c r="AY15" s="3">
        <f t="shared" si="17"/>
        <v>420000</v>
      </c>
      <c r="AZ15" s="3">
        <f t="shared" si="17"/>
        <v>450000</v>
      </c>
      <c r="BA15" s="3">
        <f t="shared" si="17"/>
        <v>480000</v>
      </c>
      <c r="BB15" s="3">
        <f t="shared" si="17"/>
        <v>510000</v>
      </c>
      <c r="BC15" s="3">
        <f t="shared" si="17"/>
        <v>540000</v>
      </c>
      <c r="BD15" s="3">
        <f t="shared" si="17"/>
        <v>570000</v>
      </c>
      <c r="BE15" s="3">
        <f t="shared" si="17"/>
        <v>600000</v>
      </c>
    </row>
    <row r="16" spans="1:57" x14ac:dyDescent="0.45">
      <c r="A16">
        <f t="shared" si="23"/>
        <v>4</v>
      </c>
      <c r="B16" s="3">
        <f t="shared" si="1"/>
        <v>56250</v>
      </c>
      <c r="C16" s="3">
        <f t="shared" si="2"/>
        <v>225000</v>
      </c>
      <c r="D16" s="3">
        <f t="shared" si="3"/>
        <v>18969.618793984282</v>
      </c>
      <c r="E16" s="3">
        <f t="shared" si="4"/>
        <v>1.7777777777777778E-2</v>
      </c>
      <c r="F16" s="3"/>
      <c r="G16" s="3">
        <f t="shared" si="5"/>
        <v>21781.709064889234</v>
      </c>
      <c r="H16" s="3">
        <f t="shared" si="6"/>
        <v>22500000</v>
      </c>
      <c r="I16" s="3">
        <f t="shared" si="18"/>
        <v>22500002.635793455</v>
      </c>
      <c r="J16" s="3">
        <f t="shared" si="7"/>
        <v>1.7777773612574037E-2</v>
      </c>
      <c r="K16" s="3">
        <f t="shared" si="19"/>
        <v>999.99976570728961</v>
      </c>
      <c r="L16" s="3">
        <f t="shared" si="8"/>
        <v>999.99976570728961</v>
      </c>
      <c r="O16" s="9">
        <f t="shared" si="9"/>
        <v>0.99999976576449001</v>
      </c>
      <c r="P16" s="9">
        <f t="shared" si="20"/>
        <v>2.342355649442851E-7</v>
      </c>
      <c r="Q16" s="3">
        <f t="shared" si="10"/>
        <v>56250.01317575053</v>
      </c>
      <c r="R16" s="3">
        <f t="shared" si="11"/>
        <v>999.99999994290931</v>
      </c>
      <c r="S16" s="3">
        <f t="shared" si="12"/>
        <v>999.99999994290943</v>
      </c>
      <c r="T16" s="9"/>
      <c r="U16" s="3"/>
      <c r="V16" s="3">
        <f t="shared" si="13"/>
        <v>54.454272662223083</v>
      </c>
      <c r="W16" s="3">
        <f t="shared" si="21"/>
        <v>217.81709064889233</v>
      </c>
      <c r="X16" s="3">
        <f t="shared" si="14"/>
        <v>1.7777777777777781E-2</v>
      </c>
      <c r="Y16" s="3">
        <f t="shared" si="15"/>
        <v>1.7777777777777778E-2</v>
      </c>
      <c r="Z16" s="3">
        <f t="shared" si="22"/>
        <v>0.96807595843952143</v>
      </c>
      <c r="AK16">
        <f t="shared" si="24"/>
        <v>4</v>
      </c>
      <c r="AL16" s="3">
        <f t="shared" si="16"/>
        <v>22500</v>
      </c>
      <c r="AM16" s="3">
        <f t="shared" si="16"/>
        <v>45000</v>
      </c>
      <c r="AN16" s="3">
        <f t="shared" si="16"/>
        <v>67500</v>
      </c>
      <c r="AO16" s="3">
        <f t="shared" si="16"/>
        <v>90000</v>
      </c>
      <c r="AP16" s="3">
        <f t="shared" si="16"/>
        <v>112500</v>
      </c>
      <c r="AQ16" s="3">
        <f t="shared" si="16"/>
        <v>135000</v>
      </c>
      <c r="AR16" s="3">
        <f t="shared" si="16"/>
        <v>157500</v>
      </c>
      <c r="AS16" s="3">
        <f t="shared" si="16"/>
        <v>180000</v>
      </c>
      <c r="AT16" s="3">
        <f t="shared" si="16"/>
        <v>202500</v>
      </c>
      <c r="AU16" s="3">
        <f t="shared" si="16"/>
        <v>225000</v>
      </c>
      <c r="AV16" s="3">
        <f t="shared" si="17"/>
        <v>247500</v>
      </c>
      <c r="AW16" s="3">
        <f t="shared" si="17"/>
        <v>270000</v>
      </c>
      <c r="AX16" s="3">
        <f t="shared" si="17"/>
        <v>292500</v>
      </c>
      <c r="AY16" s="3">
        <f t="shared" si="17"/>
        <v>315000</v>
      </c>
      <c r="AZ16" s="3">
        <f t="shared" si="17"/>
        <v>337500</v>
      </c>
      <c r="BA16" s="3">
        <f t="shared" si="17"/>
        <v>360000</v>
      </c>
      <c r="BB16" s="3">
        <f t="shared" si="17"/>
        <v>382500</v>
      </c>
      <c r="BC16" s="3">
        <f t="shared" si="17"/>
        <v>405000</v>
      </c>
      <c r="BD16" s="3">
        <f t="shared" si="17"/>
        <v>427500</v>
      </c>
      <c r="BE16" s="3">
        <f t="shared" si="17"/>
        <v>450000</v>
      </c>
    </row>
    <row r="17" spans="1:57" x14ac:dyDescent="0.45">
      <c r="A17">
        <f t="shared" si="23"/>
        <v>5</v>
      </c>
      <c r="B17" s="3">
        <f t="shared" si="1"/>
        <v>36000</v>
      </c>
      <c r="C17" s="3">
        <f t="shared" si="2"/>
        <v>180000</v>
      </c>
      <c r="D17" s="3">
        <f t="shared" si="3"/>
        <v>7769.9558580159619</v>
      </c>
      <c r="E17" s="3">
        <f t="shared" si="4"/>
        <v>2.7777777777777776E-2</v>
      </c>
      <c r="F17" s="3"/>
      <c r="G17" s="3">
        <f t="shared" si="5"/>
        <v>34033.920413889427</v>
      </c>
      <c r="H17" s="3">
        <f t="shared" si="6"/>
        <v>18000000</v>
      </c>
      <c r="I17" s="3">
        <f t="shared" si="18"/>
        <v>18000008.043801945</v>
      </c>
      <c r="J17" s="3">
        <f t="shared" si="7"/>
        <v>2.777775295124521E-2</v>
      </c>
      <c r="K17" s="3">
        <f t="shared" si="19"/>
        <v>999.99910624482754</v>
      </c>
      <c r="L17" s="3">
        <f t="shared" si="8"/>
        <v>999.99910624482754</v>
      </c>
      <c r="O17" s="9">
        <f t="shared" si="9"/>
        <v>0.99999910630202793</v>
      </c>
      <c r="P17" s="9">
        <f t="shared" si="20"/>
        <v>8.9369877076528326E-7</v>
      </c>
      <c r="Q17" s="3">
        <f t="shared" si="10"/>
        <v>36000.032173155749</v>
      </c>
      <c r="R17" s="3">
        <f t="shared" si="11"/>
        <v>999.99999994439702</v>
      </c>
      <c r="S17" s="3">
        <f t="shared" si="12"/>
        <v>999.99999994439679</v>
      </c>
      <c r="T17" s="9"/>
      <c r="U17" s="3"/>
      <c r="V17" s="3">
        <f t="shared" si="13"/>
        <v>68.067840827778852</v>
      </c>
      <c r="W17" s="3">
        <f t="shared" si="21"/>
        <v>340.33920413889427</v>
      </c>
      <c r="X17" s="3">
        <f t="shared" si="14"/>
        <v>2.7777777777777776E-2</v>
      </c>
      <c r="Y17" s="3">
        <f t="shared" si="15"/>
        <v>2.7777777777777776E-2</v>
      </c>
      <c r="Z17" s="3">
        <f t="shared" si="22"/>
        <v>1.8907733563271902</v>
      </c>
      <c r="AK17">
        <f t="shared" si="24"/>
        <v>5</v>
      </c>
      <c r="AL17" s="3">
        <f t="shared" si="16"/>
        <v>18000</v>
      </c>
      <c r="AM17" s="3">
        <f t="shared" si="16"/>
        <v>36000</v>
      </c>
      <c r="AN17" s="3">
        <f t="shared" si="16"/>
        <v>54000</v>
      </c>
      <c r="AO17" s="3">
        <f t="shared" si="16"/>
        <v>72000</v>
      </c>
      <c r="AP17" s="3">
        <f t="shared" si="16"/>
        <v>90000</v>
      </c>
      <c r="AQ17" s="3">
        <f t="shared" si="16"/>
        <v>108000</v>
      </c>
      <c r="AR17" s="3">
        <f t="shared" si="16"/>
        <v>126000</v>
      </c>
      <c r="AS17" s="3">
        <f t="shared" si="16"/>
        <v>144000</v>
      </c>
      <c r="AT17" s="3">
        <f t="shared" si="16"/>
        <v>162000</v>
      </c>
      <c r="AU17" s="3">
        <f t="shared" si="16"/>
        <v>180000</v>
      </c>
      <c r="AV17" s="3">
        <f t="shared" si="17"/>
        <v>198000</v>
      </c>
      <c r="AW17" s="3">
        <f t="shared" si="17"/>
        <v>216000</v>
      </c>
      <c r="AX17" s="3">
        <f t="shared" si="17"/>
        <v>234000</v>
      </c>
      <c r="AY17" s="3">
        <f t="shared" si="17"/>
        <v>252000</v>
      </c>
      <c r="AZ17" s="3">
        <f t="shared" si="17"/>
        <v>270000</v>
      </c>
      <c r="BA17" s="3">
        <f t="shared" si="17"/>
        <v>288000</v>
      </c>
      <c r="BB17" s="3">
        <f t="shared" si="17"/>
        <v>306000</v>
      </c>
      <c r="BC17" s="3">
        <f t="shared" si="17"/>
        <v>324000</v>
      </c>
      <c r="BD17" s="3">
        <f t="shared" si="17"/>
        <v>342000</v>
      </c>
      <c r="BE17" s="3">
        <f t="shared" si="17"/>
        <v>360000</v>
      </c>
    </row>
    <row r="18" spans="1:57" x14ac:dyDescent="0.45">
      <c r="A18">
        <f t="shared" si="23"/>
        <v>6</v>
      </c>
      <c r="B18" s="3">
        <f t="shared" si="1"/>
        <v>25000</v>
      </c>
      <c r="C18" s="3">
        <f t="shared" si="2"/>
        <v>150000</v>
      </c>
      <c r="D18" s="3">
        <f t="shared" si="3"/>
        <v>3747.0851938734381</v>
      </c>
      <c r="E18" s="3">
        <f t="shared" si="4"/>
        <v>0.04</v>
      </c>
      <c r="F18" s="3"/>
      <c r="G18" s="3">
        <f t="shared" si="5"/>
        <v>49008.845396000776</v>
      </c>
      <c r="H18" s="3">
        <f t="shared" si="6"/>
        <v>15000000</v>
      </c>
      <c r="I18" s="3">
        <f t="shared" si="18"/>
        <v>15000020.015544372</v>
      </c>
      <c r="J18" s="3">
        <f t="shared" si="7"/>
        <v>3.9999893250643681E-2</v>
      </c>
      <c r="K18" s="3">
        <f t="shared" si="19"/>
        <v>999.99733126609203</v>
      </c>
      <c r="L18" s="3">
        <f t="shared" si="8"/>
        <v>999.99733126609215</v>
      </c>
      <c r="O18" s="9">
        <f t="shared" si="9"/>
        <v>0.99999733132329227</v>
      </c>
      <c r="P18" s="9">
        <f t="shared" si="20"/>
        <v>2.6686838294764925E-6</v>
      </c>
      <c r="Q18" s="3">
        <f t="shared" si="10"/>
        <v>25000.066717095739</v>
      </c>
      <c r="R18" s="3">
        <f t="shared" si="11"/>
        <v>999.99999995704354</v>
      </c>
      <c r="S18" s="3">
        <f t="shared" si="12"/>
        <v>999.99999995704354</v>
      </c>
      <c r="T18" s="9"/>
      <c r="U18" s="3"/>
      <c r="V18" s="3">
        <f t="shared" si="13"/>
        <v>81.681408993334628</v>
      </c>
      <c r="W18" s="3">
        <f t="shared" si="21"/>
        <v>490.08845396000777</v>
      </c>
      <c r="X18" s="3">
        <f t="shared" si="14"/>
        <v>4.0000000000000008E-2</v>
      </c>
      <c r="Y18" s="3">
        <f t="shared" si="15"/>
        <v>0.04</v>
      </c>
      <c r="Z18" s="3">
        <f t="shared" si="22"/>
        <v>3.267256359733385</v>
      </c>
      <c r="AK18">
        <f t="shared" si="24"/>
        <v>6</v>
      </c>
      <c r="AL18" s="3">
        <f t="shared" si="16"/>
        <v>15000</v>
      </c>
      <c r="AM18" s="3">
        <f t="shared" si="16"/>
        <v>30000</v>
      </c>
      <c r="AN18" s="3">
        <f t="shared" si="16"/>
        <v>45000</v>
      </c>
      <c r="AO18" s="3">
        <f t="shared" si="16"/>
        <v>60000</v>
      </c>
      <c r="AP18" s="3">
        <f t="shared" si="16"/>
        <v>75000</v>
      </c>
      <c r="AQ18" s="3">
        <f t="shared" si="16"/>
        <v>90000</v>
      </c>
      <c r="AR18" s="3">
        <f t="shared" si="16"/>
        <v>105000</v>
      </c>
      <c r="AS18" s="3">
        <f t="shared" si="16"/>
        <v>120000</v>
      </c>
      <c r="AT18" s="3">
        <f t="shared" si="16"/>
        <v>135000</v>
      </c>
      <c r="AU18" s="3">
        <f t="shared" si="16"/>
        <v>150000</v>
      </c>
      <c r="AV18" s="3">
        <f t="shared" si="17"/>
        <v>165000</v>
      </c>
      <c r="AW18" s="3">
        <f t="shared" si="17"/>
        <v>180000</v>
      </c>
      <c r="AX18" s="3">
        <f t="shared" si="17"/>
        <v>195000</v>
      </c>
      <c r="AY18" s="3">
        <f t="shared" si="17"/>
        <v>210000</v>
      </c>
      <c r="AZ18" s="3">
        <f t="shared" si="17"/>
        <v>225000</v>
      </c>
      <c r="BA18" s="3">
        <f t="shared" si="17"/>
        <v>240000</v>
      </c>
      <c r="BB18" s="3">
        <f t="shared" si="17"/>
        <v>255000</v>
      </c>
      <c r="BC18" s="3">
        <f t="shared" si="17"/>
        <v>270000</v>
      </c>
      <c r="BD18" s="3">
        <f t="shared" si="17"/>
        <v>285000</v>
      </c>
      <c r="BE18" s="3">
        <f t="shared" si="17"/>
        <v>300000</v>
      </c>
    </row>
    <row r="19" spans="1:57" x14ac:dyDescent="0.45">
      <c r="A19">
        <f t="shared" si="23"/>
        <v>7</v>
      </c>
      <c r="B19" s="3">
        <f t="shared" si="1"/>
        <v>18367.34693877551</v>
      </c>
      <c r="C19" s="3">
        <f t="shared" si="2"/>
        <v>128571.42857142858</v>
      </c>
      <c r="D19" s="3">
        <f t="shared" si="3"/>
        <v>2022.5832616659627</v>
      </c>
      <c r="E19" s="3">
        <f t="shared" si="4"/>
        <v>5.4444444444444455E-2</v>
      </c>
      <c r="F19" s="3"/>
      <c r="G19" s="3">
        <f t="shared" si="5"/>
        <v>66706.484011223278</v>
      </c>
      <c r="H19" s="3">
        <f t="shared" si="6"/>
        <v>12857142.857142856</v>
      </c>
      <c r="I19" s="3">
        <f t="shared" si="18"/>
        <v>12857186.118577106</v>
      </c>
      <c r="J19" s="3">
        <f t="shared" si="7"/>
        <v>5.4444078059331998E-2</v>
      </c>
      <c r="K19" s="3">
        <f t="shared" si="19"/>
        <v>999.99327047752649</v>
      </c>
      <c r="L19" s="3">
        <f t="shared" si="8"/>
        <v>999.99327047752627</v>
      </c>
      <c r="O19" s="9">
        <f t="shared" si="9"/>
        <v>0.99999327053472653</v>
      </c>
      <c r="P19" s="9">
        <f t="shared" si="20"/>
        <v>6.7295105594666893E-6</v>
      </c>
      <c r="Q19" s="3">
        <f t="shared" si="10"/>
        <v>18367.470542030685</v>
      </c>
      <c r="R19" s="3">
        <f t="shared" si="11"/>
        <v>1000.0000000333713</v>
      </c>
      <c r="S19" s="3">
        <f t="shared" si="12"/>
        <v>1000.000000033371</v>
      </c>
      <c r="T19" s="9"/>
      <c r="U19" s="3"/>
      <c r="V19" s="3">
        <f t="shared" si="13"/>
        <v>95.29497715889039</v>
      </c>
      <c r="W19" s="3">
        <f t="shared" si="21"/>
        <v>667.06484011223279</v>
      </c>
      <c r="X19" s="3">
        <f t="shared" si="14"/>
        <v>5.4444444444444441E-2</v>
      </c>
      <c r="Y19" s="3">
        <f t="shared" si="15"/>
        <v>5.4444444444444455E-2</v>
      </c>
      <c r="Z19" s="3">
        <f t="shared" si="22"/>
        <v>5.1882820897618114</v>
      </c>
      <c r="AK19">
        <f t="shared" si="24"/>
        <v>7</v>
      </c>
      <c r="AL19" s="3">
        <f t="shared" si="16"/>
        <v>12857.142857142855</v>
      </c>
      <c r="AM19" s="3">
        <f t="shared" si="16"/>
        <v>25714.28571428571</v>
      </c>
      <c r="AN19" s="3">
        <f t="shared" si="16"/>
        <v>38571.428571428565</v>
      </c>
      <c r="AO19" s="3">
        <f t="shared" si="16"/>
        <v>51428.57142857142</v>
      </c>
      <c r="AP19" s="3">
        <f t="shared" si="16"/>
        <v>64285.714285714275</v>
      </c>
      <c r="AQ19" s="3">
        <f t="shared" si="16"/>
        <v>77142.85714285713</v>
      </c>
      <c r="AR19" s="3">
        <f t="shared" si="16"/>
        <v>89999.999999999985</v>
      </c>
      <c r="AS19" s="3">
        <f t="shared" si="16"/>
        <v>102857.14285714284</v>
      </c>
      <c r="AT19" s="3">
        <f t="shared" si="16"/>
        <v>115714.28571428568</v>
      </c>
      <c r="AU19" s="3">
        <f t="shared" si="16"/>
        <v>128571.42857142855</v>
      </c>
      <c r="AV19" s="3">
        <f t="shared" si="17"/>
        <v>141428.57142857142</v>
      </c>
      <c r="AW19" s="3">
        <f t="shared" si="17"/>
        <v>154285.71428571426</v>
      </c>
      <c r="AX19" s="3">
        <f t="shared" si="17"/>
        <v>167142.8571428571</v>
      </c>
      <c r="AY19" s="3">
        <f t="shared" si="17"/>
        <v>179999.99999999997</v>
      </c>
      <c r="AZ19" s="3">
        <f t="shared" si="17"/>
        <v>192857.14285714281</v>
      </c>
      <c r="BA19" s="3">
        <f t="shared" si="17"/>
        <v>205714.28571428568</v>
      </c>
      <c r="BB19" s="3">
        <f t="shared" si="17"/>
        <v>218571.42857142852</v>
      </c>
      <c r="BC19" s="3">
        <f t="shared" si="17"/>
        <v>231428.57142857136</v>
      </c>
      <c r="BD19" s="3">
        <f t="shared" si="17"/>
        <v>244285.71428571423</v>
      </c>
      <c r="BE19" s="3">
        <f t="shared" si="17"/>
        <v>257142.8571428571</v>
      </c>
    </row>
    <row r="20" spans="1:57" x14ac:dyDescent="0.45">
      <c r="A20">
        <f t="shared" si="23"/>
        <v>8</v>
      </c>
      <c r="B20" s="3">
        <f t="shared" si="1"/>
        <v>14062.5</v>
      </c>
      <c r="C20" s="3">
        <f t="shared" si="2"/>
        <v>112500</v>
      </c>
      <c r="D20" s="3">
        <f t="shared" si="3"/>
        <v>1185.6011746240176</v>
      </c>
      <c r="E20" s="3">
        <f t="shared" si="4"/>
        <v>7.1111111111111111E-2</v>
      </c>
      <c r="F20" s="3"/>
      <c r="G20" s="3">
        <f t="shared" si="5"/>
        <v>87126.836259556934</v>
      </c>
      <c r="H20" s="3">
        <f t="shared" si="6"/>
        <v>11250000</v>
      </c>
      <c r="I20" s="3">
        <f t="shared" si="18"/>
        <v>11250084.345079336</v>
      </c>
      <c r="J20" s="3">
        <f t="shared" si="7"/>
        <v>7.1110044834692104E-2</v>
      </c>
      <c r="K20" s="3">
        <f t="shared" si="19"/>
        <v>999.98500548785773</v>
      </c>
      <c r="L20" s="3">
        <f t="shared" si="8"/>
        <v>999.98500548785773</v>
      </c>
      <c r="O20" s="9">
        <f t="shared" si="9"/>
        <v>0.99998500554505731</v>
      </c>
      <c r="P20" s="9">
        <f t="shared" si="20"/>
        <v>1.499467977983393E-5</v>
      </c>
      <c r="Q20" s="3">
        <f t="shared" si="10"/>
        <v>14062.710862684404</v>
      </c>
      <c r="R20" s="3">
        <f t="shared" si="11"/>
        <v>1000.0000003924654</v>
      </c>
      <c r="S20" s="3">
        <f t="shared" si="12"/>
        <v>1000.0000003924653</v>
      </c>
      <c r="T20" s="9"/>
      <c r="U20" s="3"/>
      <c r="V20" s="3">
        <f t="shared" si="13"/>
        <v>108.90854532444617</v>
      </c>
      <c r="W20" s="3">
        <f t="shared" si="21"/>
        <v>871.26836259556933</v>
      </c>
      <c r="X20" s="3">
        <f t="shared" si="14"/>
        <v>7.1111111111111125E-2</v>
      </c>
      <c r="Y20" s="3">
        <f t="shared" si="15"/>
        <v>7.1111111111111111E-2</v>
      </c>
      <c r="Z20" s="3">
        <f t="shared" si="22"/>
        <v>7.7446076675161715</v>
      </c>
      <c r="AK20">
        <f t="shared" si="24"/>
        <v>8</v>
      </c>
      <c r="AL20" s="3">
        <f t="shared" si="16"/>
        <v>11250</v>
      </c>
      <c r="AM20" s="3">
        <f t="shared" si="16"/>
        <v>22500</v>
      </c>
      <c r="AN20" s="3">
        <f t="shared" si="16"/>
        <v>33750</v>
      </c>
      <c r="AO20" s="3">
        <f t="shared" si="16"/>
        <v>45000</v>
      </c>
      <c r="AP20" s="3">
        <f t="shared" si="16"/>
        <v>56250</v>
      </c>
      <c r="AQ20" s="3">
        <f t="shared" si="16"/>
        <v>67500</v>
      </c>
      <c r="AR20" s="3">
        <f t="shared" si="16"/>
        <v>78750</v>
      </c>
      <c r="AS20" s="3">
        <f t="shared" si="16"/>
        <v>90000</v>
      </c>
      <c r="AT20" s="3">
        <f t="shared" si="16"/>
        <v>101250</v>
      </c>
      <c r="AU20" s="3">
        <f t="shared" si="16"/>
        <v>112500</v>
      </c>
      <c r="AV20" s="3">
        <f t="shared" si="17"/>
        <v>123750</v>
      </c>
      <c r="AW20" s="3">
        <f t="shared" si="17"/>
        <v>135000</v>
      </c>
      <c r="AX20" s="3">
        <f t="shared" si="17"/>
        <v>146250</v>
      </c>
      <c r="AY20" s="3">
        <f t="shared" si="17"/>
        <v>157500</v>
      </c>
      <c r="AZ20" s="3">
        <f t="shared" si="17"/>
        <v>168750</v>
      </c>
      <c r="BA20" s="3">
        <f t="shared" si="17"/>
        <v>180000</v>
      </c>
      <c r="BB20" s="3">
        <f t="shared" si="17"/>
        <v>191250</v>
      </c>
      <c r="BC20" s="3">
        <f t="shared" si="17"/>
        <v>202500</v>
      </c>
      <c r="BD20" s="3">
        <f t="shared" si="17"/>
        <v>213750</v>
      </c>
      <c r="BE20" s="3">
        <f t="shared" si="17"/>
        <v>225000</v>
      </c>
    </row>
    <row r="21" spans="1:57" x14ac:dyDescent="0.45">
      <c r="A21">
        <f>A20+1</f>
        <v>9</v>
      </c>
      <c r="B21" s="3">
        <f t="shared" si="1"/>
        <v>11111.111111111111</v>
      </c>
      <c r="C21" s="3">
        <f t="shared" si="2"/>
        <v>100000</v>
      </c>
      <c r="D21" s="3">
        <f t="shared" si="3"/>
        <v>740.1649765675927</v>
      </c>
      <c r="E21" s="3">
        <f t="shared" si="4"/>
        <v>0.09</v>
      </c>
      <c r="F21" s="3"/>
      <c r="G21" s="3">
        <f t="shared" si="5"/>
        <v>110269.90214100174</v>
      </c>
      <c r="H21" s="3">
        <f t="shared" si="6"/>
        <v>10000000</v>
      </c>
      <c r="I21" s="3">
        <f t="shared" si="18"/>
        <v>10000151.9919864</v>
      </c>
      <c r="J21" s="3">
        <f t="shared" si="7"/>
        <v>8.9997264206617772E-2</v>
      </c>
      <c r="K21" s="3">
        <f t="shared" si="19"/>
        <v>999.96960229575302</v>
      </c>
      <c r="L21" s="3">
        <f t="shared" si="8"/>
        <v>999.96960229575302</v>
      </c>
      <c r="O21" s="9">
        <f t="shared" si="9"/>
        <v>0.99996960235295163</v>
      </c>
      <c r="P21" s="9">
        <f t="shared" si="20"/>
        <v>3.0398571093437354E-5</v>
      </c>
      <c r="Q21" s="3">
        <f t="shared" si="10"/>
        <v>11111.44887301215</v>
      </c>
      <c r="R21" s="3">
        <f t="shared" si="11"/>
        <v>1000.0000017908091</v>
      </c>
      <c r="S21" s="3">
        <f t="shared" si="12"/>
        <v>1000.0000017908092</v>
      </c>
      <c r="T21" s="9"/>
      <c r="U21" s="3"/>
      <c r="V21" s="3">
        <f t="shared" si="13"/>
        <v>122.52211349000193</v>
      </c>
      <c r="W21" s="3">
        <f t="shared" si="21"/>
        <v>1102.6990214100174</v>
      </c>
      <c r="X21" s="3">
        <f t="shared" si="14"/>
        <v>8.9999999999999983E-2</v>
      </c>
      <c r="Y21" s="3">
        <f t="shared" si="15"/>
        <v>0.09</v>
      </c>
      <c r="Z21" s="3">
        <f t="shared" si="22"/>
        <v>11.026990214100174</v>
      </c>
      <c r="AK21">
        <f t="shared" si="24"/>
        <v>9</v>
      </c>
      <c r="AL21" s="3">
        <f t="shared" si="16"/>
        <v>10000</v>
      </c>
      <c r="AM21" s="3">
        <f t="shared" si="16"/>
        <v>20000</v>
      </c>
      <c r="AN21" s="3">
        <f t="shared" si="16"/>
        <v>30000</v>
      </c>
      <c r="AO21" s="3">
        <f t="shared" si="16"/>
        <v>40000</v>
      </c>
      <c r="AP21" s="3">
        <f t="shared" si="16"/>
        <v>50000</v>
      </c>
      <c r="AQ21" s="3">
        <f t="shared" si="16"/>
        <v>60000</v>
      </c>
      <c r="AR21" s="3">
        <f t="shared" si="16"/>
        <v>70000</v>
      </c>
      <c r="AS21" s="3">
        <f t="shared" si="16"/>
        <v>80000</v>
      </c>
      <c r="AT21" s="3">
        <f t="shared" si="16"/>
        <v>90000</v>
      </c>
      <c r="AU21" s="3">
        <f t="shared" si="16"/>
        <v>100000</v>
      </c>
      <c r="AV21" s="3">
        <f t="shared" si="17"/>
        <v>110000</v>
      </c>
      <c r="AW21" s="3">
        <f t="shared" si="17"/>
        <v>120000</v>
      </c>
      <c r="AX21" s="3">
        <f t="shared" si="17"/>
        <v>130000</v>
      </c>
      <c r="AY21" s="3">
        <f t="shared" si="17"/>
        <v>140000</v>
      </c>
      <c r="AZ21" s="3">
        <f t="shared" si="17"/>
        <v>150000</v>
      </c>
      <c r="BA21" s="3">
        <f t="shared" si="17"/>
        <v>160000</v>
      </c>
      <c r="BB21" s="3">
        <f t="shared" si="17"/>
        <v>170000</v>
      </c>
      <c r="BC21" s="3">
        <f t="shared" si="17"/>
        <v>180000</v>
      </c>
      <c r="BD21" s="3">
        <f t="shared" si="17"/>
        <v>190000.00000000003</v>
      </c>
      <c r="BE21" s="3">
        <f t="shared" si="17"/>
        <v>200000</v>
      </c>
    </row>
    <row r="22" spans="1:57" x14ac:dyDescent="0.45">
      <c r="A22">
        <f>A21+1</f>
        <v>10</v>
      </c>
      <c r="B22" s="3">
        <f t="shared" si="1"/>
        <v>9000</v>
      </c>
      <c r="C22" s="3">
        <f t="shared" si="2"/>
        <v>90000</v>
      </c>
      <c r="D22" s="3">
        <f t="shared" si="3"/>
        <v>485.62224112599762</v>
      </c>
      <c r="E22" s="3">
        <f t="shared" si="4"/>
        <v>0.1111111111111111</v>
      </c>
      <c r="F22" s="3"/>
      <c r="G22" s="3">
        <f t="shared" si="5"/>
        <v>136135.68165555771</v>
      </c>
      <c r="H22" s="3">
        <f t="shared" si="6"/>
        <v>9000000</v>
      </c>
      <c r="I22" s="3">
        <f t="shared" si="18"/>
        <v>9000257.3980389554</v>
      </c>
      <c r="J22" s="3">
        <f t="shared" si="7"/>
        <v>0.11110475587661518</v>
      </c>
      <c r="K22" s="3">
        <f t="shared" si="19"/>
        <v>999.94280288953667</v>
      </c>
      <c r="L22" s="3">
        <f t="shared" ref="L22:L85" si="25">IMPROVED_MBPS*IMPROVED_KM^2*B22^3*A22^2/((A22*PI()*AVG_SUN_DIST)^2+(DIST_RINGS_EM*B22)^2)</f>
        <v>999.94280288953655</v>
      </c>
      <c r="O22" s="9">
        <f t="shared" si="9"/>
        <v>0.99994280294673377</v>
      </c>
      <c r="P22" s="9">
        <f t="shared" si="20"/>
        <v>5.7200324956374615E-5</v>
      </c>
      <c r="Q22" s="3">
        <f t="shared" si="10"/>
        <v>9000.5148029246066</v>
      </c>
      <c r="R22" s="3">
        <f t="shared" si="11"/>
        <v>1000.0000064856249</v>
      </c>
      <c r="S22" s="3">
        <f t="shared" si="12"/>
        <v>1000.0000064856249</v>
      </c>
      <c r="T22" s="9"/>
      <c r="U22" s="3"/>
      <c r="V22" s="3">
        <f t="shared" si="13"/>
        <v>136.1356816555577</v>
      </c>
      <c r="W22" s="3">
        <f t="shared" si="21"/>
        <v>1361.3568165555771</v>
      </c>
      <c r="X22" s="3">
        <f t="shared" si="14"/>
        <v>0.1111111111111111</v>
      </c>
      <c r="Y22" s="3">
        <f t="shared" si="15"/>
        <v>0.1111111111111111</v>
      </c>
      <c r="Z22" s="3">
        <f t="shared" si="22"/>
        <v>15.126186850617522</v>
      </c>
      <c r="AK22">
        <f t="shared" si="24"/>
        <v>10</v>
      </c>
      <c r="AL22" s="3">
        <f t="shared" si="16"/>
        <v>9000</v>
      </c>
      <c r="AM22" s="3">
        <f t="shared" si="16"/>
        <v>18000</v>
      </c>
      <c r="AN22" s="3">
        <f t="shared" si="16"/>
        <v>27000</v>
      </c>
      <c r="AO22" s="3">
        <f t="shared" si="16"/>
        <v>36000</v>
      </c>
      <c r="AP22" s="3">
        <f t="shared" si="16"/>
        <v>45000</v>
      </c>
      <c r="AQ22" s="3">
        <f t="shared" si="16"/>
        <v>54000</v>
      </c>
      <c r="AR22" s="3">
        <f t="shared" si="16"/>
        <v>63000</v>
      </c>
      <c r="AS22" s="3">
        <f t="shared" si="16"/>
        <v>72000</v>
      </c>
      <c r="AT22" s="3">
        <f t="shared" si="16"/>
        <v>81000</v>
      </c>
      <c r="AU22" s="3">
        <f t="shared" si="16"/>
        <v>90000</v>
      </c>
      <c r="AV22" s="3">
        <f t="shared" si="17"/>
        <v>99000</v>
      </c>
      <c r="AW22" s="3">
        <f t="shared" si="17"/>
        <v>108000</v>
      </c>
      <c r="AX22" s="3">
        <f t="shared" si="17"/>
        <v>117000</v>
      </c>
      <c r="AY22" s="3">
        <f t="shared" si="17"/>
        <v>126000</v>
      </c>
      <c r="AZ22" s="3">
        <f t="shared" si="17"/>
        <v>135000</v>
      </c>
      <c r="BA22" s="3">
        <f t="shared" si="17"/>
        <v>144000</v>
      </c>
      <c r="BB22" s="3">
        <f t="shared" si="17"/>
        <v>153000</v>
      </c>
      <c r="BC22" s="3">
        <f t="shared" si="17"/>
        <v>162000</v>
      </c>
      <c r="BD22" s="3">
        <f t="shared" si="17"/>
        <v>171000</v>
      </c>
      <c r="BE22" s="3">
        <f t="shared" si="17"/>
        <v>180000</v>
      </c>
    </row>
    <row r="23" spans="1:57" x14ac:dyDescent="0.45">
      <c r="A23">
        <f>A22+1</f>
        <v>11</v>
      </c>
      <c r="B23" s="3">
        <f t="shared" si="1"/>
        <v>7438.0165289256202</v>
      </c>
      <c r="C23" s="3">
        <f t="shared" si="2"/>
        <v>81818.181818181823</v>
      </c>
      <c r="D23" s="3">
        <f t="shared" si="3"/>
        <v>331.68652491359722</v>
      </c>
      <c r="E23" s="3">
        <f t="shared" si="4"/>
        <v>0.13444444444444445</v>
      </c>
      <c r="F23" s="3"/>
      <c r="G23" s="3">
        <f t="shared" si="5"/>
        <v>164724.17480322483</v>
      </c>
      <c r="H23" s="3">
        <f t="shared" si="6"/>
        <v>8181818.1818181816</v>
      </c>
      <c r="I23" s="3">
        <f t="shared" si="18"/>
        <v>8182232.7193603907</v>
      </c>
      <c r="J23" s="3">
        <f t="shared" si="7"/>
        <v>0.13443082203606535</v>
      </c>
      <c r="K23" s="3">
        <f t="shared" si="19"/>
        <v>999.89867630131255</v>
      </c>
      <c r="L23" s="3">
        <f t="shared" si="25"/>
        <v>999.89867630131278</v>
      </c>
      <c r="O23" s="9">
        <f t="shared" si="9"/>
        <v>0.99989867635850715</v>
      </c>
      <c r="P23" s="9">
        <f t="shared" si="20"/>
        <v>1.0133390901345685E-4</v>
      </c>
      <c r="Q23" s="3">
        <f t="shared" si="10"/>
        <v>7438.7702522158033</v>
      </c>
      <c r="R23" s="3">
        <f t="shared" si="11"/>
        <v>1000.0000204747322</v>
      </c>
      <c r="S23" s="3">
        <f t="shared" si="12"/>
        <v>1000.0000204747324</v>
      </c>
      <c r="T23" s="9"/>
      <c r="U23" s="3"/>
      <c r="V23" s="3">
        <f t="shared" si="13"/>
        <v>149.74924982111349</v>
      </c>
      <c r="W23" s="3">
        <f t="shared" si="21"/>
        <v>1647.2417480322483</v>
      </c>
      <c r="X23" s="3">
        <f t="shared" si="14"/>
        <v>0.13444444444444448</v>
      </c>
      <c r="Y23" s="3">
        <f t="shared" si="15"/>
        <v>0.13444444444444445</v>
      </c>
      <c r="Z23" s="3">
        <f t="shared" si="22"/>
        <v>20.132954698171925</v>
      </c>
      <c r="AA23" t="s">
        <v>31</v>
      </c>
      <c r="AK23">
        <f t="shared" si="24"/>
        <v>11</v>
      </c>
      <c r="AL23" s="3">
        <f t="shared" ref="AL23:AU32" si="26">AL$12/(IMPROVED_MBPS*IMPROVED_KM^2/(DIST_RINGS_EM/$AK23)^2)*$AK23</f>
        <v>8181.8181818181811</v>
      </c>
      <c r="AM23" s="3">
        <f t="shared" si="26"/>
        <v>16363.636363636362</v>
      </c>
      <c r="AN23" s="3">
        <f t="shared" si="26"/>
        <v>24545.454545454544</v>
      </c>
      <c r="AO23" s="3">
        <f t="shared" si="26"/>
        <v>32727.272727272724</v>
      </c>
      <c r="AP23" s="3">
        <f t="shared" si="26"/>
        <v>40909.090909090904</v>
      </c>
      <c r="AQ23" s="3">
        <f t="shared" si="26"/>
        <v>49090.909090909088</v>
      </c>
      <c r="AR23" s="3">
        <f t="shared" si="26"/>
        <v>57272.727272727272</v>
      </c>
      <c r="AS23" s="3">
        <f t="shared" si="26"/>
        <v>65454.545454545449</v>
      </c>
      <c r="AT23" s="3">
        <f t="shared" si="26"/>
        <v>73636.363636363632</v>
      </c>
      <c r="AU23" s="3">
        <f t="shared" si="26"/>
        <v>81818.181818181809</v>
      </c>
      <c r="AV23" s="3">
        <f t="shared" ref="AV23:BE32" si="27">AV$12/(IMPROVED_MBPS*IMPROVED_KM^2/(DIST_RINGS_EM/$AK23)^2)*$AK23</f>
        <v>89999.999999999985</v>
      </c>
      <c r="AW23" s="3">
        <f t="shared" si="27"/>
        <v>98181.818181818177</v>
      </c>
      <c r="AX23" s="3">
        <f t="shared" si="27"/>
        <v>106363.63636363637</v>
      </c>
      <c r="AY23" s="3">
        <f t="shared" si="27"/>
        <v>114545.45454545454</v>
      </c>
      <c r="AZ23" s="3">
        <f t="shared" si="27"/>
        <v>122727.27272727272</v>
      </c>
      <c r="BA23" s="3">
        <f t="shared" si="27"/>
        <v>130909.0909090909</v>
      </c>
      <c r="BB23" s="3">
        <f t="shared" si="27"/>
        <v>139090.90909090909</v>
      </c>
      <c r="BC23" s="3">
        <f t="shared" si="27"/>
        <v>147272.72727272726</v>
      </c>
      <c r="BD23" s="3">
        <f t="shared" si="27"/>
        <v>155454.54545454544</v>
      </c>
      <c r="BE23" s="3">
        <f t="shared" si="27"/>
        <v>163636.36363636362</v>
      </c>
    </row>
    <row r="24" spans="1:57" x14ac:dyDescent="0.45">
      <c r="A24">
        <f>A23+1</f>
        <v>12</v>
      </c>
      <c r="B24" s="3">
        <f t="shared" si="1"/>
        <v>6250</v>
      </c>
      <c r="C24" s="3">
        <f t="shared" si="2"/>
        <v>75000</v>
      </c>
      <c r="D24" s="3">
        <f t="shared" si="3"/>
        <v>234.19282461708988</v>
      </c>
      <c r="E24" s="3">
        <f t="shared" si="4"/>
        <v>0.16</v>
      </c>
      <c r="F24" s="3"/>
      <c r="G24" s="3">
        <f t="shared" si="5"/>
        <v>196035.3815840031</v>
      </c>
      <c r="H24" s="3">
        <f t="shared" si="6"/>
        <v>7500000</v>
      </c>
      <c r="I24" s="3">
        <f t="shared" si="18"/>
        <v>7500640.4705003826</v>
      </c>
      <c r="J24" s="3">
        <f t="shared" si="7"/>
        <v>0.15997267675864615</v>
      </c>
      <c r="K24" s="3">
        <f t="shared" si="19"/>
        <v>999.82922974153848</v>
      </c>
      <c r="L24" s="3">
        <f t="shared" si="25"/>
        <v>999.8292297415386</v>
      </c>
      <c r="O24" s="9">
        <f t="shared" si="9"/>
        <v>0.99982922979872912</v>
      </c>
      <c r="P24" s="9">
        <f t="shared" si="20"/>
        <v>1.7079936871344792E-4</v>
      </c>
      <c r="Q24" s="3">
        <f t="shared" si="10"/>
        <v>6251.0674960544593</v>
      </c>
      <c r="R24" s="3">
        <f t="shared" si="11"/>
        <v>1000.0000582627659</v>
      </c>
      <c r="S24" s="3">
        <f t="shared" si="12"/>
        <v>1000.0000582627658</v>
      </c>
      <c r="T24" s="9"/>
      <c r="U24" s="3"/>
      <c r="V24" s="3">
        <f t="shared" si="13"/>
        <v>163.36281798666926</v>
      </c>
      <c r="W24" s="3">
        <f t="shared" si="21"/>
        <v>1960.3538158400311</v>
      </c>
      <c r="X24" s="3">
        <f t="shared" si="14"/>
        <v>0.16000000000000003</v>
      </c>
      <c r="Y24" s="3">
        <f t="shared" si="15"/>
        <v>0.16</v>
      </c>
      <c r="Z24" s="3">
        <f t="shared" si="22"/>
        <v>26.13805087786708</v>
      </c>
      <c r="AA24">
        <f>Z24/(IMPROVED_MBPS*IMPROVED_KM^2/(DIST_RINGS_EM/A24)^2)</f>
        <v>163.36281798666926</v>
      </c>
      <c r="AK24">
        <f t="shared" si="24"/>
        <v>12</v>
      </c>
      <c r="AL24" s="3">
        <f t="shared" si="26"/>
        <v>7500</v>
      </c>
      <c r="AM24" s="3">
        <f t="shared" si="26"/>
        <v>15000</v>
      </c>
      <c r="AN24" s="3">
        <f t="shared" si="26"/>
        <v>22500</v>
      </c>
      <c r="AO24" s="3">
        <f t="shared" si="26"/>
        <v>30000</v>
      </c>
      <c r="AP24" s="3">
        <f t="shared" si="26"/>
        <v>37500</v>
      </c>
      <c r="AQ24" s="3">
        <f t="shared" si="26"/>
        <v>45000</v>
      </c>
      <c r="AR24" s="3">
        <f t="shared" si="26"/>
        <v>52500</v>
      </c>
      <c r="AS24" s="3">
        <f t="shared" si="26"/>
        <v>60000</v>
      </c>
      <c r="AT24" s="3">
        <f t="shared" si="26"/>
        <v>67500</v>
      </c>
      <c r="AU24" s="3">
        <f t="shared" si="26"/>
        <v>75000</v>
      </c>
      <c r="AV24" s="3">
        <f t="shared" si="27"/>
        <v>82500</v>
      </c>
      <c r="AW24" s="3">
        <f t="shared" si="27"/>
        <v>90000</v>
      </c>
      <c r="AX24" s="3">
        <f t="shared" si="27"/>
        <v>97500</v>
      </c>
      <c r="AY24" s="3">
        <f t="shared" si="27"/>
        <v>105000</v>
      </c>
      <c r="AZ24" s="3">
        <f t="shared" si="27"/>
        <v>112500</v>
      </c>
      <c r="BA24" s="3">
        <f t="shared" si="27"/>
        <v>120000</v>
      </c>
      <c r="BB24" s="3">
        <f t="shared" si="27"/>
        <v>127500</v>
      </c>
      <c r="BC24" s="3">
        <f t="shared" si="27"/>
        <v>135000</v>
      </c>
      <c r="BD24" s="3">
        <f t="shared" si="27"/>
        <v>142500</v>
      </c>
      <c r="BE24" s="3">
        <f t="shared" si="27"/>
        <v>150000</v>
      </c>
    </row>
    <row r="25" spans="1:57" x14ac:dyDescent="0.45">
      <c r="A25">
        <f>A24+1</f>
        <v>13</v>
      </c>
      <c r="B25" s="3">
        <f t="shared" si="1"/>
        <v>5325.4437869822486</v>
      </c>
      <c r="C25" s="3">
        <f t="shared" si="2"/>
        <v>69230.769230769234</v>
      </c>
      <c r="D25" s="3">
        <f t="shared" si="3"/>
        <v>170.02984528762914</v>
      </c>
      <c r="E25" s="3">
        <f t="shared" si="4"/>
        <v>0.18777777777777779</v>
      </c>
      <c r="F25" s="3"/>
      <c r="G25" s="3">
        <f t="shared" si="5"/>
        <v>230069.30199789253</v>
      </c>
      <c r="H25" s="3">
        <f t="shared" si="6"/>
        <v>6923076.923076923</v>
      </c>
      <c r="I25" s="3">
        <f t="shared" si="18"/>
        <v>6924032.5716861477</v>
      </c>
      <c r="J25" s="3">
        <f t="shared" si="7"/>
        <v>0.18772594752233446</v>
      </c>
      <c r="K25" s="3">
        <f t="shared" si="19"/>
        <v>999.7239808881717</v>
      </c>
      <c r="L25" s="3">
        <f t="shared" si="25"/>
        <v>999.72398088817158</v>
      </c>
      <c r="O25" s="9">
        <f t="shared" si="9"/>
        <v>0.99972398094535631</v>
      </c>
      <c r="P25" s="9">
        <f t="shared" si="20"/>
        <v>2.7609526219696257E-4</v>
      </c>
      <c r="Q25" s="3">
        <f t="shared" si="10"/>
        <v>5326.9141167809303</v>
      </c>
      <c r="R25" s="3">
        <f t="shared" si="11"/>
        <v>1000.0001522948627</v>
      </c>
      <c r="S25" s="3">
        <f t="shared" si="12"/>
        <v>1000.0001522948623</v>
      </c>
      <c r="T25" s="9"/>
      <c r="U25" s="3"/>
      <c r="V25" s="3">
        <f t="shared" si="13"/>
        <v>176.97638615222502</v>
      </c>
      <c r="W25" s="3">
        <f t="shared" si="21"/>
        <v>2300.6930199789253</v>
      </c>
      <c r="X25" s="3">
        <f t="shared" si="14"/>
        <v>0.18777777777777779</v>
      </c>
      <c r="Y25" s="3">
        <f t="shared" si="15"/>
        <v>0.18777777777777779</v>
      </c>
      <c r="Z25" s="3">
        <f t="shared" si="22"/>
        <v>33.232232510806703</v>
      </c>
      <c r="AK25">
        <f t="shared" si="24"/>
        <v>13</v>
      </c>
      <c r="AL25" s="3">
        <f t="shared" si="26"/>
        <v>6923.0769230769229</v>
      </c>
      <c r="AM25" s="3">
        <f t="shared" si="26"/>
        <v>13846.153846153846</v>
      </c>
      <c r="AN25" s="3">
        <f t="shared" si="26"/>
        <v>20769.23076923077</v>
      </c>
      <c r="AO25" s="3">
        <f t="shared" si="26"/>
        <v>27692.307692307691</v>
      </c>
      <c r="AP25" s="3">
        <f t="shared" si="26"/>
        <v>34615.38461538461</v>
      </c>
      <c r="AQ25" s="3">
        <f t="shared" si="26"/>
        <v>41538.461538461539</v>
      </c>
      <c r="AR25" s="3">
        <f t="shared" si="26"/>
        <v>48461.538461538454</v>
      </c>
      <c r="AS25" s="3">
        <f t="shared" si="26"/>
        <v>55384.615384615383</v>
      </c>
      <c r="AT25" s="3">
        <f t="shared" si="26"/>
        <v>62307.692307692305</v>
      </c>
      <c r="AU25" s="3">
        <f t="shared" si="26"/>
        <v>69230.76923076922</v>
      </c>
      <c r="AV25" s="3">
        <f t="shared" si="27"/>
        <v>76153.846153846142</v>
      </c>
      <c r="AW25" s="3">
        <f t="shared" si="27"/>
        <v>83076.923076923078</v>
      </c>
      <c r="AX25" s="3">
        <f t="shared" si="27"/>
        <v>90000</v>
      </c>
      <c r="AY25" s="3">
        <f t="shared" si="27"/>
        <v>96923.076923076907</v>
      </c>
      <c r="AZ25" s="3">
        <f t="shared" si="27"/>
        <v>103846.15384615384</v>
      </c>
      <c r="BA25" s="3">
        <f t="shared" si="27"/>
        <v>110769.23076923077</v>
      </c>
      <c r="BB25" s="3">
        <f t="shared" si="27"/>
        <v>117692.30769230769</v>
      </c>
      <c r="BC25" s="3">
        <f t="shared" si="27"/>
        <v>124615.38461538461</v>
      </c>
      <c r="BD25" s="3">
        <f t="shared" si="27"/>
        <v>131538.46153846153</v>
      </c>
      <c r="BE25" s="3">
        <f t="shared" si="27"/>
        <v>138461.53846153844</v>
      </c>
    </row>
    <row r="26" spans="1:57" x14ac:dyDescent="0.45">
      <c r="A26">
        <f t="shared" ref="A26:A33" si="28">A25+1</f>
        <v>14</v>
      </c>
      <c r="B26" s="3">
        <f t="shared" si="1"/>
        <v>4591.8367346938776</v>
      </c>
      <c r="C26" s="3">
        <f t="shared" ref="C26:C33" si="29">B26*A26</f>
        <v>64285.71428571429</v>
      </c>
      <c r="D26" s="3">
        <f t="shared" si="3"/>
        <v>126.41145385412267</v>
      </c>
      <c r="E26" s="3">
        <f t="shared" si="4"/>
        <v>0.21777777777777782</v>
      </c>
      <c r="F26" s="3"/>
      <c r="G26" s="3">
        <f t="shared" si="5"/>
        <v>266825.93604489311</v>
      </c>
      <c r="H26" s="3">
        <f t="shared" si="6"/>
        <v>6428571.4285714282</v>
      </c>
      <c r="I26" s="3">
        <f t="shared" si="18"/>
        <v>6429955.6477693878</v>
      </c>
      <c r="J26" s="3">
        <f t="shared" si="7"/>
        <v>0.21768402293727954</v>
      </c>
      <c r="K26" s="3">
        <f t="shared" si="19"/>
        <v>999.56949307934485</v>
      </c>
      <c r="L26" s="3">
        <f t="shared" si="25"/>
        <v>999.56949307934485</v>
      </c>
      <c r="O26" s="9">
        <f t="shared" si="9"/>
        <v>0.99956949313652066</v>
      </c>
      <c r="P26" s="9">
        <f t="shared" si="20"/>
        <v>4.3069227946168631E-4</v>
      </c>
      <c r="Q26" s="3">
        <f t="shared" si="10"/>
        <v>4593.8144033240587</v>
      </c>
      <c r="R26" s="3">
        <f t="shared" si="11"/>
        <v>1000.0003705355165</v>
      </c>
      <c r="S26" s="3">
        <f t="shared" si="12"/>
        <v>1000.0003705355167</v>
      </c>
      <c r="T26" s="9"/>
      <c r="U26" s="3"/>
      <c r="V26" s="3">
        <f t="shared" si="13"/>
        <v>190.58995431778078</v>
      </c>
      <c r="W26" s="3">
        <f t="shared" si="21"/>
        <v>2668.2593604489311</v>
      </c>
      <c r="X26" s="3">
        <f t="shared" si="14"/>
        <v>0.21777777777777776</v>
      </c>
      <c r="Y26" s="3">
        <f t="shared" si="15"/>
        <v>0.21777777777777782</v>
      </c>
      <c r="Z26" s="3">
        <f t="shared" si="22"/>
        <v>41.506256718094491</v>
      </c>
      <c r="AK26">
        <f t="shared" si="24"/>
        <v>14</v>
      </c>
      <c r="AL26" s="3">
        <f t="shared" si="26"/>
        <v>6428.5714285714275</v>
      </c>
      <c r="AM26" s="3">
        <f t="shared" si="26"/>
        <v>12857.142857142855</v>
      </c>
      <c r="AN26" s="3">
        <f t="shared" si="26"/>
        <v>19285.714285714283</v>
      </c>
      <c r="AO26" s="3">
        <f t="shared" si="26"/>
        <v>25714.28571428571</v>
      </c>
      <c r="AP26" s="3">
        <f t="shared" si="26"/>
        <v>32142.857142857138</v>
      </c>
      <c r="AQ26" s="3">
        <f t="shared" si="26"/>
        <v>38571.428571428565</v>
      </c>
      <c r="AR26" s="3">
        <f t="shared" si="26"/>
        <v>44999.999999999993</v>
      </c>
      <c r="AS26" s="3">
        <f t="shared" si="26"/>
        <v>51428.57142857142</v>
      </c>
      <c r="AT26" s="3">
        <f t="shared" si="26"/>
        <v>57857.142857142841</v>
      </c>
      <c r="AU26" s="3">
        <f t="shared" si="26"/>
        <v>64285.714285714275</v>
      </c>
      <c r="AV26" s="3">
        <f t="shared" si="27"/>
        <v>70714.28571428571</v>
      </c>
      <c r="AW26" s="3">
        <f t="shared" si="27"/>
        <v>77142.85714285713</v>
      </c>
      <c r="AX26" s="3">
        <f t="shared" si="27"/>
        <v>83571.428571428551</v>
      </c>
      <c r="AY26" s="3">
        <f t="shared" si="27"/>
        <v>89999.999999999985</v>
      </c>
      <c r="AZ26" s="3">
        <f t="shared" si="27"/>
        <v>96428.571428571406</v>
      </c>
      <c r="BA26" s="3">
        <f t="shared" si="27"/>
        <v>102857.14285714284</v>
      </c>
      <c r="BB26" s="3">
        <f t="shared" si="27"/>
        <v>109285.71428571426</v>
      </c>
      <c r="BC26" s="3">
        <f t="shared" si="27"/>
        <v>115714.28571428568</v>
      </c>
      <c r="BD26" s="3">
        <f t="shared" si="27"/>
        <v>122142.85714285712</v>
      </c>
      <c r="BE26" s="3">
        <f t="shared" si="27"/>
        <v>128571.42857142855</v>
      </c>
    </row>
    <row r="27" spans="1:57" x14ac:dyDescent="0.45">
      <c r="A27">
        <f t="shared" si="28"/>
        <v>15</v>
      </c>
      <c r="B27" s="3">
        <f t="shared" si="1"/>
        <v>4000</v>
      </c>
      <c r="C27" s="3">
        <f t="shared" si="29"/>
        <v>60000</v>
      </c>
      <c r="D27" s="3">
        <f t="shared" si="3"/>
        <v>95.925380963160023</v>
      </c>
      <c r="E27" s="3">
        <f t="shared" si="4"/>
        <v>0.25</v>
      </c>
      <c r="F27" s="3"/>
      <c r="G27" s="3">
        <f t="shared" si="5"/>
        <v>306305.28372500488</v>
      </c>
      <c r="H27" s="3">
        <f t="shared" si="6"/>
        <v>6000000</v>
      </c>
      <c r="I27" s="3">
        <f t="shared" si="18"/>
        <v>6001954.3260266036</v>
      </c>
      <c r="J27" s="3">
        <f t="shared" si="7"/>
        <v>0.24983721903386955</v>
      </c>
      <c r="K27" s="3">
        <f t="shared" si="19"/>
        <v>999.34887613547824</v>
      </c>
      <c r="L27" s="3">
        <f t="shared" si="25"/>
        <v>999.34887613547812</v>
      </c>
      <c r="O27" s="9">
        <f t="shared" si="9"/>
        <v>0.99934887619264134</v>
      </c>
      <c r="P27" s="9">
        <f t="shared" si="20"/>
        <v>6.5154804580291881E-4</v>
      </c>
      <c r="Q27" s="3">
        <f t="shared" si="10"/>
        <v>4002.6061921832115</v>
      </c>
      <c r="R27" s="3">
        <f t="shared" si="11"/>
        <v>1000.0008475919655</v>
      </c>
      <c r="S27" s="3">
        <f t="shared" si="12"/>
        <v>1000.0008475919657</v>
      </c>
      <c r="T27" s="9"/>
      <c r="U27" s="3"/>
      <c r="V27" s="3">
        <f t="shared" si="13"/>
        <v>204.20352248333654</v>
      </c>
      <c r="W27" s="3">
        <f t="shared" si="21"/>
        <v>3063.052837250048</v>
      </c>
      <c r="X27" s="3">
        <f t="shared" si="14"/>
        <v>0.25</v>
      </c>
      <c r="Y27" s="3">
        <f t="shared" si="15"/>
        <v>0.25</v>
      </c>
      <c r="Z27" s="3">
        <f t="shared" si="22"/>
        <v>51.050880620834135</v>
      </c>
      <c r="AK27">
        <f t="shared" si="24"/>
        <v>15</v>
      </c>
      <c r="AL27" s="3">
        <f t="shared" si="26"/>
        <v>6000</v>
      </c>
      <c r="AM27" s="3">
        <f t="shared" si="26"/>
        <v>12000</v>
      </c>
      <c r="AN27" s="3">
        <f t="shared" si="26"/>
        <v>18000</v>
      </c>
      <c r="AO27" s="3">
        <f t="shared" si="26"/>
        <v>24000</v>
      </c>
      <c r="AP27" s="3">
        <f t="shared" si="26"/>
        <v>30000</v>
      </c>
      <c r="AQ27" s="3">
        <f t="shared" si="26"/>
        <v>36000</v>
      </c>
      <c r="AR27" s="3">
        <f t="shared" si="26"/>
        <v>42000</v>
      </c>
      <c r="AS27" s="3">
        <f t="shared" si="26"/>
        <v>48000</v>
      </c>
      <c r="AT27" s="3">
        <f t="shared" si="26"/>
        <v>54000</v>
      </c>
      <c r="AU27" s="3">
        <f t="shared" si="26"/>
        <v>60000</v>
      </c>
      <c r="AV27" s="3">
        <f t="shared" si="27"/>
        <v>66000</v>
      </c>
      <c r="AW27" s="3">
        <f t="shared" si="27"/>
        <v>72000</v>
      </c>
      <c r="AX27" s="3">
        <f t="shared" si="27"/>
        <v>78000</v>
      </c>
      <c r="AY27" s="3">
        <f t="shared" si="27"/>
        <v>84000</v>
      </c>
      <c r="AZ27" s="3">
        <f t="shared" si="27"/>
        <v>90000</v>
      </c>
      <c r="BA27" s="3">
        <f t="shared" si="27"/>
        <v>96000</v>
      </c>
      <c r="BB27" s="3">
        <f t="shared" si="27"/>
        <v>102000</v>
      </c>
      <c r="BC27" s="3">
        <f t="shared" si="27"/>
        <v>108000</v>
      </c>
      <c r="BD27" s="3">
        <f t="shared" si="27"/>
        <v>114000</v>
      </c>
      <c r="BE27" s="3">
        <f t="shared" si="27"/>
        <v>120000</v>
      </c>
    </row>
    <row r="28" spans="1:57" x14ac:dyDescent="0.45">
      <c r="A28">
        <f t="shared" si="28"/>
        <v>16</v>
      </c>
      <c r="B28" s="3">
        <f t="shared" si="1"/>
        <v>3515.625</v>
      </c>
      <c r="C28" s="3">
        <f t="shared" si="29"/>
        <v>56250</v>
      </c>
      <c r="D28" s="3">
        <f t="shared" si="3"/>
        <v>74.100073414001102</v>
      </c>
      <c r="E28" s="3">
        <f t="shared" si="4"/>
        <v>0.28444444444444444</v>
      </c>
      <c r="F28" s="3"/>
      <c r="G28" s="3">
        <f t="shared" si="5"/>
        <v>348507.34503822774</v>
      </c>
      <c r="H28" s="3">
        <f t="shared" si="6"/>
        <v>5625000</v>
      </c>
      <c r="I28" s="3">
        <f t="shared" si="18"/>
        <v>5627698.4054217404</v>
      </c>
      <c r="J28" s="3">
        <f t="shared" si="7"/>
        <v>0.28417173529703993</v>
      </c>
      <c r="K28" s="3">
        <f t="shared" si="19"/>
        <v>999.04125690365595</v>
      </c>
      <c r="L28" s="3">
        <f t="shared" si="25"/>
        <v>999.04125690365606</v>
      </c>
      <c r="O28" s="9">
        <f t="shared" si="9"/>
        <v>0.99904125696080148</v>
      </c>
      <c r="P28" s="9">
        <f t="shared" si="20"/>
        <v>9.5966310952477762E-4</v>
      </c>
      <c r="Q28" s="3">
        <f t="shared" si="10"/>
        <v>3518.9988156194231</v>
      </c>
      <c r="R28" s="3">
        <f t="shared" si="11"/>
        <v>1000.0018374414507</v>
      </c>
      <c r="S28" s="3">
        <f t="shared" si="12"/>
        <v>1000.0018374414506</v>
      </c>
      <c r="T28" s="9"/>
      <c r="U28" s="3"/>
      <c r="V28" s="3">
        <f t="shared" si="13"/>
        <v>217.81709064889233</v>
      </c>
      <c r="W28" s="3">
        <f t="shared" si="21"/>
        <v>3485.0734503822773</v>
      </c>
      <c r="X28" s="3">
        <f t="shared" si="14"/>
        <v>0.2844444444444445</v>
      </c>
      <c r="Y28" s="3">
        <f t="shared" si="15"/>
        <v>0.28444444444444444</v>
      </c>
      <c r="Z28" s="3">
        <f t="shared" si="22"/>
        <v>61.956861340129372</v>
      </c>
      <c r="AB28" t="s">
        <v>15</v>
      </c>
      <c r="AD28" t="s">
        <v>10</v>
      </c>
      <c r="AK28">
        <f t="shared" si="24"/>
        <v>16</v>
      </c>
      <c r="AL28" s="3">
        <f t="shared" si="26"/>
        <v>5625</v>
      </c>
      <c r="AM28" s="3">
        <f t="shared" si="26"/>
        <v>11250</v>
      </c>
      <c r="AN28" s="3">
        <f t="shared" si="26"/>
        <v>16875</v>
      </c>
      <c r="AO28" s="3">
        <f t="shared" si="26"/>
        <v>22500</v>
      </c>
      <c r="AP28" s="3">
        <f t="shared" si="26"/>
        <v>28125</v>
      </c>
      <c r="AQ28" s="3">
        <f t="shared" si="26"/>
        <v>33750</v>
      </c>
      <c r="AR28" s="3">
        <f t="shared" si="26"/>
        <v>39375</v>
      </c>
      <c r="AS28" s="3">
        <f t="shared" si="26"/>
        <v>45000</v>
      </c>
      <c r="AT28" s="3">
        <f t="shared" si="26"/>
        <v>50625</v>
      </c>
      <c r="AU28" s="3">
        <f t="shared" si="26"/>
        <v>56250</v>
      </c>
      <c r="AV28" s="3">
        <f t="shared" si="27"/>
        <v>61875</v>
      </c>
      <c r="AW28" s="3">
        <f t="shared" si="27"/>
        <v>67500</v>
      </c>
      <c r="AX28" s="3">
        <f t="shared" si="27"/>
        <v>73125</v>
      </c>
      <c r="AY28" s="3">
        <f t="shared" si="27"/>
        <v>78750</v>
      </c>
      <c r="AZ28" s="3">
        <f t="shared" si="27"/>
        <v>84375</v>
      </c>
      <c r="BA28" s="3">
        <f t="shared" si="27"/>
        <v>90000</v>
      </c>
      <c r="BB28" s="3">
        <f t="shared" si="27"/>
        <v>95625</v>
      </c>
      <c r="BC28" s="3">
        <f t="shared" si="27"/>
        <v>101250</v>
      </c>
      <c r="BD28" s="3">
        <f t="shared" si="27"/>
        <v>106875</v>
      </c>
      <c r="BE28" s="3">
        <f t="shared" si="27"/>
        <v>112500</v>
      </c>
    </row>
    <row r="29" spans="1:57" x14ac:dyDescent="0.45">
      <c r="A29">
        <f t="shared" si="28"/>
        <v>17</v>
      </c>
      <c r="B29" s="3">
        <f t="shared" si="1"/>
        <v>3114.1868512110727</v>
      </c>
      <c r="C29" s="3">
        <f t="shared" si="29"/>
        <v>52941.176470588238</v>
      </c>
      <c r="D29" s="3">
        <f t="shared" si="3"/>
        <v>58.143729256833332</v>
      </c>
      <c r="E29" s="3">
        <f t="shared" si="4"/>
        <v>0.32111111111111118</v>
      </c>
      <c r="F29" s="3"/>
      <c r="G29" s="3">
        <f t="shared" si="5"/>
        <v>393432.11998456175</v>
      </c>
      <c r="H29" s="3">
        <f t="shared" si="6"/>
        <v>5294117.6470588231</v>
      </c>
      <c r="I29" s="3">
        <f t="shared" si="18"/>
        <v>5297771.1227608286</v>
      </c>
      <c r="J29" s="3">
        <f t="shared" si="7"/>
        <v>0.32066837129067205</v>
      </c>
      <c r="K29" s="3">
        <f t="shared" si="19"/>
        <v>998.62122547268109</v>
      </c>
      <c r="L29" s="3">
        <f t="shared" si="25"/>
        <v>998.62122547268109</v>
      </c>
      <c r="O29" s="9">
        <f t="shared" si="9"/>
        <v>0.99862122552980259</v>
      </c>
      <c r="P29" s="9">
        <f t="shared" si="20"/>
        <v>1.3806781139324986E-3</v>
      </c>
      <c r="Q29" s="3">
        <f t="shared" si="10"/>
        <v>3118.4865408392361</v>
      </c>
      <c r="R29" s="3">
        <f t="shared" si="11"/>
        <v>1000.0037993743952</v>
      </c>
      <c r="S29" s="3">
        <f t="shared" si="12"/>
        <v>1000.003799374395</v>
      </c>
      <c r="T29" s="9"/>
      <c r="U29" s="3"/>
      <c r="V29" s="3">
        <f t="shared" si="13"/>
        <v>231.43065881444812</v>
      </c>
      <c r="W29" s="3">
        <f t="shared" si="21"/>
        <v>3934.3211998456181</v>
      </c>
      <c r="X29" s="3">
        <f t="shared" si="14"/>
        <v>0.32111111111111118</v>
      </c>
      <c r="Y29" s="3">
        <f t="shared" si="15"/>
        <v>0.32111111111111118</v>
      </c>
      <c r="Z29" s="3">
        <f t="shared" si="22"/>
        <v>74.314955997083914</v>
      </c>
      <c r="AB29">
        <f>IMPROVED_MBPS*IMPROVED_KM^2/(DIST_RINGS_EM/A29)^2</f>
        <v>0.32111111111111118</v>
      </c>
      <c r="AD29">
        <f>Z29/(IMPROVED_MBPS*IMPROVED_KM^2/(DIST_RINGS_EM/A29)^2)</f>
        <v>231.43065881444812</v>
      </c>
      <c r="AK29">
        <f t="shared" si="24"/>
        <v>17</v>
      </c>
      <c r="AL29" s="3">
        <f t="shared" si="26"/>
        <v>5294.1176470588225</v>
      </c>
      <c r="AM29" s="3">
        <f t="shared" si="26"/>
        <v>10588.235294117645</v>
      </c>
      <c r="AN29" s="3">
        <f t="shared" si="26"/>
        <v>15882.352941176467</v>
      </c>
      <c r="AO29" s="3">
        <f t="shared" si="26"/>
        <v>21176.47058823529</v>
      </c>
      <c r="AP29" s="3">
        <f t="shared" si="26"/>
        <v>26470.588235294112</v>
      </c>
      <c r="AQ29" s="3">
        <f t="shared" si="26"/>
        <v>31764.705882352933</v>
      </c>
      <c r="AR29" s="3">
        <f t="shared" si="26"/>
        <v>37058.823529411755</v>
      </c>
      <c r="AS29" s="3">
        <f t="shared" si="26"/>
        <v>42352.94117647058</v>
      </c>
      <c r="AT29" s="3">
        <f t="shared" si="26"/>
        <v>47647.058823529398</v>
      </c>
      <c r="AU29" s="3">
        <f t="shared" si="26"/>
        <v>52941.176470588223</v>
      </c>
      <c r="AV29" s="3">
        <f t="shared" si="27"/>
        <v>58235.294117647049</v>
      </c>
      <c r="AW29" s="3">
        <f t="shared" si="27"/>
        <v>63529.411764705867</v>
      </c>
      <c r="AX29" s="3">
        <f t="shared" si="27"/>
        <v>68823.529411764684</v>
      </c>
      <c r="AY29" s="3">
        <f t="shared" si="27"/>
        <v>74117.64705882351</v>
      </c>
      <c r="AZ29" s="3">
        <f t="shared" si="27"/>
        <v>79411.76470588235</v>
      </c>
      <c r="BA29" s="3">
        <f t="shared" si="27"/>
        <v>84705.88235294116</v>
      </c>
      <c r="BB29" s="3">
        <f t="shared" si="27"/>
        <v>89999.999999999985</v>
      </c>
      <c r="BC29" s="3">
        <f t="shared" si="27"/>
        <v>95294.117647058796</v>
      </c>
      <c r="BD29" s="3">
        <f t="shared" si="27"/>
        <v>100588.23529411762</v>
      </c>
      <c r="BE29" s="3">
        <f t="shared" si="27"/>
        <v>105882.35294117645</v>
      </c>
    </row>
    <row r="30" spans="1:57" x14ac:dyDescent="0.45">
      <c r="A30">
        <f t="shared" si="28"/>
        <v>18</v>
      </c>
      <c r="B30" s="3">
        <f t="shared" si="1"/>
        <v>2777.7777777777778</v>
      </c>
      <c r="C30" s="3">
        <f t="shared" si="29"/>
        <v>50000</v>
      </c>
      <c r="D30" s="3">
        <f t="shared" si="3"/>
        <v>46.260311035474544</v>
      </c>
      <c r="E30" s="3">
        <f t="shared" si="4"/>
        <v>0.36</v>
      </c>
      <c r="F30" s="3"/>
      <c r="G30" s="3">
        <f t="shared" si="5"/>
        <v>441079.60856400698</v>
      </c>
      <c r="H30" s="3">
        <f t="shared" si="6"/>
        <v>5000000</v>
      </c>
      <c r="I30" s="3">
        <f t="shared" si="18"/>
        <v>5004861.4171895655</v>
      </c>
      <c r="J30" s="3">
        <f t="shared" si="7"/>
        <v>0.35930097556464718</v>
      </c>
      <c r="K30" s="3">
        <f t="shared" si="19"/>
        <v>998.05826545735329</v>
      </c>
      <c r="L30" s="3">
        <f t="shared" si="25"/>
        <v>998.05826545735329</v>
      </c>
      <c r="O30" s="9">
        <f t="shared" si="9"/>
        <v>0.99805826551444266</v>
      </c>
      <c r="P30" s="9">
        <f t="shared" si="20"/>
        <v>1.9455121535980613E-3</v>
      </c>
      <c r="Q30" s="3">
        <f t="shared" si="10"/>
        <v>2783.181978204439</v>
      </c>
      <c r="R30" s="3">
        <f t="shared" si="11"/>
        <v>1000.0075333444117</v>
      </c>
      <c r="S30" s="3">
        <f t="shared" si="12"/>
        <v>1000.0075333444119</v>
      </c>
      <c r="T30" s="9"/>
      <c r="U30" s="3"/>
      <c r="V30" s="3">
        <f t="shared" si="13"/>
        <v>245.04422698000386</v>
      </c>
      <c r="W30" s="3">
        <f t="shared" si="21"/>
        <v>4410.7960856400696</v>
      </c>
      <c r="X30" s="3">
        <f t="shared" si="14"/>
        <v>0.35999999999999993</v>
      </c>
      <c r="Y30" s="3">
        <f t="shared" si="15"/>
        <v>0.36</v>
      </c>
      <c r="Z30" s="3">
        <f t="shared" si="22"/>
        <v>88.215921712801389</v>
      </c>
      <c r="AK30">
        <f t="shared" si="24"/>
        <v>18</v>
      </c>
      <c r="AL30" s="3">
        <f t="shared" si="26"/>
        <v>5000</v>
      </c>
      <c r="AM30" s="3">
        <f t="shared" si="26"/>
        <v>10000</v>
      </c>
      <c r="AN30" s="3">
        <f t="shared" si="26"/>
        <v>15000</v>
      </c>
      <c r="AO30" s="3">
        <f t="shared" si="26"/>
        <v>20000</v>
      </c>
      <c r="AP30" s="3">
        <f t="shared" si="26"/>
        <v>25000</v>
      </c>
      <c r="AQ30" s="3">
        <f t="shared" si="26"/>
        <v>30000</v>
      </c>
      <c r="AR30" s="3">
        <f t="shared" si="26"/>
        <v>35000</v>
      </c>
      <c r="AS30" s="3">
        <f t="shared" si="26"/>
        <v>40000</v>
      </c>
      <c r="AT30" s="3">
        <f t="shared" si="26"/>
        <v>45000</v>
      </c>
      <c r="AU30" s="3">
        <f t="shared" si="26"/>
        <v>50000</v>
      </c>
      <c r="AV30" s="3">
        <f t="shared" si="27"/>
        <v>55000</v>
      </c>
      <c r="AW30" s="3">
        <f t="shared" si="27"/>
        <v>60000</v>
      </c>
      <c r="AX30" s="3">
        <f t="shared" si="27"/>
        <v>65000</v>
      </c>
      <c r="AY30" s="3">
        <f t="shared" si="27"/>
        <v>70000</v>
      </c>
      <c r="AZ30" s="3">
        <f t="shared" si="27"/>
        <v>75000</v>
      </c>
      <c r="BA30" s="3">
        <f t="shared" si="27"/>
        <v>80000</v>
      </c>
      <c r="BB30" s="3">
        <f t="shared" si="27"/>
        <v>85000</v>
      </c>
      <c r="BC30" s="3">
        <f t="shared" si="27"/>
        <v>90000</v>
      </c>
      <c r="BD30" s="3">
        <f t="shared" si="27"/>
        <v>95000.000000000015</v>
      </c>
      <c r="BE30" s="3">
        <f t="shared" si="27"/>
        <v>100000</v>
      </c>
    </row>
    <row r="31" spans="1:57" x14ac:dyDescent="0.45">
      <c r="A31">
        <f t="shared" si="28"/>
        <v>19</v>
      </c>
      <c r="B31" s="3">
        <f t="shared" si="1"/>
        <v>2493.0747922437672</v>
      </c>
      <c r="C31" s="3">
        <f t="shared" si="29"/>
        <v>47368.42105263158</v>
      </c>
      <c r="D31" s="3">
        <f t="shared" si="3"/>
        <v>37.263544718502587</v>
      </c>
      <c r="E31" s="3">
        <f t="shared" si="4"/>
        <v>0.40111111111111108</v>
      </c>
      <c r="F31" s="3"/>
      <c r="G31" s="3">
        <f t="shared" si="5"/>
        <v>491449.81077656336</v>
      </c>
      <c r="H31" s="3">
        <f t="shared" si="6"/>
        <v>4736842.1052631577</v>
      </c>
      <c r="I31" s="3">
        <f t="shared" si="18"/>
        <v>4743211.3445767928</v>
      </c>
      <c r="J31" s="3">
        <f t="shared" si="7"/>
        <v>0.40003460104932065</v>
      </c>
      <c r="K31" s="3">
        <f t="shared" si="19"/>
        <v>997.31617990135339</v>
      </c>
      <c r="L31" s="3">
        <f t="shared" si="25"/>
        <v>997.31617990135328</v>
      </c>
      <c r="O31" s="9">
        <f t="shared" si="9"/>
        <v>0.99731617995840027</v>
      </c>
      <c r="P31" s="9">
        <f t="shared" si="20"/>
        <v>2.6910423148971407E-3</v>
      </c>
      <c r="Q31" s="3">
        <f t="shared" si="10"/>
        <v>2499.7837620038986</v>
      </c>
      <c r="R31" s="3">
        <f t="shared" si="11"/>
        <v>1000.0143865988482</v>
      </c>
      <c r="S31" s="3">
        <f t="shared" si="12"/>
        <v>1000.0143865988482</v>
      </c>
      <c r="T31" s="9"/>
      <c r="U31" s="3"/>
      <c r="V31" s="3">
        <f t="shared" si="13"/>
        <v>258.65779514555965</v>
      </c>
      <c r="W31" s="3">
        <f t="shared" si="21"/>
        <v>4914.498107765633</v>
      </c>
      <c r="X31" s="3">
        <f t="shared" si="14"/>
        <v>0.40111111111111114</v>
      </c>
      <c r="Y31" s="3">
        <f t="shared" si="15"/>
        <v>0.40111111111111108</v>
      </c>
      <c r="Z31" s="3">
        <f t="shared" si="22"/>
        <v>103.75051560838558</v>
      </c>
      <c r="AB31" t="s">
        <v>28</v>
      </c>
      <c r="AK31">
        <f t="shared" si="24"/>
        <v>19</v>
      </c>
      <c r="AL31" s="3">
        <f t="shared" si="26"/>
        <v>4736.8421052631584</v>
      </c>
      <c r="AM31" s="3">
        <f t="shared" si="26"/>
        <v>9473.6842105263167</v>
      </c>
      <c r="AN31" s="3">
        <f t="shared" si="26"/>
        <v>14210.526315789475</v>
      </c>
      <c r="AO31" s="3">
        <f t="shared" si="26"/>
        <v>18947.368421052633</v>
      </c>
      <c r="AP31" s="3">
        <f t="shared" si="26"/>
        <v>23684.210526315794</v>
      </c>
      <c r="AQ31" s="3">
        <f t="shared" si="26"/>
        <v>28421.05263157895</v>
      </c>
      <c r="AR31" s="3">
        <f t="shared" si="26"/>
        <v>33157.894736842107</v>
      </c>
      <c r="AS31" s="3">
        <f t="shared" si="26"/>
        <v>37894.736842105267</v>
      </c>
      <c r="AT31" s="3">
        <f t="shared" si="26"/>
        <v>42631.578947368427</v>
      </c>
      <c r="AU31" s="3">
        <f t="shared" si="26"/>
        <v>47368.421052631587</v>
      </c>
      <c r="AV31" s="3">
        <f t="shared" si="27"/>
        <v>52105.26315789474</v>
      </c>
      <c r="AW31" s="3">
        <f t="shared" si="27"/>
        <v>56842.1052631579</v>
      </c>
      <c r="AX31" s="3">
        <f t="shared" si="27"/>
        <v>61578.947368421053</v>
      </c>
      <c r="AY31" s="3">
        <f t="shared" si="27"/>
        <v>66315.789473684214</v>
      </c>
      <c r="AZ31" s="3">
        <f t="shared" si="27"/>
        <v>71052.631578947374</v>
      </c>
      <c r="BA31" s="3">
        <f t="shared" si="27"/>
        <v>75789.473684210534</v>
      </c>
      <c r="BB31" s="3">
        <f t="shared" si="27"/>
        <v>80526.31578947368</v>
      </c>
      <c r="BC31" s="3">
        <f t="shared" si="27"/>
        <v>85263.157894736854</v>
      </c>
      <c r="BD31" s="3">
        <f t="shared" si="27"/>
        <v>90000.000000000015</v>
      </c>
      <c r="BE31" s="3">
        <f t="shared" si="27"/>
        <v>94736.842105263175</v>
      </c>
    </row>
    <row r="32" spans="1:57" x14ac:dyDescent="0.45">
      <c r="A32">
        <f t="shared" si="28"/>
        <v>20</v>
      </c>
      <c r="B32" s="3">
        <f t="shared" si="1"/>
        <v>2250</v>
      </c>
      <c r="C32" s="3">
        <f t="shared" si="29"/>
        <v>45000</v>
      </c>
      <c r="D32" s="3">
        <f t="shared" si="3"/>
        <v>30.351390070374851</v>
      </c>
      <c r="E32" s="3">
        <f t="shared" si="4"/>
        <v>0.44444444444444442</v>
      </c>
      <c r="F32" s="3"/>
      <c r="G32" s="3">
        <f t="shared" si="5"/>
        <v>544542.72662223084</v>
      </c>
      <c r="H32" s="3">
        <f t="shared" si="6"/>
        <v>4500000</v>
      </c>
      <c r="I32" s="3">
        <f t="shared" si="18"/>
        <v>4508229.3303778693</v>
      </c>
      <c r="J32" s="3">
        <f t="shared" si="7"/>
        <v>0.44282334590906236</v>
      </c>
      <c r="K32" s="3">
        <f t="shared" si="19"/>
        <v>996.35252829539036</v>
      </c>
      <c r="L32" s="3">
        <f t="shared" si="25"/>
        <v>996.35252829539024</v>
      </c>
      <c r="O32" s="9">
        <f t="shared" si="9"/>
        <v>0.99635252835238208</v>
      </c>
      <c r="P32" s="9">
        <f t="shared" si="20"/>
        <v>3.6608244008269342E-3</v>
      </c>
      <c r="Q32" s="3">
        <f t="shared" si="10"/>
        <v>2258.2368549018606</v>
      </c>
      <c r="R32" s="3">
        <f t="shared" si="11"/>
        <v>1000.0265602213401</v>
      </c>
      <c r="S32" s="3">
        <f t="shared" si="12"/>
        <v>1000.0265602213402</v>
      </c>
      <c r="T32" s="9"/>
      <c r="U32" s="3"/>
      <c r="V32" s="3">
        <f t="shared" si="13"/>
        <v>272.27136331111541</v>
      </c>
      <c r="W32" s="3">
        <f t="shared" si="21"/>
        <v>5445.4272662223084</v>
      </c>
      <c r="X32" s="3">
        <f t="shared" si="14"/>
        <v>0.44444444444444442</v>
      </c>
      <c r="Y32" s="3">
        <f t="shared" si="15"/>
        <v>0.44444444444444442</v>
      </c>
      <c r="Z32" s="3">
        <f t="shared" si="22"/>
        <v>121.00949480494018</v>
      </c>
      <c r="AK32">
        <f t="shared" si="24"/>
        <v>20</v>
      </c>
      <c r="AL32" s="3">
        <f t="shared" si="26"/>
        <v>4500</v>
      </c>
      <c r="AM32" s="3">
        <f t="shared" si="26"/>
        <v>9000</v>
      </c>
      <c r="AN32" s="3">
        <f t="shared" si="26"/>
        <v>13500</v>
      </c>
      <c r="AO32" s="3">
        <f t="shared" si="26"/>
        <v>18000</v>
      </c>
      <c r="AP32" s="3">
        <f t="shared" si="26"/>
        <v>22500</v>
      </c>
      <c r="AQ32" s="3">
        <f t="shared" si="26"/>
        <v>27000</v>
      </c>
      <c r="AR32" s="3">
        <f t="shared" si="26"/>
        <v>31500</v>
      </c>
      <c r="AS32" s="3">
        <f t="shared" si="26"/>
        <v>36000</v>
      </c>
      <c r="AT32" s="3">
        <f t="shared" si="26"/>
        <v>40500</v>
      </c>
      <c r="AU32" s="3">
        <f t="shared" si="26"/>
        <v>45000</v>
      </c>
      <c r="AV32" s="3">
        <f t="shared" si="27"/>
        <v>49500</v>
      </c>
      <c r="AW32" s="3">
        <f t="shared" si="27"/>
        <v>54000</v>
      </c>
      <c r="AX32" s="3">
        <f t="shared" si="27"/>
        <v>58500</v>
      </c>
      <c r="AY32" s="3">
        <f t="shared" si="27"/>
        <v>63000</v>
      </c>
      <c r="AZ32" s="3">
        <f t="shared" si="27"/>
        <v>67500</v>
      </c>
      <c r="BA32" s="3">
        <f t="shared" si="27"/>
        <v>72000</v>
      </c>
      <c r="BB32" s="3">
        <f t="shared" si="27"/>
        <v>76500</v>
      </c>
      <c r="BC32" s="3">
        <f t="shared" si="27"/>
        <v>81000</v>
      </c>
      <c r="BD32" s="3">
        <f t="shared" si="27"/>
        <v>85500</v>
      </c>
      <c r="BE32" s="3">
        <f t="shared" si="27"/>
        <v>90000</v>
      </c>
    </row>
    <row r="33" spans="1:57" x14ac:dyDescent="0.45">
      <c r="A33">
        <f t="shared" si="28"/>
        <v>21</v>
      </c>
      <c r="B33" s="3">
        <f t="shared" si="1"/>
        <v>2040.8163265306123</v>
      </c>
      <c r="C33" s="3">
        <f t="shared" si="29"/>
        <v>42857.142857142855</v>
      </c>
      <c r="D33" s="3">
        <f t="shared" si="3"/>
        <v>24.970163724271146</v>
      </c>
      <c r="E33" s="3">
        <f t="shared" si="4"/>
        <v>0.49000000000000005</v>
      </c>
      <c r="F33" s="3"/>
      <c r="G33" s="3">
        <f t="shared" si="5"/>
        <v>600358.35610100953</v>
      </c>
      <c r="H33" s="3">
        <f t="shared" si="6"/>
        <v>4285714.2857142854</v>
      </c>
      <c r="I33" s="3">
        <f t="shared" si="18"/>
        <v>4296213.9701963849</v>
      </c>
      <c r="J33" s="3">
        <f t="shared" si="7"/>
        <v>0.48760786655974114</v>
      </c>
      <c r="K33" s="3">
        <f t="shared" si="19"/>
        <v>995.11809501987989</v>
      </c>
      <c r="L33" s="3">
        <f t="shared" si="25"/>
        <v>995.11809501988</v>
      </c>
      <c r="O33" s="9">
        <f t="shared" si="9"/>
        <v>0.99511809507680105</v>
      </c>
      <c r="P33" s="9">
        <f t="shared" si="20"/>
        <v>4.9058548400953139E-3</v>
      </c>
      <c r="Q33" s="3">
        <f t="shared" si="10"/>
        <v>2050.8282751838678</v>
      </c>
      <c r="R33" s="3">
        <f t="shared" si="11"/>
        <v>1000.0475518453667</v>
      </c>
      <c r="S33" s="3">
        <f t="shared" si="12"/>
        <v>1000.0475518453667</v>
      </c>
      <c r="T33" s="3"/>
      <c r="U33" s="3"/>
      <c r="V33" s="3">
        <f t="shared" si="13"/>
        <v>285.88493147667117</v>
      </c>
      <c r="W33" s="3">
        <f t="shared" si="21"/>
        <v>6003.5835610100949</v>
      </c>
      <c r="X33" s="3">
        <f t="shared" si="14"/>
        <v>0.49</v>
      </c>
      <c r="Y33" s="3">
        <f t="shared" si="15"/>
        <v>0.49000000000000005</v>
      </c>
      <c r="Z33" s="3">
        <f t="shared" si="22"/>
        <v>140.08361642356888</v>
      </c>
      <c r="AK33">
        <f t="shared" si="24"/>
        <v>21</v>
      </c>
      <c r="AL33" s="3">
        <f t="shared" ref="AL33:AU42" si="30">AL$12/(IMPROVED_MBPS*IMPROVED_KM^2/(DIST_RINGS_EM/$AK33)^2)*$AK33</f>
        <v>4285.7142857142853</v>
      </c>
      <c r="AM33" s="3">
        <f t="shared" si="30"/>
        <v>8571.4285714285706</v>
      </c>
      <c r="AN33" s="3">
        <f t="shared" si="30"/>
        <v>12857.142857142855</v>
      </c>
      <c r="AO33" s="3">
        <f t="shared" si="30"/>
        <v>17142.857142857141</v>
      </c>
      <c r="AP33" s="3">
        <f t="shared" si="30"/>
        <v>21428.571428571428</v>
      </c>
      <c r="AQ33" s="3">
        <f t="shared" si="30"/>
        <v>25714.28571428571</v>
      </c>
      <c r="AR33" s="3">
        <f t="shared" si="30"/>
        <v>29999.999999999996</v>
      </c>
      <c r="AS33" s="3">
        <f t="shared" si="30"/>
        <v>34285.714285714283</v>
      </c>
      <c r="AT33" s="3">
        <f t="shared" si="30"/>
        <v>38571.428571428565</v>
      </c>
      <c r="AU33" s="3">
        <f t="shared" si="30"/>
        <v>42857.142857142855</v>
      </c>
      <c r="AV33" s="3">
        <f t="shared" ref="AV33:BE42" si="31">AV$12/(IMPROVED_MBPS*IMPROVED_KM^2/(DIST_RINGS_EM/$AK33)^2)*$AK33</f>
        <v>47142.857142857138</v>
      </c>
      <c r="AW33" s="3">
        <f t="shared" si="31"/>
        <v>51428.57142857142</v>
      </c>
      <c r="AX33" s="3">
        <f t="shared" si="31"/>
        <v>55714.28571428571</v>
      </c>
      <c r="AY33" s="3">
        <f t="shared" si="31"/>
        <v>59999.999999999993</v>
      </c>
      <c r="AZ33" s="3">
        <f t="shared" si="31"/>
        <v>64285.714285714283</v>
      </c>
      <c r="BA33" s="3">
        <f t="shared" si="31"/>
        <v>68571.428571428565</v>
      </c>
      <c r="BB33" s="3">
        <f t="shared" si="31"/>
        <v>72857.142857142855</v>
      </c>
      <c r="BC33" s="3">
        <f t="shared" si="31"/>
        <v>77142.85714285713</v>
      </c>
      <c r="BD33" s="3">
        <f t="shared" si="31"/>
        <v>81428.57142857142</v>
      </c>
      <c r="BE33" s="3">
        <f t="shared" si="31"/>
        <v>85714.28571428571</v>
      </c>
    </row>
    <row r="34" spans="1:57" x14ac:dyDescent="0.45">
      <c r="A34">
        <f t="shared" ref="A34:A43" si="32">A33+1</f>
        <v>22</v>
      </c>
      <c r="B34" s="3">
        <f t="shared" si="1"/>
        <v>1859.504132231405</v>
      </c>
      <c r="C34" s="3">
        <f t="shared" ref="C34:C43" si="33">B34*A34</f>
        <v>40909.090909090912</v>
      </c>
      <c r="D34" s="3">
        <f t="shared" si="3"/>
        <v>20.730407807099827</v>
      </c>
      <c r="E34" s="3">
        <f t="shared" si="4"/>
        <v>0.5377777777777778</v>
      </c>
      <c r="F34" s="3"/>
      <c r="G34" s="3">
        <f t="shared" si="5"/>
        <v>658896.69921289932</v>
      </c>
      <c r="H34" s="3">
        <f t="shared" si="6"/>
        <v>4090909.0909090908</v>
      </c>
      <c r="I34" s="3">
        <f t="shared" si="18"/>
        <v>4104153.1897750916</v>
      </c>
      <c r="J34" s="3">
        <f t="shared" si="7"/>
        <v>0.53431256107284997</v>
      </c>
      <c r="K34" s="3">
        <f t="shared" si="19"/>
        <v>993.55641521810946</v>
      </c>
      <c r="L34" s="3">
        <f t="shared" si="25"/>
        <v>993.55641521810958</v>
      </c>
      <c r="O34" s="9">
        <f t="shared" si="9"/>
        <v>0.99355641527494132</v>
      </c>
      <c r="P34" s="9">
        <f t="shared" si="20"/>
        <v>6.4853737804868583E-3</v>
      </c>
      <c r="Q34" s="3">
        <f t="shared" si="10"/>
        <v>1871.5637115752857</v>
      </c>
      <c r="R34" s="3">
        <f t="shared" si="11"/>
        <v>1000.0827788272728</v>
      </c>
      <c r="S34" s="3">
        <f t="shared" si="12"/>
        <v>1000.0827788272729</v>
      </c>
      <c r="T34" s="3"/>
      <c r="U34" s="3"/>
      <c r="V34" s="3">
        <f t="shared" si="13"/>
        <v>299.49849964222699</v>
      </c>
      <c r="W34" s="3">
        <f t="shared" si="21"/>
        <v>6588.9669921289933</v>
      </c>
      <c r="X34" s="3">
        <f t="shared" si="14"/>
        <v>0.53777777777777791</v>
      </c>
      <c r="Y34" s="3">
        <f t="shared" si="15"/>
        <v>0.5377777777777778</v>
      </c>
      <c r="Z34" s="3">
        <f t="shared" si="22"/>
        <v>161.0636375853754</v>
      </c>
      <c r="AK34">
        <f t="shared" si="24"/>
        <v>22</v>
      </c>
      <c r="AL34" s="3">
        <f t="shared" si="30"/>
        <v>4090.9090909090905</v>
      </c>
      <c r="AM34" s="3">
        <f t="shared" si="30"/>
        <v>8181.8181818181811</v>
      </c>
      <c r="AN34" s="3">
        <f t="shared" si="30"/>
        <v>12272.727272727272</v>
      </c>
      <c r="AO34" s="3">
        <f t="shared" si="30"/>
        <v>16363.636363636362</v>
      </c>
      <c r="AP34" s="3">
        <f t="shared" si="30"/>
        <v>20454.545454545452</v>
      </c>
      <c r="AQ34" s="3">
        <f t="shared" si="30"/>
        <v>24545.454545454544</v>
      </c>
      <c r="AR34" s="3">
        <f t="shared" si="30"/>
        <v>28636.363636363636</v>
      </c>
      <c r="AS34" s="3">
        <f t="shared" si="30"/>
        <v>32727.272727272724</v>
      </c>
      <c r="AT34" s="3">
        <f t="shared" si="30"/>
        <v>36818.181818181816</v>
      </c>
      <c r="AU34" s="3">
        <f t="shared" si="30"/>
        <v>40909.090909090904</v>
      </c>
      <c r="AV34" s="3">
        <f t="shared" si="31"/>
        <v>44999.999999999993</v>
      </c>
      <c r="AW34" s="3">
        <f t="shared" si="31"/>
        <v>49090.909090909088</v>
      </c>
      <c r="AX34" s="3">
        <f t="shared" si="31"/>
        <v>53181.818181818184</v>
      </c>
      <c r="AY34" s="3">
        <f t="shared" si="31"/>
        <v>57272.727272727272</v>
      </c>
      <c r="AZ34" s="3">
        <f t="shared" si="31"/>
        <v>61363.63636363636</v>
      </c>
      <c r="BA34" s="3">
        <f t="shared" si="31"/>
        <v>65454.545454545449</v>
      </c>
      <c r="BB34" s="3">
        <f t="shared" si="31"/>
        <v>69545.454545454544</v>
      </c>
      <c r="BC34" s="3">
        <f t="shared" si="31"/>
        <v>73636.363636363632</v>
      </c>
      <c r="BD34" s="3">
        <f t="shared" si="31"/>
        <v>77727.272727272721</v>
      </c>
      <c r="BE34" s="3">
        <f t="shared" si="31"/>
        <v>81818.181818181809</v>
      </c>
    </row>
    <row r="35" spans="1:57" x14ac:dyDescent="0.45">
      <c r="A35">
        <f t="shared" si="32"/>
        <v>23</v>
      </c>
      <c r="B35" s="3">
        <f t="shared" si="1"/>
        <v>1701.3232514177694</v>
      </c>
      <c r="C35" s="3">
        <f t="shared" si="33"/>
        <v>39130.434782608696</v>
      </c>
      <c r="D35" s="3">
        <f t="shared" si="3"/>
        <v>17.353505780996979</v>
      </c>
      <c r="E35" s="3">
        <f t="shared" si="4"/>
        <v>0.58777777777777773</v>
      </c>
      <c r="F35" s="3"/>
      <c r="G35" s="3">
        <f t="shared" si="5"/>
        <v>720157.75595790031</v>
      </c>
      <c r="H35" s="3">
        <f t="shared" si="6"/>
        <v>3913043.4782608696</v>
      </c>
      <c r="I35" s="3">
        <f t="shared" si="18"/>
        <v>3929575.8118563518</v>
      </c>
      <c r="J35" s="3">
        <f t="shared" si="7"/>
        <v>0.5828424373779757</v>
      </c>
      <c r="K35" s="3">
        <f t="shared" si="19"/>
        <v>991.60339062415528</v>
      </c>
      <c r="L35" s="3">
        <f t="shared" si="25"/>
        <v>991.60339062415551</v>
      </c>
      <c r="O35" s="9">
        <f t="shared" si="9"/>
        <v>0.99160339068087544</v>
      </c>
      <c r="P35" s="9">
        <f t="shared" si="20"/>
        <v>8.4677093665028735E-3</v>
      </c>
      <c r="Q35" s="3">
        <f t="shared" si="10"/>
        <v>1715.7295622492488</v>
      </c>
      <c r="R35" s="3">
        <f t="shared" si="11"/>
        <v>1000.1404337721968</v>
      </c>
      <c r="S35" s="3">
        <f t="shared" si="12"/>
        <v>1000.1404337721968</v>
      </c>
      <c r="T35" s="3"/>
      <c r="U35" s="3"/>
      <c r="V35" s="3">
        <f t="shared" si="13"/>
        <v>313.11206780778275</v>
      </c>
      <c r="W35" s="3">
        <f t="shared" si="21"/>
        <v>7201.5775595790037</v>
      </c>
      <c r="X35" s="3">
        <f t="shared" si="14"/>
        <v>0.58777777777777784</v>
      </c>
      <c r="Y35" s="3">
        <f t="shared" si="15"/>
        <v>0.58777777777777773</v>
      </c>
      <c r="Z35" s="3">
        <f t="shared" si="22"/>
        <v>184.04031541146341</v>
      </c>
      <c r="AK35">
        <f t="shared" ref="AK35:AK76" si="34">AK34+1</f>
        <v>23</v>
      </c>
      <c r="AL35" s="3">
        <f t="shared" si="30"/>
        <v>3913.04347826087</v>
      </c>
      <c r="AM35" s="3">
        <f t="shared" si="30"/>
        <v>7826.0869565217399</v>
      </c>
      <c r="AN35" s="3">
        <f t="shared" si="30"/>
        <v>11739.13043478261</v>
      </c>
      <c r="AO35" s="3">
        <f t="shared" si="30"/>
        <v>15652.17391304348</v>
      </c>
      <c r="AP35" s="3">
        <f t="shared" si="30"/>
        <v>19565.217391304352</v>
      </c>
      <c r="AQ35" s="3">
        <f t="shared" si="30"/>
        <v>23478.26086956522</v>
      </c>
      <c r="AR35" s="3">
        <f t="shared" si="30"/>
        <v>27391.304347826088</v>
      </c>
      <c r="AS35" s="3">
        <f t="shared" si="30"/>
        <v>31304.34782608696</v>
      </c>
      <c r="AT35" s="3">
        <f t="shared" si="30"/>
        <v>35217.391304347831</v>
      </c>
      <c r="AU35" s="3">
        <f t="shared" si="30"/>
        <v>39130.434782608703</v>
      </c>
      <c r="AV35" s="3">
        <f t="shared" si="31"/>
        <v>43043.478260869568</v>
      </c>
      <c r="AW35" s="3">
        <f t="shared" si="31"/>
        <v>46956.52173913044</v>
      </c>
      <c r="AX35" s="3">
        <f t="shared" si="31"/>
        <v>50869.565217391304</v>
      </c>
      <c r="AY35" s="3">
        <f t="shared" si="31"/>
        <v>54782.608695652176</v>
      </c>
      <c r="AZ35" s="3">
        <f t="shared" si="31"/>
        <v>58695.652173913048</v>
      </c>
      <c r="BA35" s="3">
        <f t="shared" si="31"/>
        <v>62608.695652173919</v>
      </c>
      <c r="BB35" s="3">
        <f t="shared" si="31"/>
        <v>66521.739130434784</v>
      </c>
      <c r="BC35" s="3">
        <f t="shared" si="31"/>
        <v>70434.782608695663</v>
      </c>
      <c r="BD35" s="3">
        <f t="shared" si="31"/>
        <v>74347.826086956527</v>
      </c>
      <c r="BE35" s="3">
        <f t="shared" si="31"/>
        <v>78260.869565217406</v>
      </c>
    </row>
    <row r="36" spans="1:57" x14ac:dyDescent="0.45">
      <c r="A36">
        <f t="shared" si="32"/>
        <v>24</v>
      </c>
      <c r="B36" s="3">
        <f t="shared" si="1"/>
        <v>1562.5</v>
      </c>
      <c r="C36" s="3">
        <f t="shared" si="33"/>
        <v>37500</v>
      </c>
      <c r="D36" s="3">
        <f t="shared" si="3"/>
        <v>14.637051538568118</v>
      </c>
      <c r="E36" s="3">
        <f t="shared" si="4"/>
        <v>0.64</v>
      </c>
      <c r="F36" s="3"/>
      <c r="G36" s="3">
        <f t="shared" si="5"/>
        <v>784141.52633601241</v>
      </c>
      <c r="H36" s="3">
        <f t="shared" si="6"/>
        <v>3750000</v>
      </c>
      <c r="I36" s="3">
        <f t="shared" si="18"/>
        <v>3770440.2240761146</v>
      </c>
      <c r="J36" s="3">
        <f t="shared" si="7"/>
        <v>0.63307970241685674</v>
      </c>
      <c r="K36" s="3">
        <f t="shared" si="19"/>
        <v>989.18703502633866</v>
      </c>
      <c r="L36" s="3">
        <f t="shared" si="25"/>
        <v>989.18703502633844</v>
      </c>
      <c r="O36" s="9">
        <f t="shared" si="9"/>
        <v>0.98918703508292061</v>
      </c>
      <c r="P36" s="9">
        <f t="shared" si="20"/>
        <v>1.0931163201277627E-2</v>
      </c>
      <c r="Q36" s="3">
        <f t="shared" si="10"/>
        <v>1579.5799425019964</v>
      </c>
      <c r="R36" s="3">
        <f t="shared" si="11"/>
        <v>1000.2326302147242</v>
      </c>
      <c r="S36" s="3">
        <f t="shared" si="12"/>
        <v>1000.2326302147242</v>
      </c>
      <c r="T36" s="3"/>
      <c r="U36" s="3"/>
      <c r="V36" s="3">
        <f t="shared" si="13"/>
        <v>326.72563597333851</v>
      </c>
      <c r="W36" s="3">
        <f t="shared" si="21"/>
        <v>7841.4152633601243</v>
      </c>
      <c r="X36" s="3">
        <f t="shared" si="14"/>
        <v>0.64000000000000012</v>
      </c>
      <c r="Y36" s="3">
        <f t="shared" si="15"/>
        <v>0.64</v>
      </c>
      <c r="Z36" s="3">
        <f t="shared" si="22"/>
        <v>209.10440702293664</v>
      </c>
      <c r="AK36">
        <f t="shared" si="34"/>
        <v>24</v>
      </c>
      <c r="AL36" s="3">
        <f t="shared" si="30"/>
        <v>3750</v>
      </c>
      <c r="AM36" s="3">
        <f t="shared" si="30"/>
        <v>7500</v>
      </c>
      <c r="AN36" s="3">
        <f t="shared" si="30"/>
        <v>11250</v>
      </c>
      <c r="AO36" s="3">
        <f t="shared" si="30"/>
        <v>15000</v>
      </c>
      <c r="AP36" s="3">
        <f t="shared" si="30"/>
        <v>18750</v>
      </c>
      <c r="AQ36" s="3">
        <f t="shared" si="30"/>
        <v>22500</v>
      </c>
      <c r="AR36" s="3">
        <f t="shared" si="30"/>
        <v>26250</v>
      </c>
      <c r="AS36" s="3">
        <f t="shared" si="30"/>
        <v>30000</v>
      </c>
      <c r="AT36" s="3">
        <f t="shared" si="30"/>
        <v>33750</v>
      </c>
      <c r="AU36" s="3">
        <f t="shared" si="30"/>
        <v>37500</v>
      </c>
      <c r="AV36" s="3">
        <f t="shared" si="31"/>
        <v>41250</v>
      </c>
      <c r="AW36" s="3">
        <f t="shared" si="31"/>
        <v>45000</v>
      </c>
      <c r="AX36" s="3">
        <f t="shared" si="31"/>
        <v>48750</v>
      </c>
      <c r="AY36" s="3">
        <f t="shared" si="31"/>
        <v>52500</v>
      </c>
      <c r="AZ36" s="3">
        <f t="shared" si="31"/>
        <v>56250</v>
      </c>
      <c r="BA36" s="3">
        <f t="shared" si="31"/>
        <v>60000</v>
      </c>
      <c r="BB36" s="3">
        <f t="shared" si="31"/>
        <v>63750</v>
      </c>
      <c r="BC36" s="3">
        <f t="shared" si="31"/>
        <v>67500</v>
      </c>
      <c r="BD36" s="3">
        <f t="shared" si="31"/>
        <v>71250</v>
      </c>
      <c r="BE36" s="3">
        <f t="shared" si="31"/>
        <v>75000</v>
      </c>
    </row>
    <row r="37" spans="1:57" x14ac:dyDescent="0.45">
      <c r="A37">
        <f t="shared" si="32"/>
        <v>25</v>
      </c>
      <c r="B37" s="3">
        <f t="shared" si="1"/>
        <v>1440</v>
      </c>
      <c r="C37" s="3">
        <f t="shared" si="33"/>
        <v>36000</v>
      </c>
      <c r="D37" s="3">
        <f t="shared" si="3"/>
        <v>12.43192937282554</v>
      </c>
      <c r="E37" s="3">
        <f t="shared" si="4"/>
        <v>0.69444444444444442</v>
      </c>
      <c r="F37" s="3"/>
      <c r="G37" s="3">
        <f t="shared" si="5"/>
        <v>850848.01034723572</v>
      </c>
      <c r="H37" s="3">
        <f t="shared" si="6"/>
        <v>3600000</v>
      </c>
      <c r="I37" s="3">
        <f t="shared" si="18"/>
        <v>3625049.7354074968</v>
      </c>
      <c r="J37" s="3">
        <f t="shared" si="7"/>
        <v>0.6848801364515763</v>
      </c>
      <c r="K37" s="3">
        <f t="shared" si="19"/>
        <v>986.22739649026983</v>
      </c>
      <c r="L37" s="3">
        <f t="shared" si="25"/>
        <v>986.22739649026994</v>
      </c>
      <c r="O37" s="9">
        <f t="shared" si="9"/>
        <v>0.98622739654668246</v>
      </c>
      <c r="P37" s="9">
        <f t="shared" si="20"/>
        <v>1.3964936992769461E-2</v>
      </c>
      <c r="Q37" s="3">
        <f t="shared" si="10"/>
        <v>1460.109509269588</v>
      </c>
      <c r="R37" s="3">
        <f t="shared" si="11"/>
        <v>1000.3768987043851</v>
      </c>
      <c r="S37" s="3">
        <f t="shared" si="12"/>
        <v>1000.376898704385</v>
      </c>
      <c r="T37" s="3"/>
      <c r="U37" s="3"/>
      <c r="V37" s="3">
        <f t="shared" si="13"/>
        <v>340.33920413889427</v>
      </c>
      <c r="W37" s="3">
        <f t="shared" si="21"/>
        <v>8508.4801034723569</v>
      </c>
      <c r="X37" s="3">
        <f t="shared" si="14"/>
        <v>0.69444444444444453</v>
      </c>
      <c r="Y37" s="3">
        <f t="shared" si="15"/>
        <v>0.69444444444444442</v>
      </c>
      <c r="Z37" s="3">
        <f t="shared" si="22"/>
        <v>236.3466695408988</v>
      </c>
      <c r="AC37" t="s">
        <v>36</v>
      </c>
      <c r="AD37" t="s">
        <v>35</v>
      </c>
      <c r="AE37" t="s">
        <v>37</v>
      </c>
      <c r="AF37" t="s">
        <v>38</v>
      </c>
      <c r="AG37" t="s">
        <v>39</v>
      </c>
      <c r="AK37">
        <f t="shared" si="34"/>
        <v>25</v>
      </c>
      <c r="AL37" s="3">
        <f t="shared" si="30"/>
        <v>3600</v>
      </c>
      <c r="AM37" s="3">
        <f t="shared" si="30"/>
        <v>7200</v>
      </c>
      <c r="AN37" s="3">
        <f t="shared" si="30"/>
        <v>10800</v>
      </c>
      <c r="AO37" s="3">
        <f t="shared" si="30"/>
        <v>14400</v>
      </c>
      <c r="AP37" s="3">
        <f t="shared" si="30"/>
        <v>18000</v>
      </c>
      <c r="AQ37" s="3">
        <f t="shared" si="30"/>
        <v>21600</v>
      </c>
      <c r="AR37" s="3">
        <f t="shared" si="30"/>
        <v>25200</v>
      </c>
      <c r="AS37" s="3">
        <f t="shared" si="30"/>
        <v>28800</v>
      </c>
      <c r="AT37" s="3">
        <f t="shared" si="30"/>
        <v>32400</v>
      </c>
      <c r="AU37" s="3">
        <f t="shared" si="30"/>
        <v>36000</v>
      </c>
      <c r="AV37" s="3">
        <f t="shared" si="31"/>
        <v>39600</v>
      </c>
      <c r="AW37" s="3">
        <f t="shared" si="31"/>
        <v>43200</v>
      </c>
      <c r="AX37" s="3">
        <f t="shared" si="31"/>
        <v>46800</v>
      </c>
      <c r="AY37" s="3">
        <f t="shared" si="31"/>
        <v>50400</v>
      </c>
      <c r="AZ37" s="3">
        <f t="shared" si="31"/>
        <v>54000</v>
      </c>
      <c r="BA37" s="3">
        <f t="shared" si="31"/>
        <v>57600</v>
      </c>
      <c r="BB37" s="3">
        <f t="shared" si="31"/>
        <v>61200</v>
      </c>
      <c r="BC37" s="3">
        <f t="shared" si="31"/>
        <v>64800</v>
      </c>
      <c r="BD37" s="3">
        <f t="shared" si="31"/>
        <v>68400</v>
      </c>
      <c r="BE37" s="3">
        <f t="shared" si="31"/>
        <v>72000</v>
      </c>
    </row>
    <row r="38" spans="1:57" x14ac:dyDescent="0.45">
      <c r="A38">
        <f t="shared" si="32"/>
        <v>26</v>
      </c>
      <c r="B38" s="3">
        <f t="shared" si="1"/>
        <v>1331.3609467455622</v>
      </c>
      <c r="C38" s="3">
        <f t="shared" si="33"/>
        <v>34615.384615384617</v>
      </c>
      <c r="D38" s="3">
        <f t="shared" si="3"/>
        <v>10.626865330476821</v>
      </c>
      <c r="E38" s="3">
        <f t="shared" si="4"/>
        <v>0.75111111111111117</v>
      </c>
      <c r="F38" s="3"/>
      <c r="G38" s="3">
        <f t="shared" si="5"/>
        <v>920277.20799157012</v>
      </c>
      <c r="H38" s="3">
        <f t="shared" si="6"/>
        <v>3461538.4615384615</v>
      </c>
      <c r="I38" s="3">
        <f t="shared" si="18"/>
        <v>3491987.4077088605</v>
      </c>
      <c r="J38" s="3">
        <f t="shared" si="7"/>
        <v>0.73806935153598585</v>
      </c>
      <c r="K38" s="3">
        <f t="shared" si="19"/>
        <v>982.6367106248332</v>
      </c>
      <c r="L38" s="3">
        <f t="shared" si="25"/>
        <v>982.63671062483309</v>
      </c>
      <c r="O38" s="9">
        <f t="shared" si="9"/>
        <v>0.98263671068104042</v>
      </c>
      <c r="P38" s="9">
        <f t="shared" si="20"/>
        <v>1.7670100384225895E-2</v>
      </c>
      <c r="Q38" s="3">
        <f t="shared" si="10"/>
        <v>1354.8862283221943</v>
      </c>
      <c r="R38" s="3">
        <f t="shared" si="11"/>
        <v>1000.5980903242145</v>
      </c>
      <c r="S38" s="3">
        <f t="shared" si="12"/>
        <v>1000.5980903242144</v>
      </c>
      <c r="T38" s="3"/>
      <c r="U38" s="3"/>
      <c r="V38" s="3">
        <f t="shared" si="13"/>
        <v>353.95277230445004</v>
      </c>
      <c r="W38" s="3">
        <f t="shared" si="21"/>
        <v>9202.7720799157014</v>
      </c>
      <c r="X38" s="3">
        <f t="shared" si="14"/>
        <v>0.75111111111111117</v>
      </c>
      <c r="Y38" s="3">
        <f t="shared" si="15"/>
        <v>0.75111111111111117</v>
      </c>
      <c r="Z38" s="3">
        <f t="shared" si="22"/>
        <v>265.85786008645363</v>
      </c>
      <c r="AC38">
        <v>1</v>
      </c>
      <c r="AD38">
        <v>1</v>
      </c>
      <c r="AE38" s="8">
        <f>SQRT(AC38^2+(AD38/2)^2)</f>
        <v>1.1180339887498949</v>
      </c>
      <c r="AK38">
        <f t="shared" si="34"/>
        <v>26</v>
      </c>
      <c r="AL38" s="3">
        <f t="shared" si="30"/>
        <v>3461.5384615384614</v>
      </c>
      <c r="AM38" s="3">
        <f t="shared" si="30"/>
        <v>6923.0769230769229</v>
      </c>
      <c r="AN38" s="3">
        <f t="shared" si="30"/>
        <v>10384.615384615385</v>
      </c>
      <c r="AO38" s="3">
        <f t="shared" si="30"/>
        <v>13846.153846153846</v>
      </c>
      <c r="AP38" s="3">
        <f t="shared" si="30"/>
        <v>17307.692307692305</v>
      </c>
      <c r="AQ38" s="3">
        <f t="shared" si="30"/>
        <v>20769.23076923077</v>
      </c>
      <c r="AR38" s="3">
        <f t="shared" si="30"/>
        <v>24230.769230769227</v>
      </c>
      <c r="AS38" s="3">
        <f t="shared" si="30"/>
        <v>27692.307692307691</v>
      </c>
      <c r="AT38" s="3">
        <f t="shared" si="30"/>
        <v>31153.846153846152</v>
      </c>
      <c r="AU38" s="3">
        <f t="shared" si="30"/>
        <v>34615.38461538461</v>
      </c>
      <c r="AV38" s="3">
        <f t="shared" si="31"/>
        <v>38076.923076923071</v>
      </c>
      <c r="AW38" s="3">
        <f t="shared" si="31"/>
        <v>41538.461538461539</v>
      </c>
      <c r="AX38" s="3">
        <f t="shared" si="31"/>
        <v>45000</v>
      </c>
      <c r="AY38" s="3">
        <f t="shared" si="31"/>
        <v>48461.538461538454</v>
      </c>
      <c r="AZ38" s="3">
        <f t="shared" si="31"/>
        <v>51923.076923076922</v>
      </c>
      <c r="BA38" s="3">
        <f t="shared" si="31"/>
        <v>55384.615384615383</v>
      </c>
      <c r="BB38" s="3">
        <f t="shared" si="31"/>
        <v>58846.153846153844</v>
      </c>
      <c r="BC38" s="3">
        <f t="shared" si="31"/>
        <v>62307.692307692305</v>
      </c>
      <c r="BD38" s="3">
        <f t="shared" si="31"/>
        <v>65769.230769230766</v>
      </c>
      <c r="BE38" s="3">
        <f t="shared" si="31"/>
        <v>69230.76923076922</v>
      </c>
    </row>
    <row r="39" spans="1:57" x14ac:dyDescent="0.45">
      <c r="A39">
        <f t="shared" si="32"/>
        <v>27</v>
      </c>
      <c r="B39" s="3">
        <f t="shared" si="1"/>
        <v>1234.5679012345679</v>
      </c>
      <c r="C39" s="3">
        <f t="shared" si="33"/>
        <v>33333.333333333336</v>
      </c>
      <c r="D39" s="3">
        <f t="shared" si="3"/>
        <v>9.1378392168838598</v>
      </c>
      <c r="E39" s="3">
        <f t="shared" si="4"/>
        <v>0.80999999999999994</v>
      </c>
      <c r="F39" s="3"/>
      <c r="G39" s="3">
        <f t="shared" si="5"/>
        <v>992429.11926901573</v>
      </c>
      <c r="H39" s="3">
        <f t="shared" si="6"/>
        <v>3333333.3333333335</v>
      </c>
      <c r="I39" s="3">
        <f t="shared" si="18"/>
        <v>3370065.2813119777</v>
      </c>
      <c r="J39" s="3">
        <f t="shared" si="7"/>
        <v>0.79243907462124041</v>
      </c>
      <c r="K39" s="3">
        <f t="shared" si="19"/>
        <v>978.31984521140794</v>
      </c>
      <c r="L39" s="3">
        <f t="shared" si="25"/>
        <v>978.3198452114076</v>
      </c>
      <c r="O39" s="9">
        <f t="shared" si="9"/>
        <v>0.97831984526736826</v>
      </c>
      <c r="P39" s="9">
        <f t="shared" si="20"/>
        <v>2.2160599968926054E-2</v>
      </c>
      <c r="Q39" s="3">
        <f t="shared" si="10"/>
        <v>1261.9266666283038</v>
      </c>
      <c r="R39" s="3">
        <f t="shared" si="11"/>
        <v>1000.9307333188968</v>
      </c>
      <c r="S39" s="3">
        <f t="shared" si="12"/>
        <v>1000.930733318897</v>
      </c>
      <c r="T39" s="3"/>
      <c r="U39" s="3"/>
      <c r="V39" s="3">
        <f t="shared" si="13"/>
        <v>367.56634047000585</v>
      </c>
      <c r="W39" s="3">
        <f t="shared" si="21"/>
        <v>9924.2911926901579</v>
      </c>
      <c r="X39" s="3">
        <f t="shared" si="14"/>
        <v>0.81</v>
      </c>
      <c r="Y39" s="3">
        <f t="shared" si="15"/>
        <v>0.80999999999999994</v>
      </c>
      <c r="Z39" s="3">
        <f t="shared" si="22"/>
        <v>297.72873578070471</v>
      </c>
      <c r="AK39">
        <f t="shared" si="34"/>
        <v>27</v>
      </c>
      <c r="AL39" s="3">
        <f t="shared" si="30"/>
        <v>3333.3333333333335</v>
      </c>
      <c r="AM39" s="3">
        <f t="shared" si="30"/>
        <v>6666.666666666667</v>
      </c>
      <c r="AN39" s="3">
        <f t="shared" si="30"/>
        <v>10000</v>
      </c>
      <c r="AO39" s="3">
        <f t="shared" si="30"/>
        <v>13333.333333333334</v>
      </c>
      <c r="AP39" s="3">
        <f t="shared" si="30"/>
        <v>16666.666666666668</v>
      </c>
      <c r="AQ39" s="3">
        <f t="shared" si="30"/>
        <v>20000</v>
      </c>
      <c r="AR39" s="3">
        <f t="shared" si="30"/>
        <v>23333.333333333336</v>
      </c>
      <c r="AS39" s="3">
        <f t="shared" si="30"/>
        <v>26666.666666666668</v>
      </c>
      <c r="AT39" s="3">
        <f t="shared" si="30"/>
        <v>30000</v>
      </c>
      <c r="AU39" s="3">
        <f t="shared" si="30"/>
        <v>33333.333333333336</v>
      </c>
      <c r="AV39" s="3">
        <f t="shared" si="31"/>
        <v>36666.666666666664</v>
      </c>
      <c r="AW39" s="3">
        <f t="shared" si="31"/>
        <v>40000</v>
      </c>
      <c r="AX39" s="3">
        <f t="shared" si="31"/>
        <v>43333.333333333336</v>
      </c>
      <c r="AY39" s="3">
        <f t="shared" si="31"/>
        <v>46666.666666666672</v>
      </c>
      <c r="AZ39" s="3">
        <f t="shared" si="31"/>
        <v>50000</v>
      </c>
      <c r="BA39" s="3">
        <f t="shared" si="31"/>
        <v>53333.333333333336</v>
      </c>
      <c r="BB39" s="3">
        <f t="shared" si="31"/>
        <v>56666.666666666664</v>
      </c>
      <c r="BC39" s="3">
        <f t="shared" si="31"/>
        <v>60000</v>
      </c>
      <c r="BD39" s="3">
        <f t="shared" si="31"/>
        <v>63333.333333333336</v>
      </c>
      <c r="BE39" s="3">
        <f t="shared" si="31"/>
        <v>66666.666666666672</v>
      </c>
    </row>
    <row r="40" spans="1:57" x14ac:dyDescent="0.45">
      <c r="A40">
        <f t="shared" si="32"/>
        <v>28</v>
      </c>
      <c r="B40" s="3">
        <f t="shared" si="1"/>
        <v>1147.9591836734694</v>
      </c>
      <c r="C40" s="3">
        <f t="shared" si="33"/>
        <v>32142.857142857145</v>
      </c>
      <c r="D40" s="3">
        <f t="shared" si="3"/>
        <v>7.9007158658826668</v>
      </c>
      <c r="E40" s="3">
        <f t="shared" si="4"/>
        <v>0.87111111111111128</v>
      </c>
      <c r="F40" s="3"/>
      <c r="G40" s="3">
        <f t="shared" si="5"/>
        <v>1067303.7441795724</v>
      </c>
      <c r="H40" s="3">
        <f t="shared" si="6"/>
        <v>3214285.7142857141</v>
      </c>
      <c r="I40" s="3">
        <f t="shared" si="18"/>
        <v>3258284.3604642851</v>
      </c>
      <c r="J40" s="3">
        <f t="shared" si="7"/>
        <v>0.84774364292032833</v>
      </c>
      <c r="K40" s="3">
        <f t="shared" si="19"/>
        <v>973.1751002911933</v>
      </c>
      <c r="L40" s="3">
        <f t="shared" si="25"/>
        <v>973.17510029119319</v>
      </c>
      <c r="O40" s="9">
        <f t="shared" si="9"/>
        <v>0.97317510034685928</v>
      </c>
      <c r="P40" s="9">
        <f t="shared" si="20"/>
        <v>2.7564309489196637E-2</v>
      </c>
      <c r="Q40" s="3">
        <f t="shared" si="10"/>
        <v>1179.6018858932105</v>
      </c>
      <c r="R40" s="3">
        <f t="shared" si="11"/>
        <v>1001.4218667294688</v>
      </c>
      <c r="S40" s="3">
        <f t="shared" si="12"/>
        <v>1001.4218667294683</v>
      </c>
      <c r="T40" s="3"/>
      <c r="U40" s="3"/>
      <c r="V40" s="3">
        <f t="shared" si="13"/>
        <v>381.17990863556156</v>
      </c>
      <c r="W40" s="3">
        <f t="shared" si="21"/>
        <v>10673.037441795725</v>
      </c>
      <c r="X40" s="3">
        <f t="shared" si="14"/>
        <v>0.87111111111111106</v>
      </c>
      <c r="Y40" s="3">
        <f t="shared" si="15"/>
        <v>0.87111111111111128</v>
      </c>
      <c r="Z40" s="3">
        <f t="shared" si="22"/>
        <v>332.05005374475593</v>
      </c>
      <c r="AK40">
        <f t="shared" si="34"/>
        <v>28</v>
      </c>
      <c r="AL40" s="3">
        <f t="shared" si="30"/>
        <v>3214.2857142857138</v>
      </c>
      <c r="AM40" s="3">
        <f t="shared" si="30"/>
        <v>6428.5714285714275</v>
      </c>
      <c r="AN40" s="3">
        <f t="shared" si="30"/>
        <v>9642.8571428571413</v>
      </c>
      <c r="AO40" s="3">
        <f t="shared" si="30"/>
        <v>12857.142857142855</v>
      </c>
      <c r="AP40" s="3">
        <f t="shared" si="30"/>
        <v>16071.428571428569</v>
      </c>
      <c r="AQ40" s="3">
        <f t="shared" si="30"/>
        <v>19285.714285714283</v>
      </c>
      <c r="AR40" s="3">
        <f t="shared" si="30"/>
        <v>22499.999999999996</v>
      </c>
      <c r="AS40" s="3">
        <f t="shared" si="30"/>
        <v>25714.28571428571</v>
      </c>
      <c r="AT40" s="3">
        <f t="shared" si="30"/>
        <v>28928.57142857142</v>
      </c>
      <c r="AU40" s="3">
        <f t="shared" si="30"/>
        <v>32142.857142857138</v>
      </c>
      <c r="AV40" s="3">
        <f t="shared" si="31"/>
        <v>35357.142857142855</v>
      </c>
      <c r="AW40" s="3">
        <f t="shared" si="31"/>
        <v>38571.428571428565</v>
      </c>
      <c r="AX40" s="3">
        <f t="shared" si="31"/>
        <v>41785.714285714275</v>
      </c>
      <c r="AY40" s="3">
        <f t="shared" si="31"/>
        <v>44999.999999999993</v>
      </c>
      <c r="AZ40" s="3">
        <f t="shared" si="31"/>
        <v>48214.285714285703</v>
      </c>
      <c r="BA40" s="3">
        <f t="shared" si="31"/>
        <v>51428.57142857142</v>
      </c>
      <c r="BB40" s="3">
        <f t="shared" si="31"/>
        <v>54642.85714285713</v>
      </c>
      <c r="BC40" s="3">
        <f t="shared" si="31"/>
        <v>57857.142857142841</v>
      </c>
      <c r="BD40" s="3">
        <f t="shared" si="31"/>
        <v>61071.428571428558</v>
      </c>
      <c r="BE40" s="3">
        <f t="shared" si="31"/>
        <v>64285.714285714275</v>
      </c>
    </row>
    <row r="41" spans="1:57" x14ac:dyDescent="0.45">
      <c r="A41">
        <f t="shared" si="32"/>
        <v>29</v>
      </c>
      <c r="B41" s="3">
        <f t="shared" si="1"/>
        <v>1070.154577883472</v>
      </c>
      <c r="C41" s="3">
        <f t="shared" si="33"/>
        <v>31034.482758620688</v>
      </c>
      <c r="D41" s="3">
        <f t="shared" si="3"/>
        <v>6.8660439220903369</v>
      </c>
      <c r="E41" s="3">
        <f t="shared" si="4"/>
        <v>0.93444444444444452</v>
      </c>
      <c r="F41" s="3"/>
      <c r="G41" s="3">
        <f t="shared" si="5"/>
        <v>1144901.0827232404</v>
      </c>
      <c r="H41" s="3">
        <f t="shared" si="6"/>
        <v>3103448.2758620689</v>
      </c>
      <c r="I41" s="3">
        <f t="shared" si="18"/>
        <v>3155802.7224870156</v>
      </c>
      <c r="J41" s="3">
        <f t="shared" si="7"/>
        <v>0.90369694982429616</v>
      </c>
      <c r="K41" s="3">
        <f t="shared" si="19"/>
        <v>967.09542787380087</v>
      </c>
      <c r="L41" s="3">
        <f t="shared" si="25"/>
        <v>967.09542787380065</v>
      </c>
      <c r="O41" s="9">
        <f t="shared" si="9"/>
        <v>0.96709542792911907</v>
      </c>
      <c r="P41" s="9">
        <f t="shared" si="20"/>
        <v>3.4024121219702996E-2</v>
      </c>
      <c r="Q41" s="3">
        <f t="shared" si="10"/>
        <v>1106.5656469651994</v>
      </c>
      <c r="R41" s="3">
        <f t="shared" si="11"/>
        <v>1002.1343412456641</v>
      </c>
      <c r="S41" s="3">
        <f t="shared" si="12"/>
        <v>1002.134341245664</v>
      </c>
      <c r="T41" s="3"/>
      <c r="U41" s="3"/>
      <c r="V41" s="3">
        <f t="shared" si="13"/>
        <v>394.79347680111738</v>
      </c>
      <c r="W41" s="3">
        <f t="shared" si="21"/>
        <v>11449.010827232403</v>
      </c>
      <c r="X41" s="3">
        <f t="shared" si="14"/>
        <v>0.93444444444444463</v>
      </c>
      <c r="Y41" s="3">
        <f t="shared" si="15"/>
        <v>0.93444444444444452</v>
      </c>
      <c r="Z41" s="3">
        <f t="shared" si="22"/>
        <v>368.91257109971082</v>
      </c>
      <c r="AK41">
        <f t="shared" si="34"/>
        <v>29</v>
      </c>
      <c r="AL41" s="3">
        <f t="shared" si="30"/>
        <v>3103.4482758620684</v>
      </c>
      <c r="AM41" s="3">
        <f t="shared" si="30"/>
        <v>6206.8965517241368</v>
      </c>
      <c r="AN41" s="3">
        <f t="shared" si="30"/>
        <v>9310.3448275862065</v>
      </c>
      <c r="AO41" s="3">
        <f t="shared" si="30"/>
        <v>12413.793103448274</v>
      </c>
      <c r="AP41" s="3">
        <f t="shared" si="30"/>
        <v>15517.241379310344</v>
      </c>
      <c r="AQ41" s="3">
        <f t="shared" si="30"/>
        <v>18620.689655172413</v>
      </c>
      <c r="AR41" s="3">
        <f t="shared" si="30"/>
        <v>21724.137931034482</v>
      </c>
      <c r="AS41" s="3">
        <f t="shared" si="30"/>
        <v>24827.586206896547</v>
      </c>
      <c r="AT41" s="3">
        <f t="shared" si="30"/>
        <v>27931.03448275862</v>
      </c>
      <c r="AU41" s="3">
        <f t="shared" si="30"/>
        <v>31034.482758620688</v>
      </c>
      <c r="AV41" s="3">
        <f t="shared" si="31"/>
        <v>34137.931034482761</v>
      </c>
      <c r="AW41" s="3">
        <f t="shared" si="31"/>
        <v>37241.379310344826</v>
      </c>
      <c r="AX41" s="3">
        <f t="shared" si="31"/>
        <v>40344.827586206891</v>
      </c>
      <c r="AY41" s="3">
        <f t="shared" si="31"/>
        <v>43448.275862068964</v>
      </c>
      <c r="AZ41" s="3">
        <f t="shared" si="31"/>
        <v>46551.724137931036</v>
      </c>
      <c r="BA41" s="3">
        <f t="shared" si="31"/>
        <v>49655.172413793094</v>
      </c>
      <c r="BB41" s="3">
        <f t="shared" si="31"/>
        <v>52758.620689655167</v>
      </c>
      <c r="BC41" s="3">
        <f t="shared" si="31"/>
        <v>55862.068965517239</v>
      </c>
      <c r="BD41" s="3">
        <f t="shared" si="31"/>
        <v>58965.517241379304</v>
      </c>
      <c r="BE41" s="3">
        <f t="shared" si="31"/>
        <v>62068.965517241377</v>
      </c>
    </row>
    <row r="42" spans="1:57" x14ac:dyDescent="0.45">
      <c r="A42">
        <f t="shared" si="32"/>
        <v>30</v>
      </c>
      <c r="B42" s="3">
        <f t="shared" si="1"/>
        <v>1000</v>
      </c>
      <c r="C42" s="3">
        <f t="shared" si="33"/>
        <v>30000</v>
      </c>
      <c r="D42" s="3">
        <f t="shared" si="3"/>
        <v>5.9953363101975015</v>
      </c>
      <c r="E42" s="3">
        <f t="shared" si="4"/>
        <v>1</v>
      </c>
      <c r="F42" s="3"/>
      <c r="G42" s="3">
        <f t="shared" si="5"/>
        <v>1225221.1349000195</v>
      </c>
      <c r="H42" s="3">
        <f t="shared" si="6"/>
        <v>3000000</v>
      </c>
      <c r="I42" s="3">
        <f t="shared" si="18"/>
        <v>3061909.8137194412</v>
      </c>
      <c r="J42" s="3">
        <f t="shared" si="7"/>
        <v>0.95997013009662968</v>
      </c>
      <c r="K42" s="3">
        <f t="shared" si="19"/>
        <v>959.97013009662965</v>
      </c>
      <c r="L42" s="3">
        <f t="shared" si="25"/>
        <v>959.97013009662987</v>
      </c>
      <c r="O42" s="9">
        <f t="shared" si="9"/>
        <v>0.95997013015154031</v>
      </c>
      <c r="P42" s="9">
        <f t="shared" si="20"/>
        <v>4.1699078535017087E-2</v>
      </c>
      <c r="Q42" s="3">
        <f t="shared" si="10"/>
        <v>1041.6990785350172</v>
      </c>
      <c r="R42" s="3">
        <f t="shared" si="11"/>
        <v>1003.1505321041278</v>
      </c>
      <c r="S42" s="3">
        <f t="shared" si="12"/>
        <v>1003.1505321041279</v>
      </c>
      <c r="T42" s="3"/>
      <c r="U42" s="3"/>
      <c r="V42" s="3">
        <f t="shared" si="13"/>
        <v>408.40704496667308</v>
      </c>
      <c r="W42" s="3">
        <f t="shared" si="21"/>
        <v>12252.211349000192</v>
      </c>
      <c r="X42" s="3">
        <f t="shared" si="14"/>
        <v>1</v>
      </c>
      <c r="Y42" s="3">
        <f t="shared" si="15"/>
        <v>1</v>
      </c>
      <c r="Z42" s="3">
        <f t="shared" si="22"/>
        <v>408.40704496667308</v>
      </c>
      <c r="AK42">
        <f t="shared" si="34"/>
        <v>30</v>
      </c>
      <c r="AL42" s="3">
        <f t="shared" si="30"/>
        <v>3000</v>
      </c>
      <c r="AM42" s="3">
        <f t="shared" si="30"/>
        <v>6000</v>
      </c>
      <c r="AN42" s="3">
        <f t="shared" si="30"/>
        <v>9000</v>
      </c>
      <c r="AO42" s="3">
        <f t="shared" si="30"/>
        <v>12000</v>
      </c>
      <c r="AP42" s="3">
        <f t="shared" si="30"/>
        <v>15000</v>
      </c>
      <c r="AQ42" s="3">
        <f t="shared" si="30"/>
        <v>18000</v>
      </c>
      <c r="AR42" s="3">
        <f t="shared" si="30"/>
        <v>21000</v>
      </c>
      <c r="AS42" s="3">
        <f t="shared" si="30"/>
        <v>24000</v>
      </c>
      <c r="AT42" s="3">
        <f t="shared" si="30"/>
        <v>27000</v>
      </c>
      <c r="AU42" s="3">
        <f t="shared" si="30"/>
        <v>30000</v>
      </c>
      <c r="AV42" s="3">
        <f t="shared" si="31"/>
        <v>33000</v>
      </c>
      <c r="AW42" s="3">
        <f t="shared" si="31"/>
        <v>36000</v>
      </c>
      <c r="AX42" s="3">
        <f t="shared" si="31"/>
        <v>39000</v>
      </c>
      <c r="AY42" s="3">
        <f t="shared" si="31"/>
        <v>42000</v>
      </c>
      <c r="AZ42" s="3">
        <f t="shared" si="31"/>
        <v>45000</v>
      </c>
      <c r="BA42" s="3">
        <f t="shared" si="31"/>
        <v>48000</v>
      </c>
      <c r="BB42" s="3">
        <f t="shared" si="31"/>
        <v>51000</v>
      </c>
      <c r="BC42" s="3">
        <f t="shared" si="31"/>
        <v>54000</v>
      </c>
      <c r="BD42" s="3">
        <f t="shared" si="31"/>
        <v>57000</v>
      </c>
      <c r="BE42" s="3">
        <f t="shared" si="31"/>
        <v>60000</v>
      </c>
    </row>
    <row r="43" spans="1:57" x14ac:dyDescent="0.45">
      <c r="A43">
        <f t="shared" si="32"/>
        <v>31</v>
      </c>
      <c r="B43" s="3">
        <f t="shared" si="1"/>
        <v>936.52445369406871</v>
      </c>
      <c r="C43" s="3">
        <f t="shared" si="33"/>
        <v>29032.258064516129</v>
      </c>
      <c r="D43" s="3">
        <f t="shared" si="3"/>
        <v>5.2583778942330239</v>
      </c>
      <c r="E43" s="3">
        <f t="shared" si="4"/>
        <v>1.0677777777777777</v>
      </c>
      <c r="F43" s="3"/>
      <c r="G43" s="3">
        <f t="shared" si="5"/>
        <v>1308263.9007099096</v>
      </c>
      <c r="H43" s="3">
        <f t="shared" si="6"/>
        <v>2903225.8064516131</v>
      </c>
      <c r="I43" s="3">
        <f t="shared" si="18"/>
        <v>2976005.492555717</v>
      </c>
      <c r="J43" s="3">
        <f t="shared" si="7"/>
        <v>1.0161903176790719</v>
      </c>
      <c r="K43" s="3">
        <f t="shared" si="19"/>
        <v>951.6870821135949</v>
      </c>
      <c r="L43" s="3">
        <f t="shared" si="25"/>
        <v>951.68708211359478</v>
      </c>
      <c r="O43" s="9">
        <f t="shared" si="9"/>
        <v>0.95168708216803177</v>
      </c>
      <c r="P43" s="9">
        <f t="shared" si="20"/>
        <v>5.0765549661456966E-2</v>
      </c>
      <c r="Q43" s="3">
        <f t="shared" si="10"/>
        <v>984.06763235724384</v>
      </c>
      <c r="R43" s="3">
        <f t="shared" si="11"/>
        <v>1004.5763546036229</v>
      </c>
      <c r="S43" s="3">
        <f t="shared" si="12"/>
        <v>1004.5763546036231</v>
      </c>
      <c r="T43" s="3"/>
      <c r="U43" s="3"/>
      <c r="V43" s="3">
        <f t="shared" si="13"/>
        <v>422.02061313222896</v>
      </c>
      <c r="W43" s="3">
        <f t="shared" si="21"/>
        <v>13082.639007099098</v>
      </c>
      <c r="X43" s="3">
        <f t="shared" si="14"/>
        <v>1.0677777777777782</v>
      </c>
      <c r="Y43" s="3">
        <f t="shared" si="15"/>
        <v>1.0677777777777777</v>
      </c>
      <c r="Z43" s="3">
        <f t="shared" si="22"/>
        <v>450.62423246674666</v>
      </c>
      <c r="AK43">
        <f t="shared" si="34"/>
        <v>31</v>
      </c>
      <c r="AL43" s="3">
        <f t="shared" ref="AL43:AU52" si="35">AL$12/(IMPROVED_MBPS*IMPROVED_KM^2/(DIST_RINGS_EM/$AK43)^2)*$AK43</f>
        <v>2903.2258064516132</v>
      </c>
      <c r="AM43" s="3">
        <f t="shared" si="35"/>
        <v>5806.4516129032263</v>
      </c>
      <c r="AN43" s="3">
        <f t="shared" si="35"/>
        <v>8709.677419354839</v>
      </c>
      <c r="AO43" s="3">
        <f t="shared" si="35"/>
        <v>11612.903225806453</v>
      </c>
      <c r="AP43" s="3">
        <f t="shared" si="35"/>
        <v>14516.129032258064</v>
      </c>
      <c r="AQ43" s="3">
        <f t="shared" si="35"/>
        <v>17419.354838709678</v>
      </c>
      <c r="AR43" s="3">
        <f t="shared" si="35"/>
        <v>20322.580645161292</v>
      </c>
      <c r="AS43" s="3">
        <f t="shared" si="35"/>
        <v>23225.806451612905</v>
      </c>
      <c r="AT43" s="3">
        <f t="shared" si="35"/>
        <v>26129.032258064515</v>
      </c>
      <c r="AU43" s="3">
        <f t="shared" si="35"/>
        <v>29032.258064516129</v>
      </c>
      <c r="AV43" s="3">
        <f t="shared" ref="AV43:BE52" si="36">AV$12/(IMPROVED_MBPS*IMPROVED_KM^2/(DIST_RINGS_EM/$AK43)^2)*$AK43</f>
        <v>31935.483870967742</v>
      </c>
      <c r="AW43" s="3">
        <f t="shared" si="36"/>
        <v>34838.709677419356</v>
      </c>
      <c r="AX43" s="3">
        <f t="shared" si="36"/>
        <v>37741.93548387097</v>
      </c>
      <c r="AY43" s="3">
        <f t="shared" si="36"/>
        <v>40645.161290322583</v>
      </c>
      <c r="AZ43" s="3">
        <f t="shared" si="36"/>
        <v>43548.387096774197</v>
      </c>
      <c r="BA43" s="3">
        <f t="shared" si="36"/>
        <v>46451.61290322581</v>
      </c>
      <c r="BB43" s="3">
        <f t="shared" si="36"/>
        <v>49354.838709677424</v>
      </c>
      <c r="BC43" s="3">
        <f t="shared" si="36"/>
        <v>52258.06451612903</v>
      </c>
      <c r="BD43" s="3">
        <f t="shared" si="36"/>
        <v>55161.290322580644</v>
      </c>
      <c r="BE43" s="3">
        <f t="shared" si="36"/>
        <v>58064.516129032258</v>
      </c>
    </row>
    <row r="44" spans="1:57" x14ac:dyDescent="0.45">
      <c r="A44">
        <f t="shared" ref="A44:A107" si="37">A43+1</f>
        <v>32</v>
      </c>
      <c r="B44" s="3">
        <f t="shared" si="1"/>
        <v>878.90625</v>
      </c>
      <c r="C44" s="3">
        <f t="shared" ref="C44:C107" si="38">B44*A44</f>
        <v>28125</v>
      </c>
      <c r="D44" s="3">
        <f t="shared" si="3"/>
        <v>4.6312545883750689</v>
      </c>
      <c r="E44" s="3">
        <f t="shared" si="4"/>
        <v>1.1377777777777778</v>
      </c>
      <c r="F44" s="3"/>
      <c r="G44" s="3">
        <f t="shared" si="5"/>
        <v>1394029.3801529109</v>
      </c>
      <c r="H44" s="3">
        <f t="shared" si="6"/>
        <v>2812500</v>
      </c>
      <c r="I44" s="3">
        <f t="shared" si="18"/>
        <v>2897582.7387983897</v>
      </c>
      <c r="J44" s="3">
        <f t="shared" si="7"/>
        <v>1.0719408407032136</v>
      </c>
      <c r="K44" s="3">
        <f t="shared" si="19"/>
        <v>942.13550452430889</v>
      </c>
      <c r="L44" s="3">
        <f t="shared" si="25"/>
        <v>942.13550452430889</v>
      </c>
      <c r="O44" s="9">
        <f t="shared" si="9"/>
        <v>0.94213550457819939</v>
      </c>
      <c r="P44" s="9">
        <f t="shared" si="20"/>
        <v>6.1418442613206725E-2</v>
      </c>
      <c r="Q44" s="3">
        <f t="shared" si="10"/>
        <v>932.8873030780137</v>
      </c>
      <c r="R44" s="3">
        <f t="shared" si="11"/>
        <v>1006.5454157996231</v>
      </c>
      <c r="S44" s="3">
        <f t="shared" si="12"/>
        <v>1006.545415799623</v>
      </c>
      <c r="T44" s="3"/>
      <c r="U44" s="3"/>
      <c r="V44" s="3">
        <f t="shared" si="13"/>
        <v>435.63418129778466</v>
      </c>
      <c r="W44" s="3">
        <f t="shared" si="21"/>
        <v>13940.293801529109</v>
      </c>
      <c r="X44" s="3">
        <f t="shared" si="14"/>
        <v>1.137777777777778</v>
      </c>
      <c r="Y44" s="3">
        <f t="shared" si="15"/>
        <v>1.1377777777777778</v>
      </c>
      <c r="Z44" s="3">
        <f t="shared" si="22"/>
        <v>495.65489072103497</v>
      </c>
      <c r="AK44">
        <f t="shared" si="34"/>
        <v>32</v>
      </c>
      <c r="AL44" s="3">
        <f t="shared" si="35"/>
        <v>2812.5</v>
      </c>
      <c r="AM44" s="3">
        <f t="shared" si="35"/>
        <v>5625</v>
      </c>
      <c r="AN44" s="3">
        <f t="shared" si="35"/>
        <v>8437.5</v>
      </c>
      <c r="AO44" s="3">
        <f t="shared" si="35"/>
        <v>11250</v>
      </c>
      <c r="AP44" s="3">
        <f t="shared" si="35"/>
        <v>14062.5</v>
      </c>
      <c r="AQ44" s="3">
        <f t="shared" si="35"/>
        <v>16875</v>
      </c>
      <c r="AR44" s="3">
        <f t="shared" si="35"/>
        <v>19687.5</v>
      </c>
      <c r="AS44" s="3">
        <f t="shared" si="35"/>
        <v>22500</v>
      </c>
      <c r="AT44" s="3">
        <f t="shared" si="35"/>
        <v>25312.5</v>
      </c>
      <c r="AU44" s="3">
        <f t="shared" si="35"/>
        <v>28125</v>
      </c>
      <c r="AV44" s="3">
        <f t="shared" si="36"/>
        <v>30937.5</v>
      </c>
      <c r="AW44" s="3">
        <f t="shared" si="36"/>
        <v>33750</v>
      </c>
      <c r="AX44" s="3">
        <f t="shared" si="36"/>
        <v>36562.5</v>
      </c>
      <c r="AY44" s="3">
        <f t="shared" si="36"/>
        <v>39375</v>
      </c>
      <c r="AZ44" s="3">
        <f t="shared" si="36"/>
        <v>42187.5</v>
      </c>
      <c r="BA44" s="3">
        <f t="shared" si="36"/>
        <v>45000</v>
      </c>
      <c r="BB44" s="3">
        <f t="shared" si="36"/>
        <v>47812.5</v>
      </c>
      <c r="BC44" s="3">
        <f t="shared" si="36"/>
        <v>50625</v>
      </c>
      <c r="BD44" s="3">
        <f t="shared" si="36"/>
        <v>53437.5</v>
      </c>
      <c r="BE44" s="3">
        <f t="shared" si="36"/>
        <v>56250</v>
      </c>
    </row>
    <row r="45" spans="1:57" x14ac:dyDescent="0.45">
      <c r="A45">
        <f t="shared" si="37"/>
        <v>33</v>
      </c>
      <c r="B45" s="3">
        <f t="shared" si="1"/>
        <v>826.44628099173553</v>
      </c>
      <c r="C45" s="3">
        <f t="shared" si="38"/>
        <v>27272.727272727272</v>
      </c>
      <c r="D45" s="3">
        <f t="shared" si="3"/>
        <v>4.0948953693036687</v>
      </c>
      <c r="E45" s="3">
        <f t="shared" si="4"/>
        <v>1.2100000000000002</v>
      </c>
      <c r="F45" s="3"/>
      <c r="G45" s="3">
        <f t="shared" si="5"/>
        <v>1482517.5732290235</v>
      </c>
      <c r="H45" s="3">
        <f t="shared" si="6"/>
        <v>2727272.7272727271</v>
      </c>
      <c r="I45" s="3">
        <f t="shared" si="18"/>
        <v>2826213.2116418318</v>
      </c>
      <c r="J45" s="3">
        <f t="shared" si="7"/>
        <v>1.1267632270331971</v>
      </c>
      <c r="K45" s="3">
        <f t="shared" si="19"/>
        <v>931.20927853983233</v>
      </c>
      <c r="L45" s="3">
        <f t="shared" si="25"/>
        <v>931.20927853983233</v>
      </c>
      <c r="O45" s="9">
        <f t="shared" si="9"/>
        <v>0.93120927859309788</v>
      </c>
      <c r="P45" s="9">
        <f t="shared" si="20"/>
        <v>7.3872461312706639E-2</v>
      </c>
      <c r="Q45" s="3">
        <f t="shared" si="10"/>
        <v>887.49790191132774</v>
      </c>
      <c r="R45" s="3">
        <f t="shared" si="11"/>
        <v>1009.2230856370035</v>
      </c>
      <c r="S45" s="3">
        <f t="shared" si="12"/>
        <v>1009.2230856370032</v>
      </c>
      <c r="T45" s="3"/>
      <c r="U45" s="3"/>
      <c r="V45" s="3">
        <f t="shared" si="13"/>
        <v>449.24774946334043</v>
      </c>
      <c r="W45" s="3">
        <f t="shared" si="21"/>
        <v>14825.175732290234</v>
      </c>
      <c r="X45" s="3">
        <f t="shared" si="14"/>
        <v>1.21</v>
      </c>
      <c r="Y45" s="3">
        <f t="shared" si="15"/>
        <v>1.2100000000000002</v>
      </c>
      <c r="Z45" s="3">
        <f t="shared" si="22"/>
        <v>543.58977685064201</v>
      </c>
      <c r="AK45">
        <f t="shared" si="34"/>
        <v>33</v>
      </c>
      <c r="AL45" s="3">
        <f t="shared" si="35"/>
        <v>2727.272727272727</v>
      </c>
      <c r="AM45" s="3">
        <f t="shared" si="35"/>
        <v>5454.545454545454</v>
      </c>
      <c r="AN45" s="3">
        <f t="shared" si="35"/>
        <v>8181.8181818181802</v>
      </c>
      <c r="AO45" s="3">
        <f t="shared" si="35"/>
        <v>10909.090909090908</v>
      </c>
      <c r="AP45" s="3">
        <f t="shared" si="35"/>
        <v>13636.363636363634</v>
      </c>
      <c r="AQ45" s="3">
        <f t="shared" si="35"/>
        <v>16363.63636363636</v>
      </c>
      <c r="AR45" s="3">
        <f t="shared" si="35"/>
        <v>19090.909090909088</v>
      </c>
      <c r="AS45" s="3">
        <f t="shared" si="35"/>
        <v>21818.181818181816</v>
      </c>
      <c r="AT45" s="3">
        <f t="shared" si="35"/>
        <v>24545.45454545454</v>
      </c>
      <c r="AU45" s="3">
        <f t="shared" si="35"/>
        <v>27272.727272727268</v>
      </c>
      <c r="AV45" s="3">
        <f t="shared" si="36"/>
        <v>29999.999999999993</v>
      </c>
      <c r="AW45" s="3">
        <f t="shared" si="36"/>
        <v>32727.272727272721</v>
      </c>
      <c r="AX45" s="3">
        <f t="shared" si="36"/>
        <v>35454.545454545449</v>
      </c>
      <c r="AY45" s="3">
        <f t="shared" si="36"/>
        <v>38181.818181818177</v>
      </c>
      <c r="AZ45" s="3">
        <f t="shared" si="36"/>
        <v>40909.090909090904</v>
      </c>
      <c r="BA45" s="3">
        <f t="shared" si="36"/>
        <v>43636.363636363632</v>
      </c>
      <c r="BB45" s="3">
        <f t="shared" si="36"/>
        <v>46363.63636363636</v>
      </c>
      <c r="BC45" s="3">
        <f t="shared" si="36"/>
        <v>49090.909090909081</v>
      </c>
      <c r="BD45" s="3">
        <f t="shared" si="36"/>
        <v>51818.181818181809</v>
      </c>
      <c r="BE45" s="3">
        <f t="shared" si="36"/>
        <v>54545.454545454537</v>
      </c>
    </row>
    <row r="46" spans="1:57" x14ac:dyDescent="0.45">
      <c r="A46">
        <f t="shared" si="37"/>
        <v>34</v>
      </c>
      <c r="B46" s="3">
        <f t="shared" si="1"/>
        <v>778.54671280276818</v>
      </c>
      <c r="C46" s="3">
        <f t="shared" si="38"/>
        <v>26470.588235294119</v>
      </c>
      <c r="D46" s="3">
        <f t="shared" si="3"/>
        <v>3.6339830785520832</v>
      </c>
      <c r="E46" s="3">
        <f t="shared" si="4"/>
        <v>1.2844444444444447</v>
      </c>
      <c r="F46" s="3"/>
      <c r="G46" s="3">
        <f t="shared" si="5"/>
        <v>1573728.479938247</v>
      </c>
      <c r="H46" s="3">
        <f t="shared" si="6"/>
        <v>2647058.8235294116</v>
      </c>
      <c r="I46" s="3">
        <f t="shared" si="18"/>
        <v>2761535.0346079441</v>
      </c>
      <c r="J46" s="3">
        <f t="shared" si="7"/>
        <v>1.1801613697722906</v>
      </c>
      <c r="K46" s="3">
        <f t="shared" si="19"/>
        <v>918.81075501302905</v>
      </c>
      <c r="L46" s="3">
        <f t="shared" si="25"/>
        <v>918.81075501302917</v>
      </c>
      <c r="O46" s="9">
        <f t="shared" si="9"/>
        <v>0.9188107550655854</v>
      </c>
      <c r="P46" s="9">
        <f t="shared" si="20"/>
        <v>8.8363402895321297E-2</v>
      </c>
      <c r="Q46" s="3">
        <f t="shared" si="10"/>
        <v>847.34174965898717</v>
      </c>
      <c r="R46" s="3">
        <f t="shared" si="11"/>
        <v>1012.8102389422281</v>
      </c>
      <c r="S46" s="3">
        <f t="shared" si="12"/>
        <v>1012.8102389422281</v>
      </c>
      <c r="T46" s="3"/>
      <c r="U46" s="3"/>
      <c r="V46" s="3">
        <f t="shared" si="13"/>
        <v>462.86131762889624</v>
      </c>
      <c r="W46" s="3">
        <f t="shared" si="21"/>
        <v>15737.284799382473</v>
      </c>
      <c r="X46" s="3">
        <f t="shared" si="14"/>
        <v>1.2844444444444447</v>
      </c>
      <c r="Y46" s="3">
        <f t="shared" si="15"/>
        <v>1.2844444444444447</v>
      </c>
      <c r="Z46" s="3">
        <f t="shared" si="22"/>
        <v>594.51964797667131</v>
      </c>
      <c r="AK46">
        <f t="shared" si="34"/>
        <v>34</v>
      </c>
      <c r="AL46" s="3">
        <f t="shared" si="35"/>
        <v>2647.0588235294113</v>
      </c>
      <c r="AM46" s="3">
        <f t="shared" si="35"/>
        <v>5294.1176470588225</v>
      </c>
      <c r="AN46" s="3">
        <f t="shared" si="35"/>
        <v>7941.1764705882333</v>
      </c>
      <c r="AO46" s="3">
        <f t="shared" si="35"/>
        <v>10588.235294117645</v>
      </c>
      <c r="AP46" s="3">
        <f t="shared" si="35"/>
        <v>13235.294117647056</v>
      </c>
      <c r="AQ46" s="3">
        <f t="shared" si="35"/>
        <v>15882.352941176467</v>
      </c>
      <c r="AR46" s="3">
        <f t="shared" si="35"/>
        <v>18529.411764705877</v>
      </c>
      <c r="AS46" s="3">
        <f t="shared" si="35"/>
        <v>21176.47058823529</v>
      </c>
      <c r="AT46" s="3">
        <f t="shared" si="35"/>
        <v>23823.529411764699</v>
      </c>
      <c r="AU46" s="3">
        <f t="shared" si="35"/>
        <v>26470.588235294112</v>
      </c>
      <c r="AV46" s="3">
        <f t="shared" si="36"/>
        <v>29117.647058823524</v>
      </c>
      <c r="AW46" s="3">
        <f t="shared" si="36"/>
        <v>31764.705882352933</v>
      </c>
      <c r="AX46" s="3">
        <f t="shared" si="36"/>
        <v>34411.764705882342</v>
      </c>
      <c r="AY46" s="3">
        <f t="shared" si="36"/>
        <v>37058.823529411755</v>
      </c>
      <c r="AZ46" s="3">
        <f t="shared" si="36"/>
        <v>39705.882352941175</v>
      </c>
      <c r="BA46" s="3">
        <f t="shared" si="36"/>
        <v>42352.94117647058</v>
      </c>
      <c r="BB46" s="3">
        <f t="shared" si="36"/>
        <v>44999.999999999993</v>
      </c>
      <c r="BC46" s="3">
        <f t="shared" si="36"/>
        <v>47647.058823529398</v>
      </c>
      <c r="BD46" s="3">
        <f t="shared" si="36"/>
        <v>50294.117647058811</v>
      </c>
      <c r="BE46" s="3">
        <f t="shared" si="36"/>
        <v>52941.176470588223</v>
      </c>
    </row>
    <row r="47" spans="1:57" x14ac:dyDescent="0.45">
      <c r="A47">
        <f t="shared" si="37"/>
        <v>35</v>
      </c>
      <c r="B47" s="3">
        <f t="shared" si="1"/>
        <v>734.69387755102036</v>
      </c>
      <c r="C47" s="3">
        <f t="shared" si="38"/>
        <v>25714.285714285714</v>
      </c>
      <c r="D47" s="3">
        <f t="shared" si="3"/>
        <v>3.2361332186655396</v>
      </c>
      <c r="E47" s="3">
        <f t="shared" si="4"/>
        <v>1.3611111111111112</v>
      </c>
      <c r="F47" s="3"/>
      <c r="G47" s="3">
        <f t="shared" si="5"/>
        <v>1667662.100280582</v>
      </c>
      <c r="H47" s="3">
        <f t="shared" si="6"/>
        <v>2571428.5714285714</v>
      </c>
      <c r="I47" s="3">
        <f t="shared" si="18"/>
        <v>2703242.3343343162</v>
      </c>
      <c r="J47" s="3">
        <f t="shared" si="7"/>
        <v>1.2316081360173281</v>
      </c>
      <c r="K47" s="3">
        <f t="shared" si="19"/>
        <v>904.85495707395523</v>
      </c>
      <c r="L47" s="3">
        <f t="shared" si="25"/>
        <v>904.85495707395523</v>
      </c>
      <c r="O47" s="9">
        <f t="shared" si="9"/>
        <v>0.90485495712571329</v>
      </c>
      <c r="P47" s="9">
        <f t="shared" si="20"/>
        <v>0.10514949619828196</v>
      </c>
      <c r="Q47" s="3">
        <f t="shared" si="10"/>
        <v>811.94656863547243</v>
      </c>
      <c r="R47" s="3">
        <f t="shared" si="11"/>
        <v>1017.5464180923598</v>
      </c>
      <c r="S47" s="3">
        <f t="shared" si="12"/>
        <v>1017.5464180923599</v>
      </c>
      <c r="T47" s="3"/>
      <c r="U47" s="3"/>
      <c r="V47" s="3">
        <f t="shared" si="13"/>
        <v>476.47488579445201</v>
      </c>
      <c r="W47" s="3">
        <f t="shared" si="21"/>
        <v>16676.621002805819</v>
      </c>
      <c r="X47" s="3">
        <f t="shared" si="14"/>
        <v>1.3611111111111114</v>
      </c>
      <c r="Y47" s="3">
        <f t="shared" si="15"/>
        <v>1.3611111111111112</v>
      </c>
      <c r="Z47" s="3">
        <f t="shared" si="22"/>
        <v>648.5352612202264</v>
      </c>
      <c r="AK47">
        <f t="shared" si="34"/>
        <v>35</v>
      </c>
      <c r="AL47" s="3">
        <f t="shared" si="35"/>
        <v>2571.4285714285711</v>
      </c>
      <c r="AM47" s="3">
        <f t="shared" si="35"/>
        <v>5142.8571428571422</v>
      </c>
      <c r="AN47" s="3">
        <f t="shared" si="35"/>
        <v>7714.2857142857138</v>
      </c>
      <c r="AO47" s="3">
        <f t="shared" si="35"/>
        <v>10285.714285714284</v>
      </c>
      <c r="AP47" s="3">
        <f t="shared" si="35"/>
        <v>12857.142857142857</v>
      </c>
      <c r="AQ47" s="3">
        <f t="shared" si="35"/>
        <v>15428.571428571428</v>
      </c>
      <c r="AR47" s="3">
        <f t="shared" si="35"/>
        <v>17999.999999999996</v>
      </c>
      <c r="AS47" s="3">
        <f t="shared" si="35"/>
        <v>20571.428571428569</v>
      </c>
      <c r="AT47" s="3">
        <f t="shared" si="35"/>
        <v>23142.857142857141</v>
      </c>
      <c r="AU47" s="3">
        <f t="shared" si="35"/>
        <v>25714.285714285714</v>
      </c>
      <c r="AV47" s="3">
        <f t="shared" si="36"/>
        <v>28285.714285714283</v>
      </c>
      <c r="AW47" s="3">
        <f t="shared" si="36"/>
        <v>30857.142857142855</v>
      </c>
      <c r="AX47" s="3">
        <f t="shared" si="36"/>
        <v>33428.571428571428</v>
      </c>
      <c r="AY47" s="3">
        <f t="shared" si="36"/>
        <v>35999.999999999993</v>
      </c>
      <c r="AZ47" s="3">
        <f t="shared" si="36"/>
        <v>38571.428571428572</v>
      </c>
      <c r="BA47" s="3">
        <f t="shared" si="36"/>
        <v>41142.857142857138</v>
      </c>
      <c r="BB47" s="3">
        <f t="shared" si="36"/>
        <v>43714.285714285717</v>
      </c>
      <c r="BC47" s="3">
        <f t="shared" si="36"/>
        <v>46285.714285714283</v>
      </c>
      <c r="BD47" s="3">
        <f t="shared" si="36"/>
        <v>48857.142857142855</v>
      </c>
      <c r="BE47" s="3">
        <f t="shared" si="36"/>
        <v>51428.571428571428</v>
      </c>
    </row>
    <row r="48" spans="1:57" x14ac:dyDescent="0.45">
      <c r="A48">
        <f t="shared" si="37"/>
        <v>36</v>
      </c>
      <c r="B48" s="3">
        <f t="shared" si="1"/>
        <v>694.44444444444446</v>
      </c>
      <c r="C48" s="3">
        <f t="shared" si="38"/>
        <v>25000</v>
      </c>
      <c r="D48" s="3">
        <f t="shared" si="3"/>
        <v>2.891269439717159</v>
      </c>
      <c r="E48" s="3">
        <f t="shared" si="4"/>
        <v>1.44</v>
      </c>
      <c r="F48" s="3"/>
      <c r="G48" s="3">
        <f t="shared" si="5"/>
        <v>1764318.4342560279</v>
      </c>
      <c r="H48" s="3">
        <f t="shared" si="6"/>
        <v>2500000</v>
      </c>
      <c r="I48" s="3">
        <f t="shared" si="18"/>
        <v>2651076.1747569437</v>
      </c>
      <c r="J48" s="3">
        <f t="shared" si="7"/>
        <v>1.2805545865663177</v>
      </c>
      <c r="K48" s="3">
        <f t="shared" si="19"/>
        <v>889.27401844883173</v>
      </c>
      <c r="L48" s="3">
        <f t="shared" si="25"/>
        <v>889.27401844883161</v>
      </c>
      <c r="O48" s="9">
        <f t="shared" si="9"/>
        <v>0.88927401849969856</v>
      </c>
      <c r="P48" s="9">
        <f t="shared" si="20"/>
        <v>0.12451278143390287</v>
      </c>
      <c r="Q48" s="3">
        <f t="shared" si="10"/>
        <v>780.91165377354366</v>
      </c>
      <c r="R48" s="3">
        <f t="shared" si="11"/>
        <v>1023.7122032552434</v>
      </c>
      <c r="S48" s="3">
        <f t="shared" si="12"/>
        <v>1023.7122032552435</v>
      </c>
      <c r="T48" s="3"/>
      <c r="U48" s="3"/>
      <c r="V48" s="3">
        <f t="shared" si="13"/>
        <v>490.08845396000771</v>
      </c>
      <c r="W48" s="3">
        <f t="shared" si="21"/>
        <v>17643.184342560278</v>
      </c>
      <c r="X48" s="3">
        <f t="shared" si="14"/>
        <v>1.4399999999999997</v>
      </c>
      <c r="Y48" s="3">
        <f t="shared" si="15"/>
        <v>1.44</v>
      </c>
      <c r="Z48" s="3">
        <f t="shared" si="22"/>
        <v>705.72737370241111</v>
      </c>
      <c r="AK48">
        <f t="shared" si="34"/>
        <v>36</v>
      </c>
      <c r="AL48" s="3">
        <f t="shared" si="35"/>
        <v>2500</v>
      </c>
      <c r="AM48" s="3">
        <f t="shared" si="35"/>
        <v>5000</v>
      </c>
      <c r="AN48" s="3">
        <f t="shared" si="35"/>
        <v>7500</v>
      </c>
      <c r="AO48" s="3">
        <f t="shared" si="35"/>
        <v>10000</v>
      </c>
      <c r="AP48" s="3">
        <f t="shared" si="35"/>
        <v>12500</v>
      </c>
      <c r="AQ48" s="3">
        <f t="shared" si="35"/>
        <v>15000</v>
      </c>
      <c r="AR48" s="3">
        <f t="shared" si="35"/>
        <v>17500</v>
      </c>
      <c r="AS48" s="3">
        <f t="shared" si="35"/>
        <v>20000</v>
      </c>
      <c r="AT48" s="3">
        <f t="shared" si="35"/>
        <v>22500</v>
      </c>
      <c r="AU48" s="3">
        <f t="shared" si="35"/>
        <v>25000</v>
      </c>
      <c r="AV48" s="3">
        <f t="shared" si="36"/>
        <v>27500</v>
      </c>
      <c r="AW48" s="3">
        <f t="shared" si="36"/>
        <v>30000</v>
      </c>
      <c r="AX48" s="3">
        <f t="shared" si="36"/>
        <v>32500</v>
      </c>
      <c r="AY48" s="3">
        <f t="shared" si="36"/>
        <v>35000</v>
      </c>
      <c r="AZ48" s="3">
        <f t="shared" si="36"/>
        <v>37500</v>
      </c>
      <c r="BA48" s="3">
        <f t="shared" si="36"/>
        <v>40000</v>
      </c>
      <c r="BB48" s="3">
        <f t="shared" si="36"/>
        <v>42500</v>
      </c>
      <c r="BC48" s="3">
        <f t="shared" si="36"/>
        <v>45000</v>
      </c>
      <c r="BD48" s="3">
        <f t="shared" si="36"/>
        <v>47500.000000000007</v>
      </c>
      <c r="BE48" s="3">
        <f t="shared" si="36"/>
        <v>50000</v>
      </c>
    </row>
    <row r="49" spans="1:57" x14ac:dyDescent="0.45">
      <c r="A49">
        <f t="shared" si="37"/>
        <v>37</v>
      </c>
      <c r="B49" s="3">
        <f t="shared" si="1"/>
        <v>657.41417092768449</v>
      </c>
      <c r="C49" s="3">
        <f t="shared" si="38"/>
        <v>24324.324324324327</v>
      </c>
      <c r="D49" s="3">
        <f t="shared" si="3"/>
        <v>2.5911447369035945</v>
      </c>
      <c r="E49" s="3">
        <f t="shared" si="4"/>
        <v>1.5211111111111109</v>
      </c>
      <c r="F49" s="3"/>
      <c r="G49" s="3">
        <f t="shared" si="5"/>
        <v>1863697.4818645848</v>
      </c>
      <c r="H49" s="3">
        <f t="shared" si="6"/>
        <v>2432432.4324324327</v>
      </c>
      <c r="I49" s="3">
        <f t="shared" si="18"/>
        <v>2604816.618176078</v>
      </c>
      <c r="J49" s="3">
        <f t="shared" si="7"/>
        <v>1.3264418070224437</v>
      </c>
      <c r="K49" s="3">
        <f t="shared" si="19"/>
        <v>872.02164084747949</v>
      </c>
      <c r="L49" s="3">
        <f t="shared" si="25"/>
        <v>872.02164084747983</v>
      </c>
      <c r="O49" s="9">
        <f t="shared" si="9"/>
        <v>0.87202164089735945</v>
      </c>
      <c r="P49" s="9">
        <f t="shared" si="20"/>
        <v>0.14676053104707765</v>
      </c>
      <c r="Q49" s="3">
        <f t="shared" si="10"/>
        <v>753.89662377090576</v>
      </c>
      <c r="R49" s="3">
        <f t="shared" si="11"/>
        <v>1031.6306544581159</v>
      </c>
      <c r="S49" s="3">
        <f t="shared" si="12"/>
        <v>1031.6306544581159</v>
      </c>
      <c r="T49" s="3"/>
      <c r="U49" s="3"/>
      <c r="V49" s="3">
        <f t="shared" si="13"/>
        <v>503.70202212556353</v>
      </c>
      <c r="W49" s="3">
        <f t="shared" si="21"/>
        <v>18636.974818645849</v>
      </c>
      <c r="X49" s="3">
        <f t="shared" si="14"/>
        <v>1.5211111111111113</v>
      </c>
      <c r="Y49" s="3">
        <f t="shared" si="15"/>
        <v>1.5211111111111109</v>
      </c>
      <c r="Z49" s="3">
        <f t="shared" si="22"/>
        <v>766.18674254432926</v>
      </c>
      <c r="AK49">
        <f t="shared" si="34"/>
        <v>37</v>
      </c>
      <c r="AL49" s="3">
        <f t="shared" si="35"/>
        <v>2432.432432432433</v>
      </c>
      <c r="AM49" s="3">
        <f t="shared" si="35"/>
        <v>4864.8648648648659</v>
      </c>
      <c r="AN49" s="3">
        <f t="shared" si="35"/>
        <v>7297.2972972972984</v>
      </c>
      <c r="AO49" s="3">
        <f t="shared" si="35"/>
        <v>9729.7297297297318</v>
      </c>
      <c r="AP49" s="3">
        <f t="shared" si="35"/>
        <v>12162.162162162163</v>
      </c>
      <c r="AQ49" s="3">
        <f t="shared" si="35"/>
        <v>14594.594594594597</v>
      </c>
      <c r="AR49" s="3">
        <f t="shared" si="35"/>
        <v>17027.02702702703</v>
      </c>
      <c r="AS49" s="3">
        <f t="shared" si="35"/>
        <v>19459.459459459464</v>
      </c>
      <c r="AT49" s="3">
        <f t="shared" si="35"/>
        <v>21891.891891891893</v>
      </c>
      <c r="AU49" s="3">
        <f t="shared" si="35"/>
        <v>24324.324324324327</v>
      </c>
      <c r="AV49" s="3">
        <f t="shared" si="36"/>
        <v>26756.75675675676</v>
      </c>
      <c r="AW49" s="3">
        <f t="shared" si="36"/>
        <v>29189.189189189194</v>
      </c>
      <c r="AX49" s="3">
        <f t="shared" si="36"/>
        <v>31621.621621621627</v>
      </c>
      <c r="AY49" s="3">
        <f t="shared" si="36"/>
        <v>34054.054054054061</v>
      </c>
      <c r="AZ49" s="3">
        <f t="shared" si="36"/>
        <v>36486.486486486494</v>
      </c>
      <c r="BA49" s="3">
        <f t="shared" si="36"/>
        <v>38918.918918918927</v>
      </c>
      <c r="BB49" s="3">
        <f t="shared" si="36"/>
        <v>41351.351351351361</v>
      </c>
      <c r="BC49" s="3">
        <f t="shared" si="36"/>
        <v>43783.783783783787</v>
      </c>
      <c r="BD49" s="3">
        <f t="shared" si="36"/>
        <v>46216.21621621622</v>
      </c>
      <c r="BE49" s="3">
        <f t="shared" si="36"/>
        <v>48648.648648648654</v>
      </c>
    </row>
    <row r="50" spans="1:57" x14ac:dyDescent="0.45">
      <c r="A50">
        <f t="shared" si="37"/>
        <v>38</v>
      </c>
      <c r="B50" s="3">
        <f t="shared" si="1"/>
        <v>623.2686980609418</v>
      </c>
      <c r="C50" s="3">
        <f t="shared" si="38"/>
        <v>23684.21052631579</v>
      </c>
      <c r="D50" s="3">
        <f t="shared" si="3"/>
        <v>2.3289715449064117</v>
      </c>
      <c r="E50" s="3">
        <f t="shared" si="4"/>
        <v>1.6044444444444443</v>
      </c>
      <c r="F50" s="3"/>
      <c r="G50" s="3">
        <f t="shared" si="5"/>
        <v>1965799.2431062534</v>
      </c>
      <c r="H50" s="3">
        <f t="shared" si="6"/>
        <v>2368421.0526315789</v>
      </c>
      <c r="I50" s="3">
        <f t="shared" si="18"/>
        <v>2564275.716181424</v>
      </c>
      <c r="J50" s="3">
        <f t="shared" si="7"/>
        <v>1.3687151369787334</v>
      </c>
      <c r="K50" s="3">
        <f t="shared" si="19"/>
        <v>853.0773014410388</v>
      </c>
      <c r="L50" s="3">
        <f t="shared" si="25"/>
        <v>853.07730144103846</v>
      </c>
      <c r="O50" s="9">
        <f t="shared" si="9"/>
        <v>0.85307730148983518</v>
      </c>
      <c r="P50" s="9">
        <f t="shared" si="20"/>
        <v>0.17222671175704174</v>
      </c>
      <c r="Q50" s="3">
        <f t="shared" si="10"/>
        <v>730.61221646907029</v>
      </c>
      <c r="R50" s="3">
        <f t="shared" si="11"/>
        <v>1041.6677997216418</v>
      </c>
      <c r="S50" s="3">
        <f t="shared" si="12"/>
        <v>1041.667799721642</v>
      </c>
      <c r="T50" s="3"/>
      <c r="U50" s="3"/>
      <c r="V50" s="3">
        <f t="shared" si="13"/>
        <v>517.31559029111929</v>
      </c>
      <c r="W50" s="3">
        <f t="shared" si="21"/>
        <v>19657.992431062532</v>
      </c>
      <c r="X50" s="3">
        <f t="shared" si="14"/>
        <v>1.6044444444444446</v>
      </c>
      <c r="Y50" s="3">
        <f t="shared" si="15"/>
        <v>1.6044444444444443</v>
      </c>
      <c r="Z50" s="3">
        <f t="shared" si="22"/>
        <v>830.00412486708467</v>
      </c>
      <c r="AK50">
        <f t="shared" si="34"/>
        <v>38</v>
      </c>
      <c r="AL50" s="3">
        <f t="shared" si="35"/>
        <v>2368.4210526315792</v>
      </c>
      <c r="AM50" s="3">
        <f t="shared" si="35"/>
        <v>4736.8421052631584</v>
      </c>
      <c r="AN50" s="3">
        <f t="shared" si="35"/>
        <v>7105.2631578947376</v>
      </c>
      <c r="AO50" s="3">
        <f t="shared" si="35"/>
        <v>9473.6842105263167</v>
      </c>
      <c r="AP50" s="3">
        <f t="shared" si="35"/>
        <v>11842.105263157897</v>
      </c>
      <c r="AQ50" s="3">
        <f t="shared" si="35"/>
        <v>14210.526315789475</v>
      </c>
      <c r="AR50" s="3">
        <f t="shared" si="35"/>
        <v>16578.947368421053</v>
      </c>
      <c r="AS50" s="3">
        <f t="shared" si="35"/>
        <v>18947.368421052633</v>
      </c>
      <c r="AT50" s="3">
        <f t="shared" si="35"/>
        <v>21315.789473684214</v>
      </c>
      <c r="AU50" s="3">
        <f t="shared" si="35"/>
        <v>23684.210526315794</v>
      </c>
      <c r="AV50" s="3">
        <f t="shared" si="36"/>
        <v>26052.63157894737</v>
      </c>
      <c r="AW50" s="3">
        <f t="shared" si="36"/>
        <v>28421.05263157895</v>
      </c>
      <c r="AX50" s="3">
        <f t="shared" si="36"/>
        <v>30789.473684210527</v>
      </c>
      <c r="AY50" s="3">
        <f t="shared" si="36"/>
        <v>33157.894736842107</v>
      </c>
      <c r="AZ50" s="3">
        <f t="shared" si="36"/>
        <v>35526.315789473687</v>
      </c>
      <c r="BA50" s="3">
        <f t="shared" si="36"/>
        <v>37894.736842105267</v>
      </c>
      <c r="BB50" s="3">
        <f t="shared" si="36"/>
        <v>40263.15789473684</v>
      </c>
      <c r="BC50" s="3">
        <f t="shared" si="36"/>
        <v>42631.578947368427</v>
      </c>
      <c r="BD50" s="3">
        <f t="shared" si="36"/>
        <v>45000.000000000007</v>
      </c>
      <c r="BE50" s="3">
        <f t="shared" si="36"/>
        <v>47368.421052631587</v>
      </c>
    </row>
    <row r="51" spans="1:57" x14ac:dyDescent="0.45">
      <c r="A51">
        <f t="shared" si="37"/>
        <v>39</v>
      </c>
      <c r="B51" s="3">
        <f t="shared" si="1"/>
        <v>591.71597633136093</v>
      </c>
      <c r="C51" s="3">
        <f t="shared" si="38"/>
        <v>23076.923076923078</v>
      </c>
      <c r="D51" s="3">
        <f t="shared" si="3"/>
        <v>2.0991338924398657</v>
      </c>
      <c r="E51" s="3">
        <f t="shared" si="4"/>
        <v>1.6900000000000002</v>
      </c>
      <c r="F51" s="3"/>
      <c r="G51" s="3">
        <f t="shared" si="5"/>
        <v>2070623.7179810328</v>
      </c>
      <c r="H51" s="3">
        <f t="shared" si="6"/>
        <v>2307692.3076923075</v>
      </c>
      <c r="I51" s="3">
        <f t="shared" si="18"/>
        <v>2529291.2905295519</v>
      </c>
      <c r="J51" s="3">
        <f t="shared" si="7"/>
        <v>1.4068403382661041</v>
      </c>
      <c r="K51" s="3">
        <f t="shared" si="19"/>
        <v>832.44990429946984</v>
      </c>
      <c r="L51" s="3">
        <f t="shared" si="25"/>
        <v>832.44990429946984</v>
      </c>
      <c r="O51" s="9">
        <f t="shared" si="9"/>
        <v>0.83244990434708632</v>
      </c>
      <c r="P51" s="9">
        <f t="shared" si="20"/>
        <v>0.20127348778342147</v>
      </c>
      <c r="Q51" s="3">
        <f t="shared" si="10"/>
        <v>710.81271466474641</v>
      </c>
      <c r="R51" s="3">
        <f t="shared" si="11"/>
        <v>1054.23226911999</v>
      </c>
      <c r="S51" s="3">
        <f t="shared" si="12"/>
        <v>1054.23226911999</v>
      </c>
      <c r="T51" s="3"/>
      <c r="U51" s="3"/>
      <c r="V51" s="3">
        <f t="shared" si="13"/>
        <v>530.92915845667505</v>
      </c>
      <c r="W51" s="3">
        <f t="shared" si="21"/>
        <v>20706.237179810327</v>
      </c>
      <c r="X51" s="3">
        <f t="shared" si="14"/>
        <v>1.6900000000000002</v>
      </c>
      <c r="Y51" s="3">
        <f t="shared" si="15"/>
        <v>1.6900000000000002</v>
      </c>
      <c r="Z51" s="3">
        <f t="shared" si="22"/>
        <v>897.27027779178093</v>
      </c>
      <c r="AK51">
        <f t="shared" si="34"/>
        <v>39</v>
      </c>
      <c r="AL51" s="3">
        <f t="shared" si="35"/>
        <v>2307.6923076923076</v>
      </c>
      <c r="AM51" s="3">
        <f t="shared" si="35"/>
        <v>4615.3846153846152</v>
      </c>
      <c r="AN51" s="3">
        <f t="shared" si="35"/>
        <v>6923.076923076922</v>
      </c>
      <c r="AO51" s="3">
        <f t="shared" si="35"/>
        <v>9230.7692307692305</v>
      </c>
      <c r="AP51" s="3">
        <f t="shared" si="35"/>
        <v>11538.461538461539</v>
      </c>
      <c r="AQ51" s="3">
        <f t="shared" si="35"/>
        <v>13846.153846153844</v>
      </c>
      <c r="AR51" s="3">
        <f t="shared" si="35"/>
        <v>16153.846153846152</v>
      </c>
      <c r="AS51" s="3">
        <f t="shared" si="35"/>
        <v>18461.538461538461</v>
      </c>
      <c r="AT51" s="3">
        <f t="shared" si="35"/>
        <v>20769.23076923077</v>
      </c>
      <c r="AU51" s="3">
        <f t="shared" si="35"/>
        <v>23076.923076923078</v>
      </c>
      <c r="AV51" s="3">
        <f t="shared" si="36"/>
        <v>25384.615384615379</v>
      </c>
      <c r="AW51" s="3">
        <f t="shared" si="36"/>
        <v>27692.307692307688</v>
      </c>
      <c r="AX51" s="3">
        <f t="shared" si="36"/>
        <v>29999.999999999996</v>
      </c>
      <c r="AY51" s="3">
        <f t="shared" si="36"/>
        <v>32307.692307692305</v>
      </c>
      <c r="AZ51" s="3">
        <f t="shared" si="36"/>
        <v>34615.38461538461</v>
      </c>
      <c r="BA51" s="3">
        <f t="shared" si="36"/>
        <v>36923.076923076922</v>
      </c>
      <c r="BB51" s="3">
        <f t="shared" si="36"/>
        <v>39230.769230769227</v>
      </c>
      <c r="BC51" s="3">
        <f t="shared" si="36"/>
        <v>41538.461538461539</v>
      </c>
      <c r="BD51" s="3">
        <f t="shared" si="36"/>
        <v>43846.153846153844</v>
      </c>
      <c r="BE51" s="3">
        <f t="shared" si="36"/>
        <v>46153.846153846156</v>
      </c>
    </row>
    <row r="52" spans="1:57" x14ac:dyDescent="0.45">
      <c r="A52">
        <f t="shared" si="37"/>
        <v>40</v>
      </c>
      <c r="B52" s="3">
        <f t="shared" si="1"/>
        <v>562.5</v>
      </c>
      <c r="C52" s="3">
        <f t="shared" si="38"/>
        <v>22500</v>
      </c>
      <c r="D52" s="3">
        <f t="shared" si="3"/>
        <v>1.8969618793984282</v>
      </c>
      <c r="E52" s="3">
        <f t="shared" si="4"/>
        <v>1.7777777777777777</v>
      </c>
      <c r="F52" s="3"/>
      <c r="G52" s="3">
        <f t="shared" si="5"/>
        <v>2178170.9064889234</v>
      </c>
      <c r="H52" s="3">
        <f t="shared" si="6"/>
        <v>2250000</v>
      </c>
      <c r="I52" s="3">
        <f t="shared" si="18"/>
        <v>2499721.4093711912</v>
      </c>
      <c r="J52" s="3">
        <f t="shared" si="7"/>
        <v>1.4403209900582845</v>
      </c>
      <c r="K52" s="3">
        <f t="shared" si="19"/>
        <v>810.18055690778499</v>
      </c>
      <c r="L52" s="3">
        <f t="shared" si="25"/>
        <v>810.1805569077851</v>
      </c>
      <c r="O52" s="9">
        <f t="shared" si="9"/>
        <v>0.81018055695412761</v>
      </c>
      <c r="P52" s="9">
        <f t="shared" si="20"/>
        <v>0.23429276525654763</v>
      </c>
      <c r="Q52" s="3">
        <f t="shared" si="10"/>
        <v>694.28968045680801</v>
      </c>
      <c r="R52" s="3">
        <f t="shared" si="11"/>
        <v>1069.7742926587862</v>
      </c>
      <c r="S52" s="3">
        <f t="shared" si="12"/>
        <v>1069.7742926587862</v>
      </c>
      <c r="T52" s="3"/>
      <c r="U52" s="3"/>
      <c r="V52" s="3">
        <f t="shared" si="13"/>
        <v>544.54272662223082</v>
      </c>
      <c r="W52" s="3">
        <f t="shared" si="21"/>
        <v>21781.709064889234</v>
      </c>
      <c r="X52" s="3">
        <f t="shared" si="14"/>
        <v>1.7777777777777777</v>
      </c>
      <c r="Y52" s="3">
        <f t="shared" si="15"/>
        <v>1.7777777777777777</v>
      </c>
      <c r="Z52" s="3">
        <f t="shared" si="22"/>
        <v>968.0759584395214</v>
      </c>
      <c r="AK52">
        <f t="shared" si="34"/>
        <v>40</v>
      </c>
      <c r="AL52" s="3">
        <f t="shared" si="35"/>
        <v>2250</v>
      </c>
      <c r="AM52" s="3">
        <f t="shared" si="35"/>
        <v>4500</v>
      </c>
      <c r="AN52" s="3">
        <f t="shared" si="35"/>
        <v>6750</v>
      </c>
      <c r="AO52" s="3">
        <f t="shared" si="35"/>
        <v>9000</v>
      </c>
      <c r="AP52" s="3">
        <f t="shared" si="35"/>
        <v>11250</v>
      </c>
      <c r="AQ52" s="3">
        <f t="shared" si="35"/>
        <v>13500</v>
      </c>
      <c r="AR52" s="3">
        <f t="shared" si="35"/>
        <v>15750</v>
      </c>
      <c r="AS52" s="3">
        <f t="shared" si="35"/>
        <v>18000</v>
      </c>
      <c r="AT52" s="3">
        <f t="shared" si="35"/>
        <v>20250</v>
      </c>
      <c r="AU52" s="3">
        <f t="shared" si="35"/>
        <v>22500</v>
      </c>
      <c r="AV52" s="3">
        <f t="shared" si="36"/>
        <v>24750</v>
      </c>
      <c r="AW52" s="3">
        <f t="shared" si="36"/>
        <v>27000</v>
      </c>
      <c r="AX52" s="3">
        <f t="shared" si="36"/>
        <v>29250</v>
      </c>
      <c r="AY52" s="3">
        <f t="shared" si="36"/>
        <v>31500</v>
      </c>
      <c r="AZ52" s="3">
        <f t="shared" si="36"/>
        <v>33750</v>
      </c>
      <c r="BA52" s="3">
        <f t="shared" si="36"/>
        <v>36000</v>
      </c>
      <c r="BB52" s="3">
        <f t="shared" si="36"/>
        <v>38250</v>
      </c>
      <c r="BC52" s="3">
        <f t="shared" si="36"/>
        <v>40500</v>
      </c>
      <c r="BD52" s="3">
        <f t="shared" si="36"/>
        <v>42750</v>
      </c>
      <c r="BE52" s="3">
        <f t="shared" si="36"/>
        <v>45000</v>
      </c>
    </row>
    <row r="53" spans="1:57" x14ac:dyDescent="0.45">
      <c r="A53">
        <f t="shared" si="37"/>
        <v>41</v>
      </c>
      <c r="B53" s="3">
        <f t="shared" si="1"/>
        <v>535.39559785841766</v>
      </c>
      <c r="C53" s="3">
        <f t="shared" si="38"/>
        <v>21951.219512195123</v>
      </c>
      <c r="D53" s="3">
        <f t="shared" si="3"/>
        <v>1.7185538378015608</v>
      </c>
      <c r="E53" s="3">
        <f t="shared" si="4"/>
        <v>1.867777777777778</v>
      </c>
      <c r="F53" s="3"/>
      <c r="G53" s="3">
        <f t="shared" si="5"/>
        <v>2288440.8086299249</v>
      </c>
      <c r="H53" s="3">
        <f t="shared" si="6"/>
        <v>2195121.9512195121</v>
      </c>
      <c r="I53" s="3">
        <f t="shared" si="18"/>
        <v>2475439.4992357325</v>
      </c>
      <c r="J53" s="3">
        <f t="shared" si="7"/>
        <v>1.4687161706948253</v>
      </c>
      <c r="K53" s="3">
        <f t="shared" si="19"/>
        <v>786.34417229348185</v>
      </c>
      <c r="L53" s="3">
        <f t="shared" si="25"/>
        <v>786.34417229348173</v>
      </c>
      <c r="O53" s="9">
        <f t="shared" si="9"/>
        <v>0.78634417233846099</v>
      </c>
      <c r="P53" s="9">
        <f t="shared" si="20"/>
        <v>0.27170777781205002</v>
      </c>
      <c r="Q53" s="3">
        <f t="shared" si="10"/>
        <v>680.86674600288234</v>
      </c>
      <c r="R53" s="3">
        <f t="shared" si="11"/>
        <v>1088.7843664176405</v>
      </c>
      <c r="S53" s="3">
        <f t="shared" si="12"/>
        <v>1088.7843664176405</v>
      </c>
      <c r="T53" s="3"/>
      <c r="U53" s="3"/>
      <c r="V53" s="3">
        <f t="shared" si="13"/>
        <v>558.15629478778658</v>
      </c>
      <c r="W53" s="3">
        <f t="shared" si="21"/>
        <v>22884.408086299249</v>
      </c>
      <c r="X53" s="3">
        <f t="shared" si="14"/>
        <v>1.8677777777777775</v>
      </c>
      <c r="Y53" s="3">
        <f t="shared" si="15"/>
        <v>1.867777777777778</v>
      </c>
      <c r="Z53" s="3">
        <f t="shared" si="22"/>
        <v>1042.5119239314104</v>
      </c>
      <c r="AK53">
        <f t="shared" si="34"/>
        <v>41</v>
      </c>
      <c r="AL53" s="3">
        <f t="shared" ref="AL53:AU62" si="39">AL$12/(IMPROVED_MBPS*IMPROVED_KM^2/(DIST_RINGS_EM/$AK53)^2)*$AK53</f>
        <v>2195.1219512195121</v>
      </c>
      <c r="AM53" s="3">
        <f t="shared" si="39"/>
        <v>4390.2439024390242</v>
      </c>
      <c r="AN53" s="3">
        <f t="shared" si="39"/>
        <v>6585.3658536585353</v>
      </c>
      <c r="AO53" s="3">
        <f t="shared" si="39"/>
        <v>8780.4878048780483</v>
      </c>
      <c r="AP53" s="3">
        <f t="shared" si="39"/>
        <v>10975.60975609756</v>
      </c>
      <c r="AQ53" s="3">
        <f t="shared" si="39"/>
        <v>13170.731707317071</v>
      </c>
      <c r="AR53" s="3">
        <f t="shared" si="39"/>
        <v>15365.853658536584</v>
      </c>
      <c r="AS53" s="3">
        <f t="shared" si="39"/>
        <v>17560.975609756097</v>
      </c>
      <c r="AT53" s="3">
        <f t="shared" si="39"/>
        <v>19756.09756097561</v>
      </c>
      <c r="AU53" s="3">
        <f t="shared" si="39"/>
        <v>21951.219512195119</v>
      </c>
      <c r="AV53" s="3">
        <f t="shared" ref="AV53:BE62" si="40">AV$12/(IMPROVED_MBPS*IMPROVED_KM^2/(DIST_RINGS_EM/$AK53)^2)*$AK53</f>
        <v>24146.341463414632</v>
      </c>
      <c r="AW53" s="3">
        <f t="shared" si="40"/>
        <v>26341.463414634141</v>
      </c>
      <c r="AX53" s="3">
        <f t="shared" si="40"/>
        <v>28536.585365853654</v>
      </c>
      <c r="AY53" s="3">
        <f t="shared" si="40"/>
        <v>30731.707317073167</v>
      </c>
      <c r="AZ53" s="3">
        <f t="shared" si="40"/>
        <v>32926.829268292684</v>
      </c>
      <c r="BA53" s="3">
        <f t="shared" si="40"/>
        <v>35121.951219512193</v>
      </c>
      <c r="BB53" s="3">
        <f t="shared" si="40"/>
        <v>37317.073170731703</v>
      </c>
      <c r="BC53" s="3">
        <f t="shared" si="40"/>
        <v>39512.195121951219</v>
      </c>
      <c r="BD53" s="3">
        <f t="shared" si="40"/>
        <v>41707.317073170729</v>
      </c>
      <c r="BE53" s="3">
        <f t="shared" si="40"/>
        <v>43902.439024390238</v>
      </c>
    </row>
    <row r="54" spans="1:57" x14ac:dyDescent="0.45">
      <c r="A54">
        <f t="shared" si="37"/>
        <v>42</v>
      </c>
      <c r="B54" s="3">
        <f t="shared" si="1"/>
        <v>510.20408163265307</v>
      </c>
      <c r="C54" s="3">
        <f t="shared" si="38"/>
        <v>21428.571428571428</v>
      </c>
      <c r="D54" s="3">
        <f t="shared" si="3"/>
        <v>1.5606352327669466</v>
      </c>
      <c r="E54" s="3">
        <f t="shared" si="4"/>
        <v>1.9600000000000002</v>
      </c>
      <c r="F54" s="3"/>
      <c r="G54" s="3">
        <f t="shared" si="5"/>
        <v>2401433.4244040381</v>
      </c>
      <c r="H54" s="3">
        <f t="shared" si="6"/>
        <v>2142857.1428571427</v>
      </c>
      <c r="I54" s="3">
        <f t="shared" si="18"/>
        <v>2456330.0587777495</v>
      </c>
      <c r="J54" s="3">
        <f t="shared" si="7"/>
        <v>1.4916573203006367</v>
      </c>
      <c r="K54" s="3">
        <f t="shared" si="19"/>
        <v>761.04965321461054</v>
      </c>
      <c r="L54" s="3">
        <f t="shared" si="25"/>
        <v>761.04965321461066</v>
      </c>
      <c r="O54" s="9">
        <f t="shared" si="9"/>
        <v>0.76104965325814289</v>
      </c>
      <c r="P54" s="9">
        <f t="shared" si="20"/>
        <v>0.31397471336972904</v>
      </c>
      <c r="Q54" s="3">
        <f t="shared" si="10"/>
        <v>670.39526192333119</v>
      </c>
      <c r="R54" s="3">
        <f t="shared" si="11"/>
        <v>1111.7919284446386</v>
      </c>
      <c r="S54" s="3">
        <f t="shared" si="12"/>
        <v>1111.7919284446386</v>
      </c>
      <c r="T54" s="3"/>
      <c r="U54" s="3"/>
      <c r="V54" s="3">
        <f t="shared" si="13"/>
        <v>571.76986295334234</v>
      </c>
      <c r="W54" s="3">
        <f t="shared" si="21"/>
        <v>24014.334244040379</v>
      </c>
      <c r="X54" s="3">
        <f t="shared" si="14"/>
        <v>1.96</v>
      </c>
      <c r="Y54" s="3">
        <f t="shared" si="15"/>
        <v>1.9600000000000002</v>
      </c>
      <c r="Z54" s="3">
        <f t="shared" si="22"/>
        <v>1120.6689313885511</v>
      </c>
      <c r="AK54">
        <f t="shared" si="34"/>
        <v>42</v>
      </c>
      <c r="AL54" s="3">
        <f t="shared" si="39"/>
        <v>2142.8571428571427</v>
      </c>
      <c r="AM54" s="3">
        <f t="shared" si="39"/>
        <v>4285.7142857142853</v>
      </c>
      <c r="AN54" s="3">
        <f t="shared" si="39"/>
        <v>6428.5714285714275</v>
      </c>
      <c r="AO54" s="3">
        <f t="shared" si="39"/>
        <v>8571.4285714285706</v>
      </c>
      <c r="AP54" s="3">
        <f t="shared" si="39"/>
        <v>10714.285714285714</v>
      </c>
      <c r="AQ54" s="3">
        <f t="shared" si="39"/>
        <v>12857.142857142855</v>
      </c>
      <c r="AR54" s="3">
        <f t="shared" si="39"/>
        <v>14999.999999999998</v>
      </c>
      <c r="AS54" s="3">
        <f t="shared" si="39"/>
        <v>17142.857142857141</v>
      </c>
      <c r="AT54" s="3">
        <f t="shared" si="39"/>
        <v>19285.714285714283</v>
      </c>
      <c r="AU54" s="3">
        <f t="shared" si="39"/>
        <v>21428.571428571428</v>
      </c>
      <c r="AV54" s="3">
        <f t="shared" si="40"/>
        <v>23571.428571428569</v>
      </c>
      <c r="AW54" s="3">
        <f t="shared" si="40"/>
        <v>25714.28571428571</v>
      </c>
      <c r="AX54" s="3">
        <f t="shared" si="40"/>
        <v>27857.142857142855</v>
      </c>
      <c r="AY54" s="3">
        <f t="shared" si="40"/>
        <v>29999.999999999996</v>
      </c>
      <c r="AZ54" s="3">
        <f t="shared" si="40"/>
        <v>32142.857142857141</v>
      </c>
      <c r="BA54" s="3">
        <f t="shared" si="40"/>
        <v>34285.714285714283</v>
      </c>
      <c r="BB54" s="3">
        <f t="shared" si="40"/>
        <v>36428.571428571428</v>
      </c>
      <c r="BC54" s="3">
        <f t="shared" si="40"/>
        <v>38571.428571428565</v>
      </c>
      <c r="BD54" s="3">
        <f t="shared" si="40"/>
        <v>40714.28571428571</v>
      </c>
      <c r="BE54" s="3">
        <f t="shared" si="40"/>
        <v>42857.142857142855</v>
      </c>
    </row>
    <row r="55" spans="1:57" x14ac:dyDescent="0.45">
      <c r="A55">
        <f t="shared" si="37"/>
        <v>43</v>
      </c>
      <c r="B55" s="3">
        <f t="shared" si="1"/>
        <v>486.74959437533801</v>
      </c>
      <c r="C55" s="3">
        <f t="shared" si="38"/>
        <v>20930.232558139534</v>
      </c>
      <c r="D55" s="3">
        <f t="shared" si="3"/>
        <v>1.4204460602591307</v>
      </c>
      <c r="E55" s="3">
        <f t="shared" si="4"/>
        <v>2.0544444444444445</v>
      </c>
      <c r="F55" s="3"/>
      <c r="G55" s="3">
        <f t="shared" si="5"/>
        <v>2517148.7538112621</v>
      </c>
      <c r="H55" s="3">
        <f t="shared" si="6"/>
        <v>2093023.2558139535</v>
      </c>
      <c r="I55" s="3">
        <f t="shared" si="18"/>
        <v>2442284.9570804466</v>
      </c>
      <c r="J55" s="3">
        <f t="shared" si="7"/>
        <v>1.5088631092869205</v>
      </c>
      <c r="K55" s="3">
        <f t="shared" si="19"/>
        <v>734.43850641331983</v>
      </c>
      <c r="L55" s="3">
        <f t="shared" si="25"/>
        <v>734.43850641331994</v>
      </c>
      <c r="O55" s="9">
        <f t="shared" si="9"/>
        <v>0.73443850645533004</v>
      </c>
      <c r="P55" s="9">
        <f t="shared" si="20"/>
        <v>0.36158438209669486</v>
      </c>
      <c r="Q55" s="3">
        <f t="shared" si="10"/>
        <v>662.75064569336143</v>
      </c>
      <c r="R55" s="3">
        <f t="shared" si="11"/>
        <v>1139.3643663163991</v>
      </c>
      <c r="S55" s="3">
        <f t="shared" si="12"/>
        <v>1139.3643663163994</v>
      </c>
      <c r="T55" s="3"/>
      <c r="U55" s="3"/>
      <c r="V55" s="3">
        <f t="shared" si="13"/>
        <v>585.38343111889822</v>
      </c>
      <c r="W55" s="3">
        <f t="shared" si="21"/>
        <v>25171.487538112622</v>
      </c>
      <c r="X55" s="3">
        <f t="shared" si="14"/>
        <v>2.054444444444445</v>
      </c>
      <c r="Y55" s="3">
        <f t="shared" si="15"/>
        <v>2.0544444444444445</v>
      </c>
      <c r="Z55" s="3">
        <f t="shared" si="22"/>
        <v>1202.6377379320477</v>
      </c>
      <c r="AK55">
        <f t="shared" si="34"/>
        <v>43</v>
      </c>
      <c r="AL55" s="3">
        <f t="shared" si="39"/>
        <v>2093.0232558139533</v>
      </c>
      <c r="AM55" s="3">
        <f t="shared" si="39"/>
        <v>4186.0465116279065</v>
      </c>
      <c r="AN55" s="3">
        <f t="shared" si="39"/>
        <v>6279.0697674418607</v>
      </c>
      <c r="AO55" s="3">
        <f t="shared" si="39"/>
        <v>8372.093023255813</v>
      </c>
      <c r="AP55" s="3">
        <f t="shared" si="39"/>
        <v>10465.116279069767</v>
      </c>
      <c r="AQ55" s="3">
        <f t="shared" si="39"/>
        <v>12558.139534883721</v>
      </c>
      <c r="AR55" s="3">
        <f t="shared" si="39"/>
        <v>14651.162790697674</v>
      </c>
      <c r="AS55" s="3">
        <f t="shared" si="39"/>
        <v>16744.186046511626</v>
      </c>
      <c r="AT55" s="3">
        <f t="shared" si="39"/>
        <v>18837.20930232558</v>
      </c>
      <c r="AU55" s="3">
        <f t="shared" si="39"/>
        <v>20930.232558139534</v>
      </c>
      <c r="AV55" s="3">
        <f t="shared" si="40"/>
        <v>23023.255813953485</v>
      </c>
      <c r="AW55" s="3">
        <f t="shared" si="40"/>
        <v>25116.279069767443</v>
      </c>
      <c r="AX55" s="3">
        <f t="shared" si="40"/>
        <v>27209.302325581393</v>
      </c>
      <c r="AY55" s="3">
        <f t="shared" si="40"/>
        <v>29302.325581395347</v>
      </c>
      <c r="AZ55" s="3">
        <f t="shared" si="40"/>
        <v>31395.348837209298</v>
      </c>
      <c r="BA55" s="3">
        <f t="shared" si="40"/>
        <v>33488.372093023252</v>
      </c>
      <c r="BB55" s="3">
        <f t="shared" si="40"/>
        <v>35581.395348837206</v>
      </c>
      <c r="BC55" s="3">
        <f t="shared" si="40"/>
        <v>37674.41860465116</v>
      </c>
      <c r="BD55" s="3">
        <f t="shared" si="40"/>
        <v>39767.441860465115</v>
      </c>
      <c r="BE55" s="3">
        <f t="shared" si="40"/>
        <v>41860.465116279069</v>
      </c>
    </row>
    <row r="56" spans="1:57" x14ac:dyDescent="0.45">
      <c r="A56">
        <f t="shared" si="37"/>
        <v>44</v>
      </c>
      <c r="B56" s="3">
        <f t="shared" si="1"/>
        <v>464.87603305785126</v>
      </c>
      <c r="C56" s="3">
        <f t="shared" si="38"/>
        <v>20454.545454545456</v>
      </c>
      <c r="D56" s="3">
        <f t="shared" si="3"/>
        <v>1.2956504879437392</v>
      </c>
      <c r="E56" s="3">
        <f t="shared" si="4"/>
        <v>2.1511111111111112</v>
      </c>
      <c r="F56" s="3"/>
      <c r="G56" s="3">
        <f t="shared" si="5"/>
        <v>2635586.7968515973</v>
      </c>
      <c r="H56" s="3">
        <f t="shared" si="6"/>
        <v>2045454.5454545454</v>
      </c>
      <c r="I56" s="3">
        <f t="shared" si="18"/>
        <v>2433200.3079186222</v>
      </c>
      <c r="J56" s="3">
        <f t="shared" si="7"/>
        <v>1.5201511904451275</v>
      </c>
      <c r="K56" s="3">
        <f t="shared" si="19"/>
        <v>706.681855062301</v>
      </c>
      <c r="L56" s="3">
        <f t="shared" si="25"/>
        <v>706.68185506230134</v>
      </c>
      <c r="O56" s="9">
        <f t="shared" si="9"/>
        <v>0.70668185510272352</v>
      </c>
      <c r="P56" s="9">
        <f t="shared" si="20"/>
        <v>0.41506392555478833</v>
      </c>
      <c r="Q56" s="3">
        <f t="shared" si="10"/>
        <v>657.82930423518053</v>
      </c>
      <c r="R56" s="3">
        <f t="shared" si="11"/>
        <v>1172.1066077505805</v>
      </c>
      <c r="S56" s="3">
        <f t="shared" si="12"/>
        <v>1172.1066077505805</v>
      </c>
      <c r="T56" s="3"/>
      <c r="U56" s="3"/>
      <c r="V56" s="3">
        <f t="shared" si="13"/>
        <v>598.99699928445398</v>
      </c>
      <c r="W56" s="3">
        <f t="shared" si="21"/>
        <v>26355.867968515973</v>
      </c>
      <c r="X56" s="3">
        <f t="shared" si="14"/>
        <v>2.1511111111111116</v>
      </c>
      <c r="Y56" s="3">
        <f t="shared" si="15"/>
        <v>2.1511111111111112</v>
      </c>
      <c r="Z56" s="3">
        <f t="shared" si="22"/>
        <v>1288.5091006830032</v>
      </c>
      <c r="AK56">
        <f t="shared" si="34"/>
        <v>44</v>
      </c>
      <c r="AL56" s="3">
        <f t="shared" si="39"/>
        <v>2045.4545454545453</v>
      </c>
      <c r="AM56" s="3">
        <f t="shared" si="39"/>
        <v>4090.9090909090905</v>
      </c>
      <c r="AN56" s="3">
        <f t="shared" si="39"/>
        <v>6136.363636363636</v>
      </c>
      <c r="AO56" s="3">
        <f t="shared" si="39"/>
        <v>8181.8181818181811</v>
      </c>
      <c r="AP56" s="3">
        <f t="shared" si="39"/>
        <v>10227.272727272726</v>
      </c>
      <c r="AQ56" s="3">
        <f t="shared" si="39"/>
        <v>12272.727272727272</v>
      </c>
      <c r="AR56" s="3">
        <f t="shared" si="39"/>
        <v>14318.181818181818</v>
      </c>
      <c r="AS56" s="3">
        <f t="shared" si="39"/>
        <v>16363.636363636362</v>
      </c>
      <c r="AT56" s="3">
        <f t="shared" si="39"/>
        <v>18409.090909090908</v>
      </c>
      <c r="AU56" s="3">
        <f t="shared" si="39"/>
        <v>20454.545454545452</v>
      </c>
      <c r="AV56" s="3">
        <f t="shared" si="40"/>
        <v>22499.999999999996</v>
      </c>
      <c r="AW56" s="3">
        <f t="shared" si="40"/>
        <v>24545.454545454544</v>
      </c>
      <c r="AX56" s="3">
        <f t="shared" si="40"/>
        <v>26590.909090909092</v>
      </c>
      <c r="AY56" s="3">
        <f t="shared" si="40"/>
        <v>28636.363636363636</v>
      </c>
      <c r="AZ56" s="3">
        <f t="shared" si="40"/>
        <v>30681.81818181818</v>
      </c>
      <c r="BA56" s="3">
        <f t="shared" si="40"/>
        <v>32727.272727272724</v>
      </c>
      <c r="BB56" s="3">
        <f t="shared" si="40"/>
        <v>34772.727272727272</v>
      </c>
      <c r="BC56" s="3">
        <f t="shared" si="40"/>
        <v>36818.181818181816</v>
      </c>
      <c r="BD56" s="3">
        <f t="shared" si="40"/>
        <v>38863.63636363636</v>
      </c>
      <c r="BE56" s="3">
        <f t="shared" si="40"/>
        <v>40909.090909090904</v>
      </c>
    </row>
    <row r="57" spans="1:57" x14ac:dyDescent="0.45">
      <c r="A57">
        <f t="shared" si="37"/>
        <v>45</v>
      </c>
      <c r="B57" s="3">
        <f t="shared" si="1"/>
        <v>444.44444444444446</v>
      </c>
      <c r="C57" s="3">
        <f t="shared" si="38"/>
        <v>20000</v>
      </c>
      <c r="D57" s="3">
        <f t="shared" si="3"/>
        <v>1.1842639625081486</v>
      </c>
      <c r="E57" s="3">
        <f t="shared" si="4"/>
        <v>2.25</v>
      </c>
      <c r="F57" s="3"/>
      <c r="G57" s="3">
        <f t="shared" si="5"/>
        <v>2756747.5535250437</v>
      </c>
      <c r="H57" s="3">
        <f t="shared" si="6"/>
        <v>2000000</v>
      </c>
      <c r="I57" s="3">
        <f t="shared" si="18"/>
        <v>2428973.9126772396</v>
      </c>
      <c r="J57" s="3">
        <f t="shared" si="7"/>
        <v>1.5254458947145264</v>
      </c>
      <c r="K57" s="3">
        <f t="shared" si="19"/>
        <v>677.97595320645621</v>
      </c>
      <c r="L57" s="3">
        <f t="shared" si="25"/>
        <v>677.97595320645621</v>
      </c>
      <c r="O57" s="9">
        <f t="shared" si="9"/>
        <v>0.67797595324523674</v>
      </c>
      <c r="P57" s="9">
        <f t="shared" si="20"/>
        <v>0.47497856703227503</v>
      </c>
      <c r="Q57" s="3">
        <f t="shared" si="10"/>
        <v>655.54602979212223</v>
      </c>
      <c r="R57" s="3">
        <f t="shared" si="11"/>
        <v>1210.6614405810526</v>
      </c>
      <c r="S57" s="3">
        <f t="shared" si="12"/>
        <v>1210.6614405810528</v>
      </c>
      <c r="T57" s="3"/>
      <c r="U57" s="3"/>
      <c r="V57" s="3">
        <f t="shared" si="13"/>
        <v>612.61056745000963</v>
      </c>
      <c r="W57" s="3">
        <f t="shared" si="21"/>
        <v>27567.475535250433</v>
      </c>
      <c r="X57" s="3">
        <f t="shared" si="14"/>
        <v>2.2499999999999996</v>
      </c>
      <c r="Y57" s="3">
        <f t="shared" si="15"/>
        <v>2.25</v>
      </c>
      <c r="Z57" s="3">
        <f t="shared" si="22"/>
        <v>1378.3737767625216</v>
      </c>
      <c r="AK57">
        <f t="shared" si="34"/>
        <v>45</v>
      </c>
      <c r="AL57" s="3">
        <f t="shared" si="39"/>
        <v>2000</v>
      </c>
      <c r="AM57" s="3">
        <f t="shared" si="39"/>
        <v>4000</v>
      </c>
      <c r="AN57" s="3">
        <f t="shared" si="39"/>
        <v>6000</v>
      </c>
      <c r="AO57" s="3">
        <f t="shared" si="39"/>
        <v>8000</v>
      </c>
      <c r="AP57" s="3">
        <f t="shared" si="39"/>
        <v>10000</v>
      </c>
      <c r="AQ57" s="3">
        <f t="shared" si="39"/>
        <v>12000</v>
      </c>
      <c r="AR57" s="3">
        <f t="shared" si="39"/>
        <v>13999.999999999998</v>
      </c>
      <c r="AS57" s="3">
        <f t="shared" si="39"/>
        <v>16000</v>
      </c>
      <c r="AT57" s="3">
        <f t="shared" si="39"/>
        <v>18000</v>
      </c>
      <c r="AU57" s="3">
        <f t="shared" si="39"/>
        <v>20000</v>
      </c>
      <c r="AV57" s="3">
        <f t="shared" si="40"/>
        <v>22000</v>
      </c>
      <c r="AW57" s="3">
        <f t="shared" si="40"/>
        <v>24000</v>
      </c>
      <c r="AX57" s="3">
        <f t="shared" si="40"/>
        <v>26000.000000000004</v>
      </c>
      <c r="AY57" s="3">
        <f t="shared" si="40"/>
        <v>27999.999999999996</v>
      </c>
      <c r="AZ57" s="3">
        <f t="shared" si="40"/>
        <v>30000</v>
      </c>
      <c r="BA57" s="3">
        <f t="shared" si="40"/>
        <v>32000</v>
      </c>
      <c r="BB57" s="3">
        <f t="shared" si="40"/>
        <v>34000</v>
      </c>
      <c r="BC57" s="3">
        <f t="shared" si="40"/>
        <v>36000</v>
      </c>
      <c r="BD57" s="3">
        <f t="shared" si="40"/>
        <v>38000</v>
      </c>
      <c r="BE57" s="3">
        <f t="shared" si="40"/>
        <v>40000</v>
      </c>
    </row>
    <row r="58" spans="1:57" x14ac:dyDescent="0.45">
      <c r="A58">
        <f t="shared" si="37"/>
        <v>46</v>
      </c>
      <c r="B58" s="3">
        <f t="shared" si="1"/>
        <v>425.33081285444234</v>
      </c>
      <c r="C58" s="3">
        <f t="shared" si="38"/>
        <v>19565.217391304348</v>
      </c>
      <c r="D58" s="3">
        <f t="shared" si="3"/>
        <v>1.0845941113123112</v>
      </c>
      <c r="E58" s="3">
        <f t="shared" si="4"/>
        <v>2.3511111111111109</v>
      </c>
      <c r="F58" s="3"/>
      <c r="G58" s="3">
        <f t="shared" si="5"/>
        <v>2880631.0238316013</v>
      </c>
      <c r="H58" s="3">
        <f t="shared" si="6"/>
        <v>1956521.7391304348</v>
      </c>
      <c r="I58" s="3">
        <f t="shared" si="18"/>
        <v>2429503.2598363096</v>
      </c>
      <c r="J58" s="3">
        <f t="shared" si="7"/>
        <v>1.5247812300525285</v>
      </c>
      <c r="K58" s="3">
        <f t="shared" si="19"/>
        <v>648.53644000343843</v>
      </c>
      <c r="L58" s="3">
        <f t="shared" si="25"/>
        <v>648.53644000343832</v>
      </c>
      <c r="O58" s="9">
        <f t="shared" si="9"/>
        <v>0.64853644004053501</v>
      </c>
      <c r="P58" s="9">
        <f t="shared" si="20"/>
        <v>0.5419334030598153</v>
      </c>
      <c r="Q58" s="3">
        <f t="shared" si="10"/>
        <v>655.8317876908477</v>
      </c>
      <c r="R58" s="3">
        <f t="shared" si="11"/>
        <v>1255.7105909837589</v>
      </c>
      <c r="S58" s="3">
        <f t="shared" si="12"/>
        <v>1255.7105909837589</v>
      </c>
      <c r="T58" s="3"/>
      <c r="U58" s="3"/>
      <c r="V58" s="3">
        <f t="shared" si="13"/>
        <v>626.2241356155655</v>
      </c>
      <c r="W58" s="3">
        <f t="shared" si="21"/>
        <v>28806.310238316015</v>
      </c>
      <c r="X58" s="3">
        <f t="shared" si="14"/>
        <v>2.3511111111111114</v>
      </c>
      <c r="Y58" s="3">
        <f t="shared" si="15"/>
        <v>2.3511111111111109</v>
      </c>
      <c r="Z58" s="3">
        <f t="shared" si="22"/>
        <v>1472.3225232917073</v>
      </c>
      <c r="AK58">
        <f t="shared" si="34"/>
        <v>46</v>
      </c>
      <c r="AL58" s="3">
        <f t="shared" si="39"/>
        <v>1956.521739130435</v>
      </c>
      <c r="AM58" s="3">
        <f t="shared" si="39"/>
        <v>3913.04347826087</v>
      </c>
      <c r="AN58" s="3">
        <f t="shared" si="39"/>
        <v>5869.5652173913049</v>
      </c>
      <c r="AO58" s="3">
        <f t="shared" si="39"/>
        <v>7826.0869565217399</v>
      </c>
      <c r="AP58" s="3">
        <f t="shared" si="39"/>
        <v>9782.6086956521758</v>
      </c>
      <c r="AQ58" s="3">
        <f t="shared" si="39"/>
        <v>11739.13043478261</v>
      </c>
      <c r="AR58" s="3">
        <f t="shared" si="39"/>
        <v>13695.652173913044</v>
      </c>
      <c r="AS58" s="3">
        <f t="shared" si="39"/>
        <v>15652.17391304348</v>
      </c>
      <c r="AT58" s="3">
        <f t="shared" si="39"/>
        <v>17608.695652173916</v>
      </c>
      <c r="AU58" s="3">
        <f t="shared" si="39"/>
        <v>19565.217391304352</v>
      </c>
      <c r="AV58" s="3">
        <f t="shared" si="40"/>
        <v>21521.739130434784</v>
      </c>
      <c r="AW58" s="3">
        <f t="shared" si="40"/>
        <v>23478.26086956522</v>
      </c>
      <c r="AX58" s="3">
        <f t="shared" si="40"/>
        <v>25434.782608695652</v>
      </c>
      <c r="AY58" s="3">
        <f t="shared" si="40"/>
        <v>27391.304347826088</v>
      </c>
      <c r="AZ58" s="3">
        <f t="shared" si="40"/>
        <v>29347.826086956524</v>
      </c>
      <c r="BA58" s="3">
        <f t="shared" si="40"/>
        <v>31304.34782608696</v>
      </c>
      <c r="BB58" s="3">
        <f t="shared" si="40"/>
        <v>33260.869565217392</v>
      </c>
      <c r="BC58" s="3">
        <f t="shared" si="40"/>
        <v>35217.391304347831</v>
      </c>
      <c r="BD58" s="3">
        <f t="shared" si="40"/>
        <v>37173.913043478264</v>
      </c>
      <c r="BE58" s="3">
        <f t="shared" si="40"/>
        <v>39130.434782608703</v>
      </c>
    </row>
    <row r="59" spans="1:57" x14ac:dyDescent="0.45">
      <c r="A59">
        <f t="shared" si="37"/>
        <v>47</v>
      </c>
      <c r="B59" s="3">
        <f t="shared" si="1"/>
        <v>407.42417383431416</v>
      </c>
      <c r="C59" s="3">
        <f t="shared" si="38"/>
        <v>19148.936170212764</v>
      </c>
      <c r="D59" s="3">
        <f t="shared" si="3"/>
        <v>0.99519259788907855</v>
      </c>
      <c r="E59" s="3">
        <f t="shared" si="4"/>
        <v>2.4544444444444444</v>
      </c>
      <c r="F59" s="3"/>
      <c r="G59" s="3">
        <f t="shared" si="5"/>
        <v>3007237.2077712701</v>
      </c>
      <c r="H59" s="3">
        <f t="shared" si="6"/>
        <v>1914893.6170212766</v>
      </c>
      <c r="I59" s="3">
        <f t="shared" si="18"/>
        <v>2434684.0596799855</v>
      </c>
      <c r="J59" s="3">
        <f t="shared" si="7"/>
        <v>1.5182989257024355</v>
      </c>
      <c r="K59" s="3">
        <f t="shared" si="19"/>
        <v>618.59168543784153</v>
      </c>
      <c r="L59" s="3">
        <f t="shared" si="25"/>
        <v>618.59168543784199</v>
      </c>
      <c r="O59" s="9">
        <f t="shared" si="9"/>
        <v>0.61859168547322518</v>
      </c>
      <c r="P59" s="9">
        <f t="shared" si="20"/>
        <v>0.61657523611070819</v>
      </c>
      <c r="Q59" s="3">
        <f t="shared" si="10"/>
        <v>658.63183001341667</v>
      </c>
      <c r="R59" s="3">
        <f t="shared" si="11"/>
        <v>1307.9764811365756</v>
      </c>
      <c r="S59" s="3">
        <f t="shared" si="12"/>
        <v>1307.9764811365753</v>
      </c>
      <c r="T59" s="3"/>
      <c r="U59" s="3"/>
      <c r="V59" s="3">
        <f t="shared" si="13"/>
        <v>639.83770378112126</v>
      </c>
      <c r="W59" s="3">
        <f t="shared" si="21"/>
        <v>30072.372077712698</v>
      </c>
      <c r="X59" s="3">
        <f t="shared" si="14"/>
        <v>2.4544444444444449</v>
      </c>
      <c r="Y59" s="3">
        <f t="shared" si="15"/>
        <v>2.4544444444444444</v>
      </c>
      <c r="Z59" s="3">
        <f t="shared" si="22"/>
        <v>1570.4460973916632</v>
      </c>
      <c r="AK59">
        <f t="shared" si="34"/>
        <v>47</v>
      </c>
      <c r="AL59" s="3">
        <f t="shared" si="39"/>
        <v>1914.8936170212764</v>
      </c>
      <c r="AM59" s="3">
        <f t="shared" si="39"/>
        <v>3829.7872340425529</v>
      </c>
      <c r="AN59" s="3">
        <f t="shared" si="39"/>
        <v>5744.6808510638293</v>
      </c>
      <c r="AO59" s="3">
        <f t="shared" si="39"/>
        <v>7659.5744680851058</v>
      </c>
      <c r="AP59" s="3">
        <f t="shared" si="39"/>
        <v>9574.4680851063822</v>
      </c>
      <c r="AQ59" s="3">
        <f t="shared" si="39"/>
        <v>11489.361702127659</v>
      </c>
      <c r="AR59" s="3">
        <f t="shared" si="39"/>
        <v>13404.255319148935</v>
      </c>
      <c r="AS59" s="3">
        <f t="shared" si="39"/>
        <v>15319.148936170212</v>
      </c>
      <c r="AT59" s="3">
        <f t="shared" si="39"/>
        <v>17234.042553191488</v>
      </c>
      <c r="AU59" s="3">
        <f t="shared" si="39"/>
        <v>19148.936170212764</v>
      </c>
      <c r="AV59" s="3">
        <f t="shared" si="40"/>
        <v>21063.829787234041</v>
      </c>
      <c r="AW59" s="3">
        <f t="shared" si="40"/>
        <v>22978.723404255317</v>
      </c>
      <c r="AX59" s="3">
        <f t="shared" si="40"/>
        <v>24893.617021276594</v>
      </c>
      <c r="AY59" s="3">
        <f t="shared" si="40"/>
        <v>26808.51063829787</v>
      </c>
      <c r="AZ59" s="3">
        <f t="shared" si="40"/>
        <v>28723.404255319147</v>
      </c>
      <c r="BA59" s="3">
        <f t="shared" si="40"/>
        <v>30638.297872340423</v>
      </c>
      <c r="BB59" s="3">
        <f t="shared" si="40"/>
        <v>32553.191489361703</v>
      </c>
      <c r="BC59" s="3">
        <f t="shared" si="40"/>
        <v>34468.085106382976</v>
      </c>
      <c r="BD59" s="3">
        <f t="shared" si="40"/>
        <v>36382.978723404252</v>
      </c>
      <c r="BE59" s="3">
        <f t="shared" si="40"/>
        <v>38297.872340425529</v>
      </c>
    </row>
    <row r="60" spans="1:57" x14ac:dyDescent="0.45">
      <c r="A60">
        <f t="shared" si="37"/>
        <v>48</v>
      </c>
      <c r="B60" s="3">
        <f t="shared" si="1"/>
        <v>390.625</v>
      </c>
      <c r="C60" s="3">
        <f t="shared" si="38"/>
        <v>18750</v>
      </c>
      <c r="D60" s="3">
        <f t="shared" si="3"/>
        <v>0.91481572116050736</v>
      </c>
      <c r="E60" s="3">
        <f t="shared" si="4"/>
        <v>2.56</v>
      </c>
      <c r="F60" s="3"/>
      <c r="G60" s="3">
        <f t="shared" si="5"/>
        <v>3136566.1053440496</v>
      </c>
      <c r="H60" s="3">
        <f t="shared" si="6"/>
        <v>1875000</v>
      </c>
      <c r="I60" s="3">
        <f t="shared" si="18"/>
        <v>2444409.2810530495</v>
      </c>
      <c r="J60" s="3">
        <f t="shared" si="7"/>
        <v>1.5062416814404822</v>
      </c>
      <c r="K60" s="3">
        <f t="shared" si="19"/>
        <v>588.37565681268836</v>
      </c>
      <c r="L60" s="3">
        <f t="shared" si="25"/>
        <v>588.37565681268848</v>
      </c>
      <c r="O60" s="9">
        <f t="shared" si="9"/>
        <v>0.58837565684634363</v>
      </c>
      <c r="P60" s="9">
        <f t="shared" si="20"/>
        <v>0.6995944484854062</v>
      </c>
      <c r="Q60" s="3">
        <f t="shared" si="10"/>
        <v>663.90408143961179</v>
      </c>
      <c r="R60" s="3">
        <f t="shared" si="11"/>
        <v>1368.2245064717067</v>
      </c>
      <c r="S60" s="3">
        <f t="shared" si="12"/>
        <v>1368.2245064717065</v>
      </c>
      <c r="T60" s="3"/>
      <c r="U60" s="3"/>
      <c r="V60" s="3">
        <f t="shared" si="13"/>
        <v>653.45127194667702</v>
      </c>
      <c r="W60" s="3">
        <f t="shared" si="21"/>
        <v>31365.661053440497</v>
      </c>
      <c r="X60" s="3">
        <f t="shared" si="14"/>
        <v>2.5600000000000005</v>
      </c>
      <c r="Y60" s="3">
        <f t="shared" si="15"/>
        <v>2.56</v>
      </c>
      <c r="Z60" s="3">
        <f t="shared" si="22"/>
        <v>1672.8352561834931</v>
      </c>
      <c r="AK60">
        <f t="shared" si="34"/>
        <v>48</v>
      </c>
      <c r="AL60" s="3">
        <f t="shared" si="39"/>
        <v>1875</v>
      </c>
      <c r="AM60" s="3">
        <f t="shared" si="39"/>
        <v>3750</v>
      </c>
      <c r="AN60" s="3">
        <f t="shared" si="39"/>
        <v>5625</v>
      </c>
      <c r="AO60" s="3">
        <f t="shared" si="39"/>
        <v>7500</v>
      </c>
      <c r="AP60" s="3">
        <f t="shared" si="39"/>
        <v>9375</v>
      </c>
      <c r="AQ60" s="3">
        <f t="shared" si="39"/>
        <v>11250</v>
      </c>
      <c r="AR60" s="3">
        <f t="shared" si="39"/>
        <v>13125</v>
      </c>
      <c r="AS60" s="3">
        <f t="shared" si="39"/>
        <v>15000</v>
      </c>
      <c r="AT60" s="3">
        <f t="shared" si="39"/>
        <v>16875</v>
      </c>
      <c r="AU60" s="3">
        <f t="shared" si="39"/>
        <v>18750</v>
      </c>
      <c r="AV60" s="3">
        <f t="shared" si="40"/>
        <v>20625</v>
      </c>
      <c r="AW60" s="3">
        <f t="shared" si="40"/>
        <v>22500</v>
      </c>
      <c r="AX60" s="3">
        <f t="shared" si="40"/>
        <v>24375</v>
      </c>
      <c r="AY60" s="3">
        <f t="shared" si="40"/>
        <v>26250</v>
      </c>
      <c r="AZ60" s="3">
        <f t="shared" si="40"/>
        <v>28125</v>
      </c>
      <c r="BA60" s="3">
        <f t="shared" si="40"/>
        <v>30000</v>
      </c>
      <c r="BB60" s="3">
        <f t="shared" si="40"/>
        <v>31875</v>
      </c>
      <c r="BC60" s="3">
        <f t="shared" si="40"/>
        <v>33750</v>
      </c>
      <c r="BD60" s="3">
        <f t="shared" si="40"/>
        <v>35625</v>
      </c>
      <c r="BE60" s="3">
        <f t="shared" si="40"/>
        <v>37500</v>
      </c>
    </row>
    <row r="61" spans="1:57" x14ac:dyDescent="0.45">
      <c r="A61">
        <f t="shared" si="37"/>
        <v>49</v>
      </c>
      <c r="B61" s="3">
        <f t="shared" si="1"/>
        <v>374.8438150770512</v>
      </c>
      <c r="C61" s="3">
        <f t="shared" si="38"/>
        <v>18367.34693877551</v>
      </c>
      <c r="D61" s="3">
        <f t="shared" si="3"/>
        <v>0.84239202901539456</v>
      </c>
      <c r="E61" s="3">
        <f t="shared" si="4"/>
        <v>2.6677777777777778</v>
      </c>
      <c r="F61" s="3"/>
      <c r="G61" s="3">
        <f t="shared" si="5"/>
        <v>3268617.7165499409</v>
      </c>
      <c r="H61" s="3">
        <f t="shared" si="6"/>
        <v>1836734.693877551</v>
      </c>
      <c r="I61" s="3">
        <f t="shared" si="18"/>
        <v>2458568.6445428971</v>
      </c>
      <c r="J61" s="3">
        <f t="shared" si="7"/>
        <v>1.4889421773747391</v>
      </c>
      <c r="K61" s="3">
        <f t="shared" si="19"/>
        <v>558.12076619627862</v>
      </c>
      <c r="L61" s="3">
        <f t="shared" si="25"/>
        <v>558.12076619627874</v>
      </c>
      <c r="O61" s="9">
        <f t="shared" si="9"/>
        <v>0.55812076622820339</v>
      </c>
      <c r="P61" s="9">
        <f t="shared" si="20"/>
        <v>0.79172691738031808</v>
      </c>
      <c r="Q61" s="3">
        <f t="shared" si="10"/>
        <v>671.61775328708291</v>
      </c>
      <c r="R61" s="3">
        <f t="shared" si="11"/>
        <v>1437.2656274818503</v>
      </c>
      <c r="S61" s="3">
        <f t="shared" si="12"/>
        <v>1437.2656274818503</v>
      </c>
      <c r="T61" s="3"/>
      <c r="U61" s="3"/>
      <c r="V61" s="3">
        <f t="shared" si="13"/>
        <v>667.06484011223279</v>
      </c>
      <c r="W61" s="3">
        <f t="shared" si="21"/>
        <v>32686.177165499408</v>
      </c>
      <c r="X61" s="3">
        <f t="shared" si="14"/>
        <v>2.6677777777777778</v>
      </c>
      <c r="Y61" s="3">
        <f t="shared" si="15"/>
        <v>2.6677777777777778</v>
      </c>
      <c r="Z61" s="3">
        <f t="shared" si="22"/>
        <v>1779.580756788301</v>
      </c>
      <c r="AK61">
        <f t="shared" si="34"/>
        <v>49</v>
      </c>
      <c r="AL61" s="3">
        <f t="shared" si="39"/>
        <v>1836.7346938775511</v>
      </c>
      <c r="AM61" s="3">
        <f t="shared" si="39"/>
        <v>3673.4693877551022</v>
      </c>
      <c r="AN61" s="3">
        <f t="shared" si="39"/>
        <v>5510.2040816326535</v>
      </c>
      <c r="AO61" s="3">
        <f t="shared" si="39"/>
        <v>7346.9387755102043</v>
      </c>
      <c r="AP61" s="3">
        <f t="shared" si="39"/>
        <v>9183.6734693877552</v>
      </c>
      <c r="AQ61" s="3">
        <f t="shared" si="39"/>
        <v>11020.408163265307</v>
      </c>
      <c r="AR61" s="3">
        <f t="shared" si="39"/>
        <v>12857.142857142859</v>
      </c>
      <c r="AS61" s="3">
        <f t="shared" si="39"/>
        <v>14693.877551020409</v>
      </c>
      <c r="AT61" s="3">
        <f t="shared" si="39"/>
        <v>16530.612244897959</v>
      </c>
      <c r="AU61" s="3">
        <f t="shared" si="39"/>
        <v>18367.34693877551</v>
      </c>
      <c r="AV61" s="3">
        <f t="shared" si="40"/>
        <v>20204.081632653062</v>
      </c>
      <c r="AW61" s="3">
        <f t="shared" si="40"/>
        <v>22040.816326530614</v>
      </c>
      <c r="AX61" s="3">
        <f t="shared" si="40"/>
        <v>23877.551020408162</v>
      </c>
      <c r="AY61" s="3">
        <f t="shared" si="40"/>
        <v>25714.285714285717</v>
      </c>
      <c r="AZ61" s="3">
        <f t="shared" si="40"/>
        <v>27551.020408163262</v>
      </c>
      <c r="BA61" s="3">
        <f t="shared" si="40"/>
        <v>29387.755102040817</v>
      </c>
      <c r="BB61" s="3">
        <f t="shared" si="40"/>
        <v>31224.489795918369</v>
      </c>
      <c r="BC61" s="3">
        <f t="shared" si="40"/>
        <v>33061.224489795917</v>
      </c>
      <c r="BD61" s="3">
        <f t="shared" si="40"/>
        <v>34897.959183673469</v>
      </c>
      <c r="BE61" s="3">
        <f t="shared" si="40"/>
        <v>36734.693877551021</v>
      </c>
    </row>
    <row r="62" spans="1:57" x14ac:dyDescent="0.45">
      <c r="A62">
        <f t="shared" si="37"/>
        <v>50</v>
      </c>
      <c r="B62" s="3">
        <f t="shared" si="1"/>
        <v>360</v>
      </c>
      <c r="C62" s="3">
        <f t="shared" si="38"/>
        <v>18000</v>
      </c>
      <c r="D62" s="3">
        <f t="shared" si="3"/>
        <v>0.77699558580159622</v>
      </c>
      <c r="E62" s="3">
        <f t="shared" si="4"/>
        <v>2.7777777777777777</v>
      </c>
      <c r="F62" s="3"/>
      <c r="G62" s="3">
        <f t="shared" si="5"/>
        <v>3403392.0413889429</v>
      </c>
      <c r="H62" s="3">
        <f t="shared" si="6"/>
        <v>1800000</v>
      </c>
      <c r="I62" s="3">
        <f t="shared" si="18"/>
        <v>2477048.5152389323</v>
      </c>
      <c r="J62" s="3">
        <f t="shared" si="7"/>
        <v>1.4668087229557059</v>
      </c>
      <c r="K62" s="3">
        <f t="shared" si="19"/>
        <v>528.05114026405408</v>
      </c>
      <c r="L62" s="3">
        <f t="shared" si="25"/>
        <v>528.0511402640542</v>
      </c>
      <c r="O62" s="9">
        <f t="shared" si="9"/>
        <v>0.52805114029425881</v>
      </c>
      <c r="P62" s="9">
        <f t="shared" si="20"/>
        <v>0.89375597114087402</v>
      </c>
      <c r="Q62" s="3">
        <f t="shared" si="10"/>
        <v>681.7521496107147</v>
      </c>
      <c r="R62" s="3">
        <f t="shared" si="11"/>
        <v>1515.9590627633661</v>
      </c>
      <c r="S62" s="3">
        <f t="shared" si="12"/>
        <v>1515.9590627633659</v>
      </c>
      <c r="T62" s="3"/>
      <c r="U62" s="3"/>
      <c r="V62" s="3">
        <f t="shared" si="13"/>
        <v>680.67840827778855</v>
      </c>
      <c r="W62" s="3">
        <f t="shared" si="21"/>
        <v>34033.920413889427</v>
      </c>
      <c r="X62" s="3">
        <f t="shared" si="14"/>
        <v>2.7777777777777781</v>
      </c>
      <c r="Y62" s="3">
        <f t="shared" si="15"/>
        <v>2.7777777777777777</v>
      </c>
      <c r="Z62" s="3">
        <f t="shared" si="22"/>
        <v>1890.7733563271904</v>
      </c>
      <c r="AK62">
        <f t="shared" si="34"/>
        <v>50</v>
      </c>
      <c r="AL62" s="3">
        <f t="shared" si="39"/>
        <v>1800</v>
      </c>
      <c r="AM62" s="3">
        <f t="shared" si="39"/>
        <v>3600</v>
      </c>
      <c r="AN62" s="3">
        <f t="shared" si="39"/>
        <v>5400</v>
      </c>
      <c r="AO62" s="3">
        <f t="shared" si="39"/>
        <v>7200</v>
      </c>
      <c r="AP62" s="3">
        <f t="shared" si="39"/>
        <v>9000</v>
      </c>
      <c r="AQ62" s="3">
        <f t="shared" si="39"/>
        <v>10800</v>
      </c>
      <c r="AR62" s="3">
        <f t="shared" si="39"/>
        <v>12600</v>
      </c>
      <c r="AS62" s="3">
        <f t="shared" si="39"/>
        <v>14400</v>
      </c>
      <c r="AT62" s="3">
        <f t="shared" si="39"/>
        <v>16200</v>
      </c>
      <c r="AU62" s="3">
        <f t="shared" si="39"/>
        <v>18000</v>
      </c>
      <c r="AV62" s="3">
        <f t="shared" si="40"/>
        <v>19800</v>
      </c>
      <c r="AW62" s="3">
        <f t="shared" si="40"/>
        <v>21600</v>
      </c>
      <c r="AX62" s="3">
        <f t="shared" si="40"/>
        <v>23400</v>
      </c>
      <c r="AY62" s="3">
        <f t="shared" si="40"/>
        <v>25200</v>
      </c>
      <c r="AZ62" s="3">
        <f t="shared" si="40"/>
        <v>27000</v>
      </c>
      <c r="BA62" s="3">
        <f t="shared" si="40"/>
        <v>28800</v>
      </c>
      <c r="BB62" s="3">
        <f t="shared" si="40"/>
        <v>30600</v>
      </c>
      <c r="BC62" s="3">
        <f t="shared" si="40"/>
        <v>32400</v>
      </c>
      <c r="BD62" s="3">
        <f t="shared" si="40"/>
        <v>34200</v>
      </c>
      <c r="BE62" s="3">
        <f t="shared" si="40"/>
        <v>36000</v>
      </c>
    </row>
    <row r="63" spans="1:57" x14ac:dyDescent="0.45">
      <c r="A63">
        <f t="shared" si="37"/>
        <v>51</v>
      </c>
      <c r="B63" s="3">
        <f t="shared" si="1"/>
        <v>346.02076124567475</v>
      </c>
      <c r="C63" s="3">
        <f t="shared" si="38"/>
        <v>17647.058823529413</v>
      </c>
      <c r="D63" s="3">
        <f t="shared" si="3"/>
        <v>0.71782381798559669</v>
      </c>
      <c r="E63" s="3">
        <f t="shared" si="4"/>
        <v>2.89</v>
      </c>
      <c r="F63" s="3"/>
      <c r="G63" s="3">
        <f t="shared" si="5"/>
        <v>3540889.0798610561</v>
      </c>
      <c r="H63" s="3">
        <f t="shared" si="6"/>
        <v>1764705.8823529412</v>
      </c>
      <c r="I63" s="3">
        <f t="shared" si="18"/>
        <v>2499732.1296852771</v>
      </c>
      <c r="J63" s="3">
        <f t="shared" si="7"/>
        <v>1.4403086362063615</v>
      </c>
      <c r="K63" s="3">
        <f t="shared" si="19"/>
        <v>498.37669072884484</v>
      </c>
      <c r="L63" s="3">
        <f t="shared" si="25"/>
        <v>498.37669072884478</v>
      </c>
      <c r="O63" s="9">
        <f t="shared" si="9"/>
        <v>0.49837669075735219</v>
      </c>
      <c r="P63" s="9">
        <f t="shared" si="20"/>
        <v>1.0065143866988682</v>
      </c>
      <c r="Q63" s="3">
        <f t="shared" si="10"/>
        <v>694.29563553594051</v>
      </c>
      <c r="R63" s="3">
        <f t="shared" si="11"/>
        <v>1605.2148932861442</v>
      </c>
      <c r="S63" s="3">
        <f t="shared" si="12"/>
        <v>1605.2148932861442</v>
      </c>
      <c r="T63" s="3"/>
      <c r="U63" s="3"/>
      <c r="V63" s="3">
        <f t="shared" si="13"/>
        <v>694.29197644334442</v>
      </c>
      <c r="W63" s="3">
        <f t="shared" si="21"/>
        <v>35408.890798610562</v>
      </c>
      <c r="X63" s="3">
        <f t="shared" si="14"/>
        <v>2.8900000000000015</v>
      </c>
      <c r="Y63" s="3">
        <f t="shared" si="15"/>
        <v>2.89</v>
      </c>
      <c r="Z63" s="3">
        <f t="shared" si="22"/>
        <v>2006.5038119212654</v>
      </c>
      <c r="AK63">
        <f t="shared" si="34"/>
        <v>51</v>
      </c>
      <c r="AL63" s="3">
        <f t="shared" ref="AL63:AU72" si="41">AL$12/(IMPROVED_MBPS*IMPROVED_KM^2/(DIST_RINGS_EM/$AK63)^2)*$AK63</f>
        <v>1764.7058823529412</v>
      </c>
      <c r="AM63" s="3">
        <f t="shared" si="41"/>
        <v>3529.4117647058824</v>
      </c>
      <c r="AN63" s="3">
        <f t="shared" si="41"/>
        <v>5294.1176470588234</v>
      </c>
      <c r="AO63" s="3">
        <f t="shared" si="41"/>
        <v>7058.8235294117649</v>
      </c>
      <c r="AP63" s="3">
        <f t="shared" si="41"/>
        <v>8823.5294117647063</v>
      </c>
      <c r="AQ63" s="3">
        <f t="shared" si="41"/>
        <v>10588.235294117647</v>
      </c>
      <c r="AR63" s="3">
        <f t="shared" si="41"/>
        <v>12352.941176470587</v>
      </c>
      <c r="AS63" s="3">
        <f t="shared" si="41"/>
        <v>14117.64705882353</v>
      </c>
      <c r="AT63" s="3">
        <f t="shared" si="41"/>
        <v>15882.35294117647</v>
      </c>
      <c r="AU63" s="3">
        <f t="shared" si="41"/>
        <v>17647.058823529413</v>
      </c>
      <c r="AV63" s="3">
        <f t="shared" ref="AV63:BE72" si="42">AV$12/(IMPROVED_MBPS*IMPROVED_KM^2/(DIST_RINGS_EM/$AK63)^2)*$AK63</f>
        <v>19411.764705882353</v>
      </c>
      <c r="AW63" s="3">
        <f t="shared" si="42"/>
        <v>21176.470588235294</v>
      </c>
      <c r="AX63" s="3">
        <f t="shared" si="42"/>
        <v>22941.176470588234</v>
      </c>
      <c r="AY63" s="3">
        <f t="shared" si="42"/>
        <v>24705.882352941175</v>
      </c>
      <c r="AZ63" s="3">
        <f t="shared" si="42"/>
        <v>26470.588235294119</v>
      </c>
      <c r="BA63" s="3">
        <f t="shared" si="42"/>
        <v>28235.294117647059</v>
      </c>
      <c r="BB63" s="3">
        <f t="shared" si="42"/>
        <v>30000</v>
      </c>
      <c r="BC63" s="3">
        <f t="shared" si="42"/>
        <v>31764.705882352941</v>
      </c>
      <c r="BD63" s="3">
        <f t="shared" si="42"/>
        <v>33529.411764705881</v>
      </c>
      <c r="BE63" s="3">
        <f t="shared" si="42"/>
        <v>35294.117647058825</v>
      </c>
    </row>
    <row r="64" spans="1:57" x14ac:dyDescent="0.45">
      <c r="A64">
        <f t="shared" si="37"/>
        <v>52</v>
      </c>
      <c r="B64" s="3">
        <f t="shared" si="1"/>
        <v>332.84023668639054</v>
      </c>
      <c r="C64" s="3">
        <f t="shared" si="38"/>
        <v>17307.692307692309</v>
      </c>
      <c r="D64" s="3">
        <f t="shared" si="3"/>
        <v>0.66417908315480134</v>
      </c>
      <c r="E64" s="3">
        <f t="shared" si="4"/>
        <v>3.0044444444444447</v>
      </c>
      <c r="F64" s="3"/>
      <c r="G64" s="3">
        <f t="shared" si="5"/>
        <v>3681108.8319662805</v>
      </c>
      <c r="H64" s="3">
        <f t="shared" si="6"/>
        <v>1730769.2307692308</v>
      </c>
      <c r="I64" s="3">
        <f t="shared" si="18"/>
        <v>2526500.0867549069</v>
      </c>
      <c r="J64" s="3">
        <f t="shared" si="7"/>
        <v>1.4099505278743736</v>
      </c>
      <c r="K64" s="3">
        <f t="shared" si="19"/>
        <v>469.28826741380777</v>
      </c>
      <c r="L64" s="3">
        <f t="shared" si="25"/>
        <v>469.2882674138076</v>
      </c>
      <c r="O64" s="9">
        <f t="shared" si="9"/>
        <v>0.46928826744065127</v>
      </c>
      <c r="P64" s="9">
        <f t="shared" si="20"/>
        <v>1.1308864281940854</v>
      </c>
      <c r="Q64" s="3">
        <f t="shared" si="10"/>
        <v>709.24474311193671</v>
      </c>
      <c r="R64" s="3">
        <f t="shared" si="11"/>
        <v>1705.9964335408195</v>
      </c>
      <c r="S64" s="3">
        <f t="shared" si="12"/>
        <v>1705.9964335408192</v>
      </c>
      <c r="T64" s="3"/>
      <c r="U64" s="3"/>
      <c r="V64" s="3">
        <f t="shared" si="13"/>
        <v>707.90554460890007</v>
      </c>
      <c r="W64" s="3">
        <f t="shared" si="21"/>
        <v>36811.088319662806</v>
      </c>
      <c r="X64" s="3">
        <f t="shared" si="14"/>
        <v>3.0044444444444447</v>
      </c>
      <c r="Y64" s="3">
        <f t="shared" si="15"/>
        <v>3.0044444444444447</v>
      </c>
      <c r="Z64" s="3">
        <f t="shared" si="22"/>
        <v>2126.862880691629</v>
      </c>
      <c r="AK64">
        <f t="shared" si="34"/>
        <v>52</v>
      </c>
      <c r="AL64" s="3">
        <f t="shared" si="41"/>
        <v>1730.7692307692307</v>
      </c>
      <c r="AM64" s="3">
        <f t="shared" si="41"/>
        <v>3461.5384615384614</v>
      </c>
      <c r="AN64" s="3">
        <f t="shared" si="41"/>
        <v>5192.3076923076924</v>
      </c>
      <c r="AO64" s="3">
        <f t="shared" si="41"/>
        <v>6923.0769230769229</v>
      </c>
      <c r="AP64" s="3">
        <f t="shared" si="41"/>
        <v>8653.8461538461524</v>
      </c>
      <c r="AQ64" s="3">
        <f t="shared" si="41"/>
        <v>10384.615384615385</v>
      </c>
      <c r="AR64" s="3">
        <f t="shared" si="41"/>
        <v>12115.384615384613</v>
      </c>
      <c r="AS64" s="3">
        <f t="shared" si="41"/>
        <v>13846.153846153846</v>
      </c>
      <c r="AT64" s="3">
        <f t="shared" si="41"/>
        <v>15576.923076923076</v>
      </c>
      <c r="AU64" s="3">
        <f t="shared" si="41"/>
        <v>17307.692307692305</v>
      </c>
      <c r="AV64" s="3">
        <f t="shared" si="42"/>
        <v>19038.461538461535</v>
      </c>
      <c r="AW64" s="3">
        <f t="shared" si="42"/>
        <v>20769.23076923077</v>
      </c>
      <c r="AX64" s="3">
        <f t="shared" si="42"/>
        <v>22500</v>
      </c>
      <c r="AY64" s="3">
        <f t="shared" si="42"/>
        <v>24230.769230769227</v>
      </c>
      <c r="AZ64" s="3">
        <f t="shared" si="42"/>
        <v>25961.538461538461</v>
      </c>
      <c r="BA64" s="3">
        <f t="shared" si="42"/>
        <v>27692.307692307691</v>
      </c>
      <c r="BB64" s="3">
        <f t="shared" si="42"/>
        <v>29423.076923076922</v>
      </c>
      <c r="BC64" s="3">
        <f t="shared" si="42"/>
        <v>31153.846153846152</v>
      </c>
      <c r="BD64" s="3">
        <f t="shared" si="42"/>
        <v>32884.615384615383</v>
      </c>
      <c r="BE64" s="3">
        <f t="shared" si="42"/>
        <v>34615.38461538461</v>
      </c>
    </row>
    <row r="65" spans="1:57" x14ac:dyDescent="0.45">
      <c r="A65">
        <f t="shared" si="37"/>
        <v>53</v>
      </c>
      <c r="B65" s="3">
        <f t="shared" si="1"/>
        <v>320.39871840512637</v>
      </c>
      <c r="C65" s="3">
        <f t="shared" si="38"/>
        <v>16981.132075471698</v>
      </c>
      <c r="D65" s="3">
        <f t="shared" si="3"/>
        <v>0.61545327987735798</v>
      </c>
      <c r="E65" s="3">
        <f t="shared" si="4"/>
        <v>3.1211111111111109</v>
      </c>
      <c r="F65" s="3"/>
      <c r="G65" s="3">
        <f t="shared" si="5"/>
        <v>3824051.2977046161</v>
      </c>
      <c r="H65" s="3">
        <f t="shared" si="6"/>
        <v>1698113.2075471699</v>
      </c>
      <c r="I65" s="3">
        <f t="shared" si="18"/>
        <v>2557231.031313993</v>
      </c>
      <c r="J65" s="3">
        <f t="shared" si="7"/>
        <v>1.3762666236159826</v>
      </c>
      <c r="K65" s="3">
        <f t="shared" si="19"/>
        <v>440.95406239031126</v>
      </c>
      <c r="L65" s="3">
        <f t="shared" si="25"/>
        <v>440.95406239031132</v>
      </c>
      <c r="O65" s="9">
        <f t="shared" si="9"/>
        <v>0.44095406241553403</v>
      </c>
      <c r="P65" s="9">
        <f t="shared" si="20"/>
        <v>1.267809926780191</v>
      </c>
      <c r="Q65" s="3">
        <f t="shared" si="10"/>
        <v>726.60339412679673</v>
      </c>
      <c r="R65" s="3">
        <f t="shared" si="11"/>
        <v>1819.322282657168</v>
      </c>
      <c r="S65" s="3">
        <f t="shared" si="12"/>
        <v>1819.3222826571687</v>
      </c>
      <c r="T65" s="3"/>
      <c r="U65" s="3"/>
      <c r="V65" s="3">
        <f t="shared" si="13"/>
        <v>721.51911277445583</v>
      </c>
      <c r="W65" s="3">
        <f t="shared" si="21"/>
        <v>38240.512977046157</v>
      </c>
      <c r="X65" s="3">
        <f t="shared" si="14"/>
        <v>3.1211111111111114</v>
      </c>
      <c r="Y65" s="3">
        <f t="shared" si="15"/>
        <v>3.1211111111111109</v>
      </c>
      <c r="Z65" s="3">
        <f t="shared" si="22"/>
        <v>2251.9413197593849</v>
      </c>
      <c r="AK65">
        <f t="shared" si="34"/>
        <v>53</v>
      </c>
      <c r="AL65" s="3">
        <f t="shared" si="41"/>
        <v>1698.1132075471698</v>
      </c>
      <c r="AM65" s="3">
        <f t="shared" si="41"/>
        <v>3396.2264150943397</v>
      </c>
      <c r="AN65" s="3">
        <f t="shared" si="41"/>
        <v>5094.3396226415098</v>
      </c>
      <c r="AO65" s="3">
        <f t="shared" si="41"/>
        <v>6792.4528301886794</v>
      </c>
      <c r="AP65" s="3">
        <f t="shared" si="41"/>
        <v>8490.566037735849</v>
      </c>
      <c r="AQ65" s="3">
        <f t="shared" si="41"/>
        <v>10188.67924528302</v>
      </c>
      <c r="AR65" s="3">
        <f t="shared" si="41"/>
        <v>11886.79245283019</v>
      </c>
      <c r="AS65" s="3">
        <f t="shared" si="41"/>
        <v>13584.905660377359</v>
      </c>
      <c r="AT65" s="3">
        <f t="shared" si="41"/>
        <v>15283.018867924529</v>
      </c>
      <c r="AU65" s="3">
        <f t="shared" si="41"/>
        <v>16981.132075471698</v>
      </c>
      <c r="AV65" s="3">
        <f t="shared" si="42"/>
        <v>18679.24528301887</v>
      </c>
      <c r="AW65" s="3">
        <f t="shared" si="42"/>
        <v>20377.358490566039</v>
      </c>
      <c r="AX65" s="3">
        <f t="shared" si="42"/>
        <v>22075.471698113208</v>
      </c>
      <c r="AY65" s="3">
        <f t="shared" si="42"/>
        <v>23773.58490566038</v>
      </c>
      <c r="AZ65" s="3">
        <f t="shared" si="42"/>
        <v>25471.698113207549</v>
      </c>
      <c r="BA65" s="3">
        <f t="shared" si="42"/>
        <v>27169.811320754718</v>
      </c>
      <c r="BB65" s="3">
        <f t="shared" si="42"/>
        <v>28867.92452830189</v>
      </c>
      <c r="BC65" s="3">
        <f t="shared" si="42"/>
        <v>30566.037735849059</v>
      </c>
      <c r="BD65" s="3">
        <f t="shared" si="42"/>
        <v>32264.150943396231</v>
      </c>
      <c r="BE65" s="3">
        <f t="shared" si="42"/>
        <v>33962.264150943396</v>
      </c>
    </row>
    <row r="66" spans="1:57" x14ac:dyDescent="0.45">
      <c r="A66">
        <f t="shared" si="37"/>
        <v>54</v>
      </c>
      <c r="B66" s="3">
        <f t="shared" si="1"/>
        <v>308.64197530864197</v>
      </c>
      <c r="C66" s="3">
        <f t="shared" si="38"/>
        <v>16666.666666666668</v>
      </c>
      <c r="D66" s="3">
        <f t="shared" si="3"/>
        <v>0.57111495105524124</v>
      </c>
      <c r="E66" s="3">
        <f t="shared" si="4"/>
        <v>3.2399999999999998</v>
      </c>
      <c r="F66" s="3"/>
      <c r="G66" s="3">
        <f t="shared" si="5"/>
        <v>3969716.4770760629</v>
      </c>
      <c r="H66" s="3">
        <f t="shared" si="6"/>
        <v>1666666.6666666667</v>
      </c>
      <c r="I66" s="3">
        <f t="shared" si="18"/>
        <v>2591802.462548038</v>
      </c>
      <c r="J66" s="3">
        <f t="shared" si="7"/>
        <v>1.3397961118335397</v>
      </c>
      <c r="K66" s="3">
        <f t="shared" si="19"/>
        <v>413.51731846714188</v>
      </c>
      <c r="L66" s="3">
        <f t="shared" si="25"/>
        <v>413.51731846714182</v>
      </c>
      <c r="O66" s="9">
        <f t="shared" si="9"/>
        <v>0.4135173184907952</v>
      </c>
      <c r="P66" s="9">
        <f t="shared" si="20"/>
        <v>1.4182784016149004</v>
      </c>
      <c r="Q66" s="3">
        <f t="shared" si="10"/>
        <v>746.38222272064831</v>
      </c>
      <c r="R66" s="3">
        <f t="shared" si="11"/>
        <v>1946.2680279143672</v>
      </c>
      <c r="S66" s="3">
        <f t="shared" si="12"/>
        <v>1946.2680279143678</v>
      </c>
      <c r="T66" s="3"/>
      <c r="U66" s="3"/>
      <c r="V66" s="3">
        <f t="shared" si="13"/>
        <v>735.13268094001171</v>
      </c>
      <c r="W66" s="3">
        <f t="shared" si="21"/>
        <v>39697.164770760632</v>
      </c>
      <c r="X66" s="3">
        <f t="shared" si="14"/>
        <v>3.24</v>
      </c>
      <c r="Y66" s="3">
        <f t="shared" si="15"/>
        <v>3.2399999999999998</v>
      </c>
      <c r="Z66" s="3">
        <f t="shared" si="22"/>
        <v>2381.8298862456377</v>
      </c>
      <c r="AK66">
        <f t="shared" si="34"/>
        <v>54</v>
      </c>
      <c r="AL66" s="3">
        <f t="shared" si="41"/>
        <v>1666.6666666666667</v>
      </c>
      <c r="AM66" s="3">
        <f t="shared" si="41"/>
        <v>3333.3333333333335</v>
      </c>
      <c r="AN66" s="3">
        <f t="shared" si="41"/>
        <v>5000</v>
      </c>
      <c r="AO66" s="3">
        <f t="shared" si="41"/>
        <v>6666.666666666667</v>
      </c>
      <c r="AP66" s="3">
        <f t="shared" si="41"/>
        <v>8333.3333333333339</v>
      </c>
      <c r="AQ66" s="3">
        <f t="shared" si="41"/>
        <v>10000</v>
      </c>
      <c r="AR66" s="3">
        <f t="shared" si="41"/>
        <v>11666.666666666668</v>
      </c>
      <c r="AS66" s="3">
        <f t="shared" si="41"/>
        <v>13333.333333333334</v>
      </c>
      <c r="AT66" s="3">
        <f t="shared" si="41"/>
        <v>15000</v>
      </c>
      <c r="AU66" s="3">
        <f t="shared" si="41"/>
        <v>16666.666666666668</v>
      </c>
      <c r="AV66" s="3">
        <f t="shared" si="42"/>
        <v>18333.333333333332</v>
      </c>
      <c r="AW66" s="3">
        <f t="shared" si="42"/>
        <v>20000</v>
      </c>
      <c r="AX66" s="3">
        <f t="shared" si="42"/>
        <v>21666.666666666668</v>
      </c>
      <c r="AY66" s="3">
        <f t="shared" si="42"/>
        <v>23333.333333333336</v>
      </c>
      <c r="AZ66" s="3">
        <f t="shared" si="42"/>
        <v>25000</v>
      </c>
      <c r="BA66" s="3">
        <f t="shared" si="42"/>
        <v>26666.666666666668</v>
      </c>
      <c r="BB66" s="3">
        <f t="shared" si="42"/>
        <v>28333.333333333332</v>
      </c>
      <c r="BC66" s="3">
        <f t="shared" si="42"/>
        <v>30000</v>
      </c>
      <c r="BD66" s="3">
        <f t="shared" si="42"/>
        <v>31666.666666666668</v>
      </c>
      <c r="BE66" s="3">
        <f t="shared" si="42"/>
        <v>33333.333333333336</v>
      </c>
    </row>
    <row r="67" spans="1:57" x14ac:dyDescent="0.45">
      <c r="A67">
        <f t="shared" si="37"/>
        <v>55</v>
      </c>
      <c r="B67" s="3">
        <f t="shared" si="1"/>
        <v>297.52066115702479</v>
      </c>
      <c r="C67" s="3">
        <f t="shared" si="38"/>
        <v>16363.636363636364</v>
      </c>
      <c r="D67" s="3">
        <f t="shared" si="3"/>
        <v>0.53069843986175547</v>
      </c>
      <c r="E67" s="3">
        <f t="shared" si="4"/>
        <v>3.3611111111111103</v>
      </c>
      <c r="F67" s="3"/>
      <c r="G67" s="3">
        <f t="shared" si="5"/>
        <v>4118104.370080621</v>
      </c>
      <c r="H67" s="3">
        <f t="shared" si="6"/>
        <v>1636363.6363636365</v>
      </c>
      <c r="I67" s="3">
        <f t="shared" si="18"/>
        <v>2630091.6050838418</v>
      </c>
      <c r="J67" s="3">
        <f t="shared" si="7"/>
        <v>1.3010702883962577</v>
      </c>
      <c r="K67" s="3">
        <f t="shared" si="19"/>
        <v>387.09529241541549</v>
      </c>
      <c r="L67" s="3">
        <f t="shared" si="25"/>
        <v>387.09529241541543</v>
      </c>
      <c r="O67" s="9">
        <f t="shared" si="9"/>
        <v>0.38709529243755747</v>
      </c>
      <c r="P67" s="9">
        <f t="shared" si="20"/>
        <v>1.583343222034431</v>
      </c>
      <c r="Q67" s="3">
        <f t="shared" si="10"/>
        <v>768.59798341520263</v>
      </c>
      <c r="R67" s="3">
        <f t="shared" si="11"/>
        <v>2087.9676263266342</v>
      </c>
      <c r="S67" s="3">
        <f t="shared" si="12"/>
        <v>2087.9676263266342</v>
      </c>
      <c r="T67" s="3"/>
      <c r="U67" s="3"/>
      <c r="V67" s="3">
        <f t="shared" si="13"/>
        <v>748.74624910556747</v>
      </c>
      <c r="W67" s="3">
        <f t="shared" si="21"/>
        <v>41181.043700806214</v>
      </c>
      <c r="X67" s="3">
        <f t="shared" si="14"/>
        <v>3.361111111111112</v>
      </c>
      <c r="Y67" s="3">
        <f t="shared" si="15"/>
        <v>3.3611111111111103</v>
      </c>
      <c r="Z67" s="3">
        <f t="shared" si="22"/>
        <v>2516.6193372714902</v>
      </c>
      <c r="AK67">
        <f t="shared" si="34"/>
        <v>55</v>
      </c>
      <c r="AL67" s="3">
        <f t="shared" si="41"/>
        <v>1636.3636363636367</v>
      </c>
      <c r="AM67" s="3">
        <f t="shared" si="41"/>
        <v>3272.7272727272734</v>
      </c>
      <c r="AN67" s="3">
        <f t="shared" si="41"/>
        <v>4909.0909090909099</v>
      </c>
      <c r="AO67" s="3">
        <f t="shared" si="41"/>
        <v>6545.4545454545469</v>
      </c>
      <c r="AP67" s="3">
        <f t="shared" si="41"/>
        <v>8181.8181818181829</v>
      </c>
      <c r="AQ67" s="3">
        <f t="shared" si="41"/>
        <v>9818.1818181818198</v>
      </c>
      <c r="AR67" s="3">
        <f t="shared" si="41"/>
        <v>11454.545454545458</v>
      </c>
      <c r="AS67" s="3">
        <f t="shared" si="41"/>
        <v>13090.909090909094</v>
      </c>
      <c r="AT67" s="3">
        <f t="shared" si="41"/>
        <v>14727.272727272732</v>
      </c>
      <c r="AU67" s="3">
        <f t="shared" si="41"/>
        <v>16363.636363636366</v>
      </c>
      <c r="AV67" s="3">
        <f t="shared" si="42"/>
        <v>18000.000000000004</v>
      </c>
      <c r="AW67" s="3">
        <f t="shared" si="42"/>
        <v>19636.36363636364</v>
      </c>
      <c r="AX67" s="3">
        <f t="shared" si="42"/>
        <v>21272.727272727279</v>
      </c>
      <c r="AY67" s="3">
        <f t="shared" si="42"/>
        <v>22909.090909090915</v>
      </c>
      <c r="AZ67" s="3">
        <f t="shared" si="42"/>
        <v>24545.454545454551</v>
      </c>
      <c r="BA67" s="3">
        <f t="shared" si="42"/>
        <v>26181.818181818187</v>
      </c>
      <c r="BB67" s="3">
        <f t="shared" si="42"/>
        <v>27818.181818181823</v>
      </c>
      <c r="BC67" s="3">
        <f t="shared" si="42"/>
        <v>29454.545454545463</v>
      </c>
      <c r="BD67" s="3">
        <f t="shared" si="42"/>
        <v>31090.909090909099</v>
      </c>
      <c r="BE67" s="3">
        <f t="shared" si="42"/>
        <v>32727.272727272732</v>
      </c>
    </row>
    <row r="68" spans="1:57" x14ac:dyDescent="0.45">
      <c r="A68">
        <f t="shared" si="37"/>
        <v>56</v>
      </c>
      <c r="B68" s="3">
        <f t="shared" si="1"/>
        <v>286.98979591836735</v>
      </c>
      <c r="C68" s="3">
        <f t="shared" si="38"/>
        <v>16071.428571428572</v>
      </c>
      <c r="D68" s="3">
        <f t="shared" si="3"/>
        <v>0.49379474161766668</v>
      </c>
      <c r="E68" s="3">
        <f t="shared" si="4"/>
        <v>3.4844444444444451</v>
      </c>
      <c r="F68" s="3"/>
      <c r="G68" s="3">
        <f t="shared" si="5"/>
        <v>4269214.9767182898</v>
      </c>
      <c r="H68" s="3">
        <f t="shared" si="6"/>
        <v>1607142.857142857</v>
      </c>
      <c r="I68" s="3">
        <f t="shared" si="18"/>
        <v>2671976.2896822724</v>
      </c>
      <c r="J68" s="3">
        <f t="shared" si="7"/>
        <v>1.2606000191776314</v>
      </c>
      <c r="K68" s="3">
        <f t="shared" si="19"/>
        <v>361.77934223847842</v>
      </c>
      <c r="L68" s="3">
        <f t="shared" si="25"/>
        <v>361.77934223847842</v>
      </c>
      <c r="O68" s="9">
        <f t="shared" si="9"/>
        <v>0.36177934225917235</v>
      </c>
      <c r="P68" s="9">
        <f t="shared" si="20"/>
        <v>1.764115810912215</v>
      </c>
      <c r="Q68" s="3">
        <f t="shared" si="10"/>
        <v>793.27303246842905</v>
      </c>
      <c r="R68" s="3">
        <f t="shared" si="11"/>
        <v>2245.6145317782721</v>
      </c>
      <c r="S68" s="3">
        <f t="shared" si="12"/>
        <v>2245.6145317782716</v>
      </c>
      <c r="T68" s="3"/>
      <c r="U68" s="3"/>
      <c r="V68" s="3">
        <f t="shared" si="13"/>
        <v>762.35981727112312</v>
      </c>
      <c r="W68" s="3">
        <f t="shared" si="21"/>
        <v>42692.149767182898</v>
      </c>
      <c r="X68" s="3">
        <f t="shared" si="14"/>
        <v>3.4844444444444442</v>
      </c>
      <c r="Y68" s="3">
        <f t="shared" si="15"/>
        <v>3.4844444444444451</v>
      </c>
      <c r="Z68" s="3">
        <f t="shared" si="22"/>
        <v>2656.4004299580474</v>
      </c>
      <c r="AK68">
        <f t="shared" si="34"/>
        <v>56</v>
      </c>
      <c r="AL68" s="3">
        <f t="shared" si="41"/>
        <v>1607.1428571428569</v>
      </c>
      <c r="AM68" s="3">
        <f t="shared" si="41"/>
        <v>3214.2857142857138</v>
      </c>
      <c r="AN68" s="3">
        <f t="shared" si="41"/>
        <v>4821.4285714285706</v>
      </c>
      <c r="AO68" s="3">
        <f t="shared" si="41"/>
        <v>6428.5714285714275</v>
      </c>
      <c r="AP68" s="3">
        <f t="shared" si="41"/>
        <v>8035.7142857142844</v>
      </c>
      <c r="AQ68" s="3">
        <f t="shared" si="41"/>
        <v>9642.8571428571413</v>
      </c>
      <c r="AR68" s="3">
        <f t="shared" si="41"/>
        <v>11249.999999999998</v>
      </c>
      <c r="AS68" s="3">
        <f t="shared" si="41"/>
        <v>12857.142857142855</v>
      </c>
      <c r="AT68" s="3">
        <f t="shared" si="41"/>
        <v>14464.28571428571</v>
      </c>
      <c r="AU68" s="3">
        <f t="shared" si="41"/>
        <v>16071.428571428569</v>
      </c>
      <c r="AV68" s="3">
        <f t="shared" si="42"/>
        <v>17678.571428571428</v>
      </c>
      <c r="AW68" s="3">
        <f t="shared" si="42"/>
        <v>19285.714285714283</v>
      </c>
      <c r="AX68" s="3">
        <f t="shared" si="42"/>
        <v>20892.857142857138</v>
      </c>
      <c r="AY68" s="3">
        <f t="shared" si="42"/>
        <v>22499.999999999996</v>
      </c>
      <c r="AZ68" s="3">
        <f t="shared" si="42"/>
        <v>24107.142857142851</v>
      </c>
      <c r="BA68" s="3">
        <f t="shared" si="42"/>
        <v>25714.28571428571</v>
      </c>
      <c r="BB68" s="3">
        <f t="shared" si="42"/>
        <v>27321.428571428565</v>
      </c>
      <c r="BC68" s="3">
        <f t="shared" si="42"/>
        <v>28928.57142857142</v>
      </c>
      <c r="BD68" s="3">
        <f t="shared" si="42"/>
        <v>30535.714285714279</v>
      </c>
      <c r="BE68" s="3">
        <f t="shared" si="42"/>
        <v>32142.857142857138</v>
      </c>
    </row>
    <row r="69" spans="1:57" x14ac:dyDescent="0.45">
      <c r="A69">
        <f t="shared" si="37"/>
        <v>57</v>
      </c>
      <c r="B69" s="3">
        <f t="shared" si="1"/>
        <v>277.0083102493075</v>
      </c>
      <c r="C69" s="3">
        <f t="shared" si="38"/>
        <v>15789.473684210527</v>
      </c>
      <c r="D69" s="3">
        <f t="shared" si="3"/>
        <v>0.46004376195682223</v>
      </c>
      <c r="E69" s="3">
        <f t="shared" si="4"/>
        <v>3.6100000000000003</v>
      </c>
      <c r="F69" s="3"/>
      <c r="G69" s="3">
        <f t="shared" si="5"/>
        <v>4423048.2969890693</v>
      </c>
      <c r="H69" s="3">
        <f t="shared" si="6"/>
        <v>1578947.3684210526</v>
      </c>
      <c r="I69" s="3">
        <f t="shared" si="18"/>
        <v>2717335.8003048212</v>
      </c>
      <c r="J69" s="3">
        <f t="shared" si="7"/>
        <v>1.2188657913482535</v>
      </c>
      <c r="K69" s="3">
        <f t="shared" si="19"/>
        <v>337.63595328206469</v>
      </c>
      <c r="L69" s="3">
        <f t="shared" si="25"/>
        <v>337.63595328206463</v>
      </c>
      <c r="O69" s="9">
        <f t="shared" si="9"/>
        <v>0.33763595330137758</v>
      </c>
      <c r="P69" s="9">
        <f t="shared" si="20"/>
        <v>1.9617698892019031</v>
      </c>
      <c r="Q69" s="3">
        <f t="shared" si="10"/>
        <v>820.43487235509792</v>
      </c>
      <c r="R69" s="3">
        <f t="shared" si="11"/>
        <v>2420.4626626926565</v>
      </c>
      <c r="S69" s="3">
        <f t="shared" si="12"/>
        <v>2420.4626626926556</v>
      </c>
      <c r="T69" s="3"/>
      <c r="U69" s="3"/>
      <c r="V69" s="3">
        <f t="shared" si="13"/>
        <v>775.97338543667888</v>
      </c>
      <c r="W69" s="3">
        <f t="shared" si="21"/>
        <v>44230.482969890698</v>
      </c>
      <c r="X69" s="3">
        <f t="shared" si="14"/>
        <v>3.6099999999999994</v>
      </c>
      <c r="Y69" s="3">
        <f t="shared" si="15"/>
        <v>3.6100000000000003</v>
      </c>
      <c r="Z69" s="3">
        <f t="shared" si="22"/>
        <v>2801.2639214264109</v>
      </c>
      <c r="AK69">
        <f t="shared" si="34"/>
        <v>57</v>
      </c>
      <c r="AL69" s="3">
        <f t="shared" si="41"/>
        <v>1578.9473684210525</v>
      </c>
      <c r="AM69" s="3">
        <f t="shared" si="41"/>
        <v>3157.894736842105</v>
      </c>
      <c r="AN69" s="3">
        <f t="shared" si="41"/>
        <v>4736.8421052631575</v>
      </c>
      <c r="AO69" s="3">
        <f t="shared" si="41"/>
        <v>6315.78947368421</v>
      </c>
      <c r="AP69" s="3">
        <f t="shared" si="41"/>
        <v>7894.7368421052624</v>
      </c>
      <c r="AQ69" s="3">
        <f t="shared" si="41"/>
        <v>9473.6842105263149</v>
      </c>
      <c r="AR69" s="3">
        <f t="shared" si="41"/>
        <v>11052.631578947368</v>
      </c>
      <c r="AS69" s="3">
        <f t="shared" si="41"/>
        <v>12631.57894736842</v>
      </c>
      <c r="AT69" s="3">
        <f t="shared" si="41"/>
        <v>14210.526315789473</v>
      </c>
      <c r="AU69" s="3">
        <f t="shared" si="41"/>
        <v>15789.473684210525</v>
      </c>
      <c r="AV69" s="3">
        <f t="shared" si="42"/>
        <v>17368.42105263158</v>
      </c>
      <c r="AW69" s="3">
        <f t="shared" si="42"/>
        <v>18947.36842105263</v>
      </c>
      <c r="AX69" s="3">
        <f t="shared" si="42"/>
        <v>20526.31578947368</v>
      </c>
      <c r="AY69" s="3">
        <f t="shared" si="42"/>
        <v>22105.263157894737</v>
      </c>
      <c r="AZ69" s="3">
        <f t="shared" si="42"/>
        <v>23684.210526315786</v>
      </c>
      <c r="BA69" s="3">
        <f t="shared" si="42"/>
        <v>25263.15789473684</v>
      </c>
      <c r="BB69" s="3">
        <f t="shared" si="42"/>
        <v>26842.105263157893</v>
      </c>
      <c r="BC69" s="3">
        <f t="shared" si="42"/>
        <v>28421.052631578947</v>
      </c>
      <c r="BD69" s="3">
        <f t="shared" si="42"/>
        <v>29999.999999999996</v>
      </c>
      <c r="BE69" s="3">
        <f t="shared" si="42"/>
        <v>31578.94736842105</v>
      </c>
    </row>
    <row r="70" spans="1:57" x14ac:dyDescent="0.45">
      <c r="A70">
        <f t="shared" si="37"/>
        <v>58</v>
      </c>
      <c r="B70" s="3">
        <f t="shared" si="1"/>
        <v>267.53864447086801</v>
      </c>
      <c r="C70" s="3">
        <f t="shared" si="38"/>
        <v>15517.241379310344</v>
      </c>
      <c r="D70" s="3">
        <f t="shared" si="3"/>
        <v>0.42912774513064605</v>
      </c>
      <c r="E70" s="3">
        <f t="shared" si="4"/>
        <v>3.7377777777777781</v>
      </c>
      <c r="F70" s="3"/>
      <c r="G70" s="3">
        <f t="shared" si="5"/>
        <v>4579604.3308929615</v>
      </c>
      <c r="H70" s="3">
        <f t="shared" si="6"/>
        <v>1551724.1379310344</v>
      </c>
      <c r="I70" s="3">
        <f t="shared" si="18"/>
        <v>2766051.6548179653</v>
      </c>
      <c r="J70" s="3">
        <f t="shared" si="7"/>
        <v>1.1763104013415238</v>
      </c>
      <c r="K70" s="3">
        <f t="shared" si="19"/>
        <v>314.70849025189398</v>
      </c>
      <c r="L70" s="3">
        <f t="shared" si="25"/>
        <v>314.70849025189392</v>
      </c>
      <c r="O70" s="9">
        <f t="shared" si="9"/>
        <v>0.31470849026989545</v>
      </c>
      <c r="P70" s="9">
        <f t="shared" si="20"/>
        <v>2.1775437616646296</v>
      </c>
      <c r="Q70" s="3">
        <f t="shared" si="10"/>
        <v>850.11575074261793</v>
      </c>
      <c r="R70" s="3">
        <f t="shared" si="11"/>
        <v>2613.827317958267</v>
      </c>
      <c r="S70" s="3">
        <f t="shared" si="12"/>
        <v>2613.8273179582666</v>
      </c>
      <c r="T70" s="3"/>
      <c r="U70" s="3"/>
      <c r="V70" s="3">
        <f t="shared" si="13"/>
        <v>789.58695360223476</v>
      </c>
      <c r="W70" s="3">
        <f t="shared" si="21"/>
        <v>45796.043308929613</v>
      </c>
      <c r="X70" s="3">
        <f t="shared" si="14"/>
        <v>3.7377777777777785</v>
      </c>
      <c r="Y70" s="3">
        <f t="shared" si="15"/>
        <v>3.7377777777777781</v>
      </c>
      <c r="Z70" s="3">
        <f t="shared" si="22"/>
        <v>2951.3005687976865</v>
      </c>
      <c r="AK70">
        <f t="shared" si="34"/>
        <v>58</v>
      </c>
      <c r="AL70" s="3">
        <f t="shared" si="41"/>
        <v>1551.7241379310342</v>
      </c>
      <c r="AM70" s="3">
        <f t="shared" si="41"/>
        <v>3103.4482758620684</v>
      </c>
      <c r="AN70" s="3">
        <f t="shared" si="41"/>
        <v>4655.1724137931033</v>
      </c>
      <c r="AO70" s="3">
        <f t="shared" si="41"/>
        <v>6206.8965517241368</v>
      </c>
      <c r="AP70" s="3">
        <f t="shared" si="41"/>
        <v>7758.6206896551721</v>
      </c>
      <c r="AQ70" s="3">
        <f t="shared" si="41"/>
        <v>9310.3448275862065</v>
      </c>
      <c r="AR70" s="3">
        <f t="shared" si="41"/>
        <v>10862.068965517241</v>
      </c>
      <c r="AS70" s="3">
        <f t="shared" si="41"/>
        <v>12413.793103448274</v>
      </c>
      <c r="AT70" s="3">
        <f t="shared" si="41"/>
        <v>13965.51724137931</v>
      </c>
      <c r="AU70" s="3">
        <f t="shared" si="41"/>
        <v>15517.241379310344</v>
      </c>
      <c r="AV70" s="3">
        <f t="shared" si="42"/>
        <v>17068.96551724138</v>
      </c>
      <c r="AW70" s="3">
        <f t="shared" si="42"/>
        <v>18620.689655172413</v>
      </c>
      <c r="AX70" s="3">
        <f t="shared" si="42"/>
        <v>20172.413793103446</v>
      </c>
      <c r="AY70" s="3">
        <f t="shared" si="42"/>
        <v>21724.137931034482</v>
      </c>
      <c r="AZ70" s="3">
        <f t="shared" si="42"/>
        <v>23275.862068965518</v>
      </c>
      <c r="BA70" s="3">
        <f t="shared" si="42"/>
        <v>24827.586206896547</v>
      </c>
      <c r="BB70" s="3">
        <f t="shared" si="42"/>
        <v>26379.310344827583</v>
      </c>
      <c r="BC70" s="3">
        <f t="shared" si="42"/>
        <v>27931.03448275862</v>
      </c>
      <c r="BD70" s="3">
        <f t="shared" si="42"/>
        <v>29482.758620689652</v>
      </c>
      <c r="BE70" s="3">
        <f t="shared" si="42"/>
        <v>31034.482758620688</v>
      </c>
    </row>
    <row r="71" spans="1:57" x14ac:dyDescent="0.45">
      <c r="A71">
        <f t="shared" si="37"/>
        <v>59</v>
      </c>
      <c r="B71" s="3">
        <f t="shared" si="1"/>
        <v>258.5463947141626</v>
      </c>
      <c r="C71" s="3">
        <f t="shared" si="38"/>
        <v>15254.237288135593</v>
      </c>
      <c r="D71" s="3">
        <f t="shared" si="3"/>
        <v>0.40076567919862888</v>
      </c>
      <c r="E71" s="3">
        <f t="shared" si="4"/>
        <v>3.867777777777778</v>
      </c>
      <c r="F71" s="3"/>
      <c r="G71" s="3">
        <f t="shared" si="5"/>
        <v>4738883.0784299634</v>
      </c>
      <c r="H71" s="3">
        <f t="shared" si="6"/>
        <v>1525423.7288135593</v>
      </c>
      <c r="I71" s="3">
        <f t="shared" si="18"/>
        <v>2818008.2966848989</v>
      </c>
      <c r="J71" s="3">
        <f t="shared" si="7"/>
        <v>1.1333341483001202</v>
      </c>
      <c r="K71" s="3">
        <f t="shared" si="19"/>
        <v>293.01945804944216</v>
      </c>
      <c r="L71" s="3">
        <f t="shared" si="25"/>
        <v>293.01945804944216</v>
      </c>
      <c r="O71" s="9">
        <f t="shared" si="9"/>
        <v>0.293019458066203</v>
      </c>
      <c r="P71" s="9">
        <f t="shared" si="20"/>
        <v>2.4127426437805579</v>
      </c>
      <c r="Q71" s="3">
        <f t="shared" si="10"/>
        <v>882.35230663674292</v>
      </c>
      <c r="R71" s="3">
        <f t="shared" si="11"/>
        <v>2827.0861481429993</v>
      </c>
      <c r="S71" s="3">
        <f t="shared" si="12"/>
        <v>2827.0861481429988</v>
      </c>
      <c r="T71" s="3"/>
      <c r="U71" s="3"/>
      <c r="V71" s="3">
        <f t="shared" si="13"/>
        <v>803.20052176779052</v>
      </c>
      <c r="W71" s="3">
        <f t="shared" si="21"/>
        <v>47388.830784299644</v>
      </c>
      <c r="X71" s="3">
        <f t="shared" si="14"/>
        <v>3.8677777777777784</v>
      </c>
      <c r="Y71" s="3">
        <f t="shared" si="15"/>
        <v>3.867777777777778</v>
      </c>
      <c r="Z71" s="3">
        <f t="shared" si="22"/>
        <v>3106.6011291929767</v>
      </c>
      <c r="AK71">
        <f t="shared" si="34"/>
        <v>59</v>
      </c>
      <c r="AL71" s="3">
        <f t="shared" si="41"/>
        <v>1525.4237288135594</v>
      </c>
      <c r="AM71" s="3">
        <f t="shared" si="41"/>
        <v>3050.8474576271187</v>
      </c>
      <c r="AN71" s="3">
        <f t="shared" si="41"/>
        <v>4576.2711864406774</v>
      </c>
      <c r="AO71" s="3">
        <f t="shared" si="41"/>
        <v>6101.6949152542375</v>
      </c>
      <c r="AP71" s="3">
        <f t="shared" si="41"/>
        <v>7627.1186440677966</v>
      </c>
      <c r="AQ71" s="3">
        <f t="shared" si="41"/>
        <v>9152.5423728813548</v>
      </c>
      <c r="AR71" s="3">
        <f t="shared" si="41"/>
        <v>10677.966101694914</v>
      </c>
      <c r="AS71" s="3">
        <f t="shared" si="41"/>
        <v>12203.389830508475</v>
      </c>
      <c r="AT71" s="3">
        <f t="shared" si="41"/>
        <v>13728.813559322034</v>
      </c>
      <c r="AU71" s="3">
        <f t="shared" si="41"/>
        <v>15254.237288135593</v>
      </c>
      <c r="AV71" s="3">
        <f t="shared" si="42"/>
        <v>16779.661016949151</v>
      </c>
      <c r="AW71" s="3">
        <f t="shared" si="42"/>
        <v>18305.08474576271</v>
      </c>
      <c r="AX71" s="3">
        <f t="shared" si="42"/>
        <v>19830.508474576269</v>
      </c>
      <c r="AY71" s="3">
        <f t="shared" si="42"/>
        <v>21355.932203389828</v>
      </c>
      <c r="AZ71" s="3">
        <f t="shared" si="42"/>
        <v>22881.355932203391</v>
      </c>
      <c r="BA71" s="3">
        <f t="shared" si="42"/>
        <v>24406.77966101695</v>
      </c>
      <c r="BB71" s="3">
        <f t="shared" si="42"/>
        <v>25932.203389830509</v>
      </c>
      <c r="BC71" s="3">
        <f t="shared" si="42"/>
        <v>27457.627118644068</v>
      </c>
      <c r="BD71" s="3">
        <f t="shared" si="42"/>
        <v>28983.050847457624</v>
      </c>
      <c r="BE71" s="3">
        <f t="shared" si="42"/>
        <v>30508.474576271186</v>
      </c>
    </row>
    <row r="72" spans="1:57" x14ac:dyDescent="0.45">
      <c r="A72">
        <f t="shared" si="37"/>
        <v>60</v>
      </c>
      <c r="B72" s="3">
        <f t="shared" si="1"/>
        <v>250</v>
      </c>
      <c r="C72" s="3">
        <f t="shared" si="38"/>
        <v>15000</v>
      </c>
      <c r="D72" s="3">
        <f t="shared" si="3"/>
        <v>0.37470851938734384</v>
      </c>
      <c r="E72" s="3">
        <f t="shared" si="4"/>
        <v>4</v>
      </c>
      <c r="F72" s="3"/>
      <c r="G72" s="3">
        <f t="shared" si="5"/>
        <v>4900884.539600078</v>
      </c>
      <c r="H72" s="3">
        <f t="shared" si="6"/>
        <v>1500000</v>
      </c>
      <c r="I72" s="3">
        <f t="shared" si="18"/>
        <v>2873093.6841012975</v>
      </c>
      <c r="J72" s="3">
        <f t="shared" si="7"/>
        <v>1.0902922738977057</v>
      </c>
      <c r="K72" s="3">
        <f t="shared" si="19"/>
        <v>272.57306847442641</v>
      </c>
      <c r="L72" s="3">
        <f t="shared" si="25"/>
        <v>272.57306847442641</v>
      </c>
      <c r="O72" s="9">
        <f t="shared" si="9"/>
        <v>0.27257306849001767</v>
      </c>
      <c r="P72" s="9">
        <f t="shared" si="20"/>
        <v>2.6687410298447096</v>
      </c>
      <c r="Q72" s="3">
        <f t="shared" si="10"/>
        <v>917.18525746117746</v>
      </c>
      <c r="R72" s="3">
        <f t="shared" si="11"/>
        <v>3061.6802775076999</v>
      </c>
      <c r="S72" s="3">
        <f t="shared" si="12"/>
        <v>3061.6802775077003</v>
      </c>
      <c r="T72" s="3"/>
      <c r="U72" s="3"/>
      <c r="V72" s="3">
        <f t="shared" si="13"/>
        <v>816.81408993334617</v>
      </c>
      <c r="W72" s="3">
        <f t="shared" si="21"/>
        <v>49008.845396000768</v>
      </c>
      <c r="X72" s="3">
        <f t="shared" si="14"/>
        <v>4</v>
      </c>
      <c r="Y72" s="3">
        <f t="shared" si="15"/>
        <v>4</v>
      </c>
      <c r="Z72" s="3">
        <f t="shared" si="22"/>
        <v>3267.2563597333847</v>
      </c>
      <c r="AK72">
        <f t="shared" si="34"/>
        <v>60</v>
      </c>
      <c r="AL72" s="3">
        <f t="shared" si="41"/>
        <v>1500</v>
      </c>
      <c r="AM72" s="3">
        <f t="shared" si="41"/>
        <v>3000</v>
      </c>
      <c r="AN72" s="3">
        <f t="shared" si="41"/>
        <v>4500</v>
      </c>
      <c r="AO72" s="3">
        <f t="shared" si="41"/>
        <v>6000</v>
      </c>
      <c r="AP72" s="3">
        <f t="shared" si="41"/>
        <v>7500</v>
      </c>
      <c r="AQ72" s="3">
        <f t="shared" si="41"/>
        <v>9000</v>
      </c>
      <c r="AR72" s="3">
        <f t="shared" si="41"/>
        <v>10500</v>
      </c>
      <c r="AS72" s="3">
        <f t="shared" si="41"/>
        <v>12000</v>
      </c>
      <c r="AT72" s="3">
        <f t="shared" si="41"/>
        <v>13500</v>
      </c>
      <c r="AU72" s="3">
        <f t="shared" si="41"/>
        <v>15000</v>
      </c>
      <c r="AV72" s="3">
        <f t="shared" si="42"/>
        <v>16500</v>
      </c>
      <c r="AW72" s="3">
        <f t="shared" si="42"/>
        <v>18000</v>
      </c>
      <c r="AX72" s="3">
        <f t="shared" si="42"/>
        <v>19500</v>
      </c>
      <c r="AY72" s="3">
        <f t="shared" si="42"/>
        <v>21000</v>
      </c>
      <c r="AZ72" s="3">
        <f t="shared" si="42"/>
        <v>22500</v>
      </c>
      <c r="BA72" s="3">
        <f t="shared" si="42"/>
        <v>24000</v>
      </c>
      <c r="BB72" s="3">
        <f t="shared" si="42"/>
        <v>25500</v>
      </c>
      <c r="BC72" s="3">
        <f t="shared" si="42"/>
        <v>27000</v>
      </c>
      <c r="BD72" s="3">
        <f t="shared" si="42"/>
        <v>28500</v>
      </c>
      <c r="BE72" s="3">
        <f t="shared" si="42"/>
        <v>30000</v>
      </c>
    </row>
    <row r="73" spans="1:57" x14ac:dyDescent="0.45">
      <c r="A73">
        <f t="shared" si="37"/>
        <v>61</v>
      </c>
      <c r="B73" s="3">
        <f t="shared" si="1"/>
        <v>241.87046492878258</v>
      </c>
      <c r="C73" s="3">
        <f t="shared" si="38"/>
        <v>14754.098360655738</v>
      </c>
      <c r="D73" s="3">
        <f t="shared" si="3"/>
        <v>0.35073509881125864</v>
      </c>
      <c r="E73" s="3">
        <f t="shared" si="4"/>
        <v>4.1344444444444441</v>
      </c>
      <c r="F73" s="3"/>
      <c r="G73" s="3">
        <f t="shared" si="5"/>
        <v>5065608.7144033024</v>
      </c>
      <c r="H73" s="3">
        <f t="shared" si="6"/>
        <v>1475409.8360655739</v>
      </c>
      <c r="I73" s="3">
        <f t="shared" si="18"/>
        <v>2931199.7707796567</v>
      </c>
      <c r="J73" s="3">
        <f t="shared" si="7"/>
        <v>1.0474943120140436</v>
      </c>
      <c r="K73" s="3">
        <f t="shared" si="19"/>
        <v>253.35793625709198</v>
      </c>
      <c r="L73" s="3">
        <f t="shared" si="25"/>
        <v>253.35793625709195</v>
      </c>
      <c r="O73" s="9">
        <f t="shared" si="9"/>
        <v>0.25335793627158415</v>
      </c>
      <c r="P73" s="9">
        <f t="shared" si="20"/>
        <v>2.9469851022470492</v>
      </c>
      <c r="Q73" s="3">
        <f t="shared" si="10"/>
        <v>954.65912174747223</v>
      </c>
      <c r="R73" s="3">
        <f t="shared" si="11"/>
        <v>3319.1156532631435</v>
      </c>
      <c r="S73" s="3">
        <f t="shared" si="12"/>
        <v>3319.1156532631435</v>
      </c>
      <c r="T73" s="3"/>
      <c r="U73" s="3"/>
      <c r="V73" s="3">
        <f t="shared" si="13"/>
        <v>830.42765809890204</v>
      </c>
      <c r="W73" s="3">
        <f t="shared" si="21"/>
        <v>50656.087144033023</v>
      </c>
      <c r="X73" s="3">
        <f t="shared" si="14"/>
        <v>4.134444444444445</v>
      </c>
      <c r="Y73" s="3">
        <f t="shared" si="15"/>
        <v>4.1344444444444441</v>
      </c>
      <c r="Z73" s="3">
        <f t="shared" si="22"/>
        <v>3433.3570175400159</v>
      </c>
      <c r="AK73">
        <f t="shared" si="34"/>
        <v>61</v>
      </c>
      <c r="AL73" s="3">
        <f t="shared" ref="AL73:AU82" si="43">AL$12/(IMPROVED_MBPS*IMPROVED_KM^2/(DIST_RINGS_EM/$AK73)^2)*$AK73</f>
        <v>1475.4098360655739</v>
      </c>
      <c r="AM73" s="3">
        <f t="shared" si="43"/>
        <v>2950.8196721311479</v>
      </c>
      <c r="AN73" s="3">
        <f t="shared" si="43"/>
        <v>4426.2295081967222</v>
      </c>
      <c r="AO73" s="3">
        <f t="shared" si="43"/>
        <v>5901.6393442622957</v>
      </c>
      <c r="AP73" s="3">
        <f t="shared" si="43"/>
        <v>7377.0491803278692</v>
      </c>
      <c r="AQ73" s="3">
        <f t="shared" si="43"/>
        <v>8852.4590163934445</v>
      </c>
      <c r="AR73" s="3">
        <f t="shared" si="43"/>
        <v>10327.868852459016</v>
      </c>
      <c r="AS73" s="3">
        <f t="shared" si="43"/>
        <v>11803.278688524591</v>
      </c>
      <c r="AT73" s="3">
        <f t="shared" si="43"/>
        <v>13278.688524590165</v>
      </c>
      <c r="AU73" s="3">
        <f t="shared" si="43"/>
        <v>14754.098360655738</v>
      </c>
      <c r="AV73" s="3">
        <f t="shared" ref="AV73:BE82" si="44">AV$12/(IMPROVED_MBPS*IMPROVED_KM^2/(DIST_RINGS_EM/$AK73)^2)*$AK73</f>
        <v>16229.508196721314</v>
      </c>
      <c r="AW73" s="3">
        <f t="shared" si="44"/>
        <v>17704.918032786889</v>
      </c>
      <c r="AX73" s="3">
        <f t="shared" si="44"/>
        <v>19180.327868852462</v>
      </c>
      <c r="AY73" s="3">
        <f t="shared" si="44"/>
        <v>20655.737704918032</v>
      </c>
      <c r="AZ73" s="3">
        <f t="shared" si="44"/>
        <v>22131.147540983606</v>
      </c>
      <c r="BA73" s="3">
        <f t="shared" si="44"/>
        <v>23606.557377049183</v>
      </c>
      <c r="BB73" s="3">
        <f t="shared" si="44"/>
        <v>25081.967213114756</v>
      </c>
      <c r="BC73" s="3">
        <f t="shared" si="44"/>
        <v>26557.37704918033</v>
      </c>
      <c r="BD73" s="3">
        <f t="shared" si="44"/>
        <v>28032.786885245903</v>
      </c>
      <c r="BE73" s="3">
        <f t="shared" si="44"/>
        <v>29508.196721311477</v>
      </c>
    </row>
    <row r="74" spans="1:57" x14ac:dyDescent="0.45">
      <c r="A74">
        <f t="shared" si="37"/>
        <v>62</v>
      </c>
      <c r="B74" s="3">
        <f t="shared" si="1"/>
        <v>234.13111342351718</v>
      </c>
      <c r="C74" s="3">
        <f t="shared" si="38"/>
        <v>14516.129032258064</v>
      </c>
      <c r="D74" s="3">
        <f t="shared" si="3"/>
        <v>0.328648618389564</v>
      </c>
      <c r="E74" s="3">
        <f t="shared" si="4"/>
        <v>4.2711111111111109</v>
      </c>
      <c r="F74" s="3"/>
      <c r="G74" s="3">
        <f t="shared" si="5"/>
        <v>5233055.6028396385</v>
      </c>
      <c r="H74" s="3">
        <f t="shared" si="6"/>
        <v>1451612.9032258065</v>
      </c>
      <c r="I74" s="3">
        <f t="shared" si="18"/>
        <v>2992222.878800055</v>
      </c>
      <c r="J74" s="3">
        <f t="shared" si="7"/>
        <v>1.0052049785850432</v>
      </c>
      <c r="K74" s="3">
        <f t="shared" si="19"/>
        <v>235.34976085497891</v>
      </c>
      <c r="L74" s="3">
        <f t="shared" si="25"/>
        <v>235.349760854979</v>
      </c>
      <c r="O74" s="9">
        <f t="shared" si="9"/>
        <v>0.235349760868441</v>
      </c>
      <c r="P74" s="9">
        <f t="shared" si="20"/>
        <v>3.248995181936869</v>
      </c>
      <c r="Q74" s="3">
        <f t="shared" si="10"/>
        <v>994.82197287803911</v>
      </c>
      <c r="R74" s="3">
        <f t="shared" si="11"/>
        <v>3600.964675333857</v>
      </c>
      <c r="S74" s="3">
        <f t="shared" si="12"/>
        <v>3600.9646753338575</v>
      </c>
      <c r="T74" s="3"/>
      <c r="U74" s="3"/>
      <c r="V74" s="3">
        <f t="shared" si="13"/>
        <v>844.04122626445792</v>
      </c>
      <c r="W74" s="3">
        <f t="shared" si="21"/>
        <v>52330.556028396393</v>
      </c>
      <c r="X74" s="3">
        <f t="shared" si="14"/>
        <v>4.2711111111111126</v>
      </c>
      <c r="Y74" s="3">
        <f t="shared" si="15"/>
        <v>4.2711111111111109</v>
      </c>
      <c r="Z74" s="3">
        <f t="shared" si="22"/>
        <v>3604.9938597339733</v>
      </c>
      <c r="AK74">
        <f t="shared" si="34"/>
        <v>62</v>
      </c>
      <c r="AL74" s="3">
        <f t="shared" si="43"/>
        <v>1451.6129032258066</v>
      </c>
      <c r="AM74" s="3">
        <f t="shared" si="43"/>
        <v>2903.2258064516132</v>
      </c>
      <c r="AN74" s="3">
        <f t="shared" si="43"/>
        <v>4354.8387096774195</v>
      </c>
      <c r="AO74" s="3">
        <f t="shared" si="43"/>
        <v>5806.4516129032263</v>
      </c>
      <c r="AP74" s="3">
        <f t="shared" si="43"/>
        <v>7258.0645161290322</v>
      </c>
      <c r="AQ74" s="3">
        <f t="shared" si="43"/>
        <v>8709.677419354839</v>
      </c>
      <c r="AR74" s="3">
        <f t="shared" si="43"/>
        <v>10161.290322580646</v>
      </c>
      <c r="AS74" s="3">
        <f t="shared" si="43"/>
        <v>11612.903225806453</v>
      </c>
      <c r="AT74" s="3">
        <f t="shared" si="43"/>
        <v>13064.516129032258</v>
      </c>
      <c r="AU74" s="3">
        <f t="shared" si="43"/>
        <v>14516.129032258064</v>
      </c>
      <c r="AV74" s="3">
        <f t="shared" si="44"/>
        <v>15967.741935483871</v>
      </c>
      <c r="AW74" s="3">
        <f t="shared" si="44"/>
        <v>17419.354838709678</v>
      </c>
      <c r="AX74" s="3">
        <f t="shared" si="44"/>
        <v>18870.967741935485</v>
      </c>
      <c r="AY74" s="3">
        <f t="shared" si="44"/>
        <v>20322.580645161292</v>
      </c>
      <c r="AZ74" s="3">
        <f t="shared" si="44"/>
        <v>21774.193548387098</v>
      </c>
      <c r="BA74" s="3">
        <f t="shared" si="44"/>
        <v>23225.806451612905</v>
      </c>
      <c r="BB74" s="3">
        <f t="shared" si="44"/>
        <v>24677.419354838712</v>
      </c>
      <c r="BC74" s="3">
        <f t="shared" si="44"/>
        <v>26129.032258064515</v>
      </c>
      <c r="BD74" s="3">
        <f t="shared" si="44"/>
        <v>27580.645161290322</v>
      </c>
      <c r="BE74" s="3">
        <f t="shared" si="44"/>
        <v>29032.258064516129</v>
      </c>
    </row>
    <row r="75" spans="1:57" x14ac:dyDescent="0.45">
      <c r="A75">
        <f t="shared" si="37"/>
        <v>63</v>
      </c>
      <c r="B75" s="3">
        <f t="shared" si="1"/>
        <v>226.75736961451247</v>
      </c>
      <c r="C75" s="3">
        <f t="shared" si="38"/>
        <v>14285.714285714286</v>
      </c>
      <c r="D75" s="3">
        <f t="shared" si="3"/>
        <v>0.30827362622556964</v>
      </c>
      <c r="E75" s="3">
        <f t="shared" si="4"/>
        <v>4.4099999999999993</v>
      </c>
      <c r="F75" s="3"/>
      <c r="G75" s="3">
        <f t="shared" si="5"/>
        <v>5403225.2049090853</v>
      </c>
      <c r="H75" s="3">
        <f t="shared" si="6"/>
        <v>1428571.4285714286</v>
      </c>
      <c r="I75" s="3">
        <f t="shared" si="18"/>
        <v>3056063.9686158109</v>
      </c>
      <c r="J75" s="3">
        <f t="shared" si="7"/>
        <v>0.96364623379866943</v>
      </c>
      <c r="K75" s="3">
        <f t="shared" si="19"/>
        <v>218.5138852151178</v>
      </c>
      <c r="L75" s="3">
        <f t="shared" si="25"/>
        <v>218.51388521511785</v>
      </c>
      <c r="O75" s="9">
        <f t="shared" si="9"/>
        <v>0.21851388522761689</v>
      </c>
      <c r="P75" s="9">
        <f t="shared" si="20"/>
        <v>3.576368220071422</v>
      </c>
      <c r="Q75" s="3">
        <f t="shared" si="10"/>
        <v>1037.7252199708439</v>
      </c>
      <c r="R75" s="3">
        <f t="shared" si="11"/>
        <v>3908.8681357490896</v>
      </c>
      <c r="S75" s="3">
        <f t="shared" si="12"/>
        <v>3908.8681357490909</v>
      </c>
      <c r="T75" s="3"/>
      <c r="U75" s="3"/>
      <c r="V75" s="3">
        <f t="shared" si="13"/>
        <v>857.65479443001357</v>
      </c>
      <c r="W75" s="3">
        <f t="shared" si="21"/>
        <v>54032.252049090857</v>
      </c>
      <c r="X75" s="3">
        <f t="shared" si="14"/>
        <v>4.41</v>
      </c>
      <c r="Y75" s="3">
        <f t="shared" si="15"/>
        <v>4.4099999999999993</v>
      </c>
      <c r="Z75" s="3">
        <f t="shared" si="22"/>
        <v>3782.2576434363591</v>
      </c>
      <c r="AK75">
        <f t="shared" si="34"/>
        <v>63</v>
      </c>
      <c r="AL75" s="3">
        <f t="shared" si="43"/>
        <v>1428.5714285714287</v>
      </c>
      <c r="AM75" s="3">
        <f t="shared" si="43"/>
        <v>2857.1428571428573</v>
      </c>
      <c r="AN75" s="3">
        <f t="shared" si="43"/>
        <v>4285.7142857142862</v>
      </c>
      <c r="AO75" s="3">
        <f t="shared" si="43"/>
        <v>5714.2857142857147</v>
      </c>
      <c r="AP75" s="3">
        <f t="shared" si="43"/>
        <v>7142.857142857144</v>
      </c>
      <c r="AQ75" s="3">
        <f t="shared" si="43"/>
        <v>8571.4285714285725</v>
      </c>
      <c r="AR75" s="3">
        <f t="shared" si="43"/>
        <v>10000.000000000002</v>
      </c>
      <c r="AS75" s="3">
        <f t="shared" si="43"/>
        <v>11428.571428571429</v>
      </c>
      <c r="AT75" s="3">
        <f t="shared" si="43"/>
        <v>12857.142857142859</v>
      </c>
      <c r="AU75" s="3">
        <f t="shared" si="43"/>
        <v>14285.714285714288</v>
      </c>
      <c r="AV75" s="3">
        <f t="shared" si="44"/>
        <v>15714.285714285717</v>
      </c>
      <c r="AW75" s="3">
        <f t="shared" si="44"/>
        <v>17142.857142857145</v>
      </c>
      <c r="AX75" s="3">
        <f t="shared" si="44"/>
        <v>18571.428571428576</v>
      </c>
      <c r="AY75" s="3">
        <f t="shared" si="44"/>
        <v>20000.000000000004</v>
      </c>
      <c r="AZ75" s="3">
        <f t="shared" si="44"/>
        <v>21428.571428571435</v>
      </c>
      <c r="BA75" s="3">
        <f t="shared" si="44"/>
        <v>22857.142857142859</v>
      </c>
      <c r="BB75" s="3">
        <f t="shared" si="44"/>
        <v>24285.71428571429</v>
      </c>
      <c r="BC75" s="3">
        <f t="shared" si="44"/>
        <v>25714.285714285717</v>
      </c>
      <c r="BD75" s="3">
        <f t="shared" si="44"/>
        <v>27142.857142857149</v>
      </c>
      <c r="BE75" s="3">
        <f t="shared" si="44"/>
        <v>28571.428571428576</v>
      </c>
    </row>
    <row r="76" spans="1:57" x14ac:dyDescent="0.45">
      <c r="A76">
        <f t="shared" si="37"/>
        <v>64</v>
      </c>
      <c r="B76" s="3">
        <f t="shared" si="1"/>
        <v>219.7265625</v>
      </c>
      <c r="C76" s="3">
        <f t="shared" si="38"/>
        <v>14062.5</v>
      </c>
      <c r="D76" s="3">
        <f t="shared" si="3"/>
        <v>0.2894534117734418</v>
      </c>
      <c r="E76" s="3">
        <f t="shared" si="4"/>
        <v>4.5511111111111111</v>
      </c>
      <c r="F76" s="3"/>
      <c r="G76" s="3">
        <f t="shared" si="5"/>
        <v>5576117.5206116438</v>
      </c>
      <c r="H76" s="3">
        <f t="shared" si="6"/>
        <v>1406250</v>
      </c>
      <c r="I76" s="3">
        <f t="shared" si="18"/>
        <v>3122628.8145436104</v>
      </c>
      <c r="J76" s="3">
        <f t="shared" si="7"/>
        <v>0.92300017552542102</v>
      </c>
      <c r="K76" s="3">
        <f t="shared" si="19"/>
        <v>202.80765575509739</v>
      </c>
      <c r="L76" s="3">
        <f t="shared" si="25"/>
        <v>202.80765575509733</v>
      </c>
      <c r="O76" s="9">
        <f t="shared" si="9"/>
        <v>0.20280765576669807</v>
      </c>
      <c r="P76" s="9">
        <f t="shared" si="20"/>
        <v>3.9307803308488536</v>
      </c>
      <c r="Q76" s="3">
        <f t="shared" si="10"/>
        <v>1083.4234125400312</v>
      </c>
      <c r="R76" s="3">
        <f t="shared" si="11"/>
        <v>4244.537474245969</v>
      </c>
      <c r="S76" s="3">
        <f t="shared" si="12"/>
        <v>4244.537474245968</v>
      </c>
      <c r="T76" s="3"/>
      <c r="U76" s="3"/>
      <c r="V76" s="3">
        <f t="shared" si="13"/>
        <v>871.26836259556933</v>
      </c>
      <c r="W76" s="3">
        <f t="shared" si="21"/>
        <v>55761.175206116437</v>
      </c>
      <c r="X76" s="3">
        <f t="shared" si="14"/>
        <v>4.551111111111112</v>
      </c>
      <c r="Y76" s="3">
        <f t="shared" si="15"/>
        <v>4.5511111111111111</v>
      </c>
      <c r="Z76" s="3">
        <f t="shared" si="22"/>
        <v>3965.2391257682798</v>
      </c>
      <c r="AK76">
        <f t="shared" si="34"/>
        <v>64</v>
      </c>
      <c r="AL76" s="3">
        <f t="shared" si="43"/>
        <v>1406.25</v>
      </c>
      <c r="AM76" s="3">
        <f t="shared" si="43"/>
        <v>2812.5</v>
      </c>
      <c r="AN76" s="3">
        <f t="shared" si="43"/>
        <v>4218.75</v>
      </c>
      <c r="AO76" s="3">
        <f t="shared" si="43"/>
        <v>5625</v>
      </c>
      <c r="AP76" s="3">
        <f t="shared" si="43"/>
        <v>7031.25</v>
      </c>
      <c r="AQ76" s="3">
        <f t="shared" si="43"/>
        <v>8437.5</v>
      </c>
      <c r="AR76" s="3">
        <f t="shared" si="43"/>
        <v>9843.75</v>
      </c>
      <c r="AS76" s="3">
        <f t="shared" si="43"/>
        <v>11250</v>
      </c>
      <c r="AT76" s="3">
        <f t="shared" si="43"/>
        <v>12656.25</v>
      </c>
      <c r="AU76" s="3">
        <f t="shared" si="43"/>
        <v>14062.5</v>
      </c>
      <c r="AV76" s="3">
        <f t="shared" si="44"/>
        <v>15468.75</v>
      </c>
      <c r="AW76" s="3">
        <f t="shared" si="44"/>
        <v>16875</v>
      </c>
      <c r="AX76" s="3">
        <f t="shared" si="44"/>
        <v>18281.25</v>
      </c>
      <c r="AY76" s="3">
        <f t="shared" si="44"/>
        <v>19687.5</v>
      </c>
      <c r="AZ76" s="3">
        <f t="shared" si="44"/>
        <v>21093.75</v>
      </c>
      <c r="BA76" s="3">
        <f t="shared" si="44"/>
        <v>22500</v>
      </c>
      <c r="BB76" s="3">
        <f t="shared" si="44"/>
        <v>23906.25</v>
      </c>
      <c r="BC76" s="3">
        <f t="shared" si="44"/>
        <v>25312.5</v>
      </c>
      <c r="BD76" s="3">
        <f t="shared" si="44"/>
        <v>26718.75</v>
      </c>
      <c r="BE76" s="3">
        <f t="shared" si="44"/>
        <v>28125</v>
      </c>
    </row>
    <row r="77" spans="1:57" x14ac:dyDescent="0.45">
      <c r="A77">
        <f t="shared" si="37"/>
        <v>65</v>
      </c>
      <c r="B77" s="3">
        <f t="shared" ref="B77:B140" si="45">REQD_MBPS*DIST_RINGS_EM^2/(IMPROVED_MBPS*IMPROVED_KM^2*A77^2)</f>
        <v>213.01775147928993</v>
      </c>
      <c r="C77" s="3">
        <f t="shared" si="38"/>
        <v>13846.153846153846</v>
      </c>
      <c r="D77" s="3">
        <f t="shared" ref="D77:D140" si="46">IMPROVED_MBPS*IMPROVED_KM^2*B77^2/(4*PI()^2*AVG_SUN_DIST^2)</f>
        <v>0.27204775246020657</v>
      </c>
      <c r="E77" s="3">
        <f t="shared" ref="E77:E140" si="47">IMPROVED_MBPS*IMPROVED_KM^2/(DIST_RINGS_EM/A77)^2</f>
        <v>4.6944444444444455</v>
      </c>
      <c r="F77" s="3"/>
      <c r="G77" s="3">
        <f t="shared" ref="G77:G140" si="48">(2*PI()*AVG_SUN_DIST)/B77</f>
        <v>5751732.549947314</v>
      </c>
      <c r="H77" s="3">
        <f t="shared" ref="H77:H140" si="49">DIST_RINGS_EM/A77</f>
        <v>1384615.3846153845</v>
      </c>
      <c r="I77" s="3">
        <f t="shared" si="18"/>
        <v>3191828.0960672782</v>
      </c>
      <c r="J77" s="3">
        <f t="shared" ref="J77:J140" si="50">IMPROVED_MBPS*IMPROVED_KM^2/I77^2</f>
        <v>0.88341246496110959</v>
      </c>
      <c r="K77" s="3">
        <f t="shared" si="19"/>
        <v>188.18253691479256</v>
      </c>
      <c r="L77" s="3">
        <f t="shared" si="25"/>
        <v>188.18253691479259</v>
      </c>
      <c r="O77" s="9">
        <f t="shared" ref="O77:O140" si="51">K77/$K$13</f>
        <v>0.18818253692555667</v>
      </c>
      <c r="P77" s="9">
        <f t="shared" si="20"/>
        <v>4.3139893655254049</v>
      </c>
      <c r="Q77" s="3">
        <f t="shared" ref="Q77:Q140" si="52">B77*(1+P77)</f>
        <v>1131.9740660290802</v>
      </c>
      <c r="R77" s="3">
        <f t="shared" ref="R77:R140" si="53">IMPROVED_MBPS*IMPROVED_KM^2/((PI()*AVG_SUN_DIST/Q77)^2+(DIST_RINGS_EM/A77)^2)*Q77</f>
        <v>4609.7573375665479</v>
      </c>
      <c r="S77" s="3">
        <f t="shared" ref="S77:S140" si="54">IMPROVED_MBPS*IMPROVED_KM^2*Q77^3*A77^2/((A77*PI()*AVG_SUN_DIST)^2+(DIST_RINGS_EM*Q77)^2)</f>
        <v>4609.757337566547</v>
      </c>
      <c r="T77" s="3"/>
      <c r="U77" s="3"/>
      <c r="V77" s="3">
        <f t="shared" ref="V77:V140" si="55">2*PI()*AVG_SUN_DIST*A77/DIST_RINGS_EM</f>
        <v>884.8819307611252</v>
      </c>
      <c r="W77" s="3">
        <f t="shared" si="21"/>
        <v>57517.32549947314</v>
      </c>
      <c r="X77" s="3">
        <f t="shared" ref="X77:X140" si="56">IMPROVED_MBPS*IMPROVED_KM^2*V77^2/(4*PI()^2*AVG_SUN_DIST^2)</f>
        <v>4.6944444444444464</v>
      </c>
      <c r="Y77" s="3">
        <f t="shared" ref="Y77:Y140" si="57">IMPROVED_MBPS*IMPROVED_KM^2/(DIST_RINGS_EM/A77)^2</f>
        <v>4.6944444444444455</v>
      </c>
      <c r="Z77" s="3">
        <f t="shared" si="22"/>
        <v>4154.0290638508386</v>
      </c>
      <c r="AK77">
        <f t="shared" ref="AK77:AK140" si="58">AK76+1</f>
        <v>65</v>
      </c>
      <c r="AL77" s="3">
        <f t="shared" si="43"/>
        <v>1384.6153846153843</v>
      </c>
      <c r="AM77" s="3">
        <f t="shared" si="43"/>
        <v>2769.2307692307686</v>
      </c>
      <c r="AN77" s="3">
        <f t="shared" si="43"/>
        <v>4153.8461538461524</v>
      </c>
      <c r="AO77" s="3">
        <f t="shared" si="43"/>
        <v>5538.4615384615372</v>
      </c>
      <c r="AP77" s="3">
        <f t="shared" si="43"/>
        <v>6923.076923076922</v>
      </c>
      <c r="AQ77" s="3">
        <f t="shared" si="43"/>
        <v>8307.6923076923049</v>
      </c>
      <c r="AR77" s="3">
        <f t="shared" si="43"/>
        <v>9692.3076923076896</v>
      </c>
      <c r="AS77" s="3">
        <f t="shared" si="43"/>
        <v>11076.923076923074</v>
      </c>
      <c r="AT77" s="3">
        <f t="shared" si="43"/>
        <v>12461.538461538459</v>
      </c>
      <c r="AU77" s="3">
        <f t="shared" si="43"/>
        <v>13846.153846153844</v>
      </c>
      <c r="AV77" s="3">
        <f t="shared" si="44"/>
        <v>15230.769230769229</v>
      </c>
      <c r="AW77" s="3">
        <f t="shared" si="44"/>
        <v>16615.38461538461</v>
      </c>
      <c r="AX77" s="3">
        <f t="shared" si="44"/>
        <v>17999.999999999996</v>
      </c>
      <c r="AY77" s="3">
        <f t="shared" si="44"/>
        <v>19384.615384615379</v>
      </c>
      <c r="AZ77" s="3">
        <f t="shared" si="44"/>
        <v>20769.230769230766</v>
      </c>
      <c r="BA77" s="3">
        <f t="shared" si="44"/>
        <v>22153.846153846149</v>
      </c>
      <c r="BB77" s="3">
        <f t="shared" si="44"/>
        <v>23538.461538461532</v>
      </c>
      <c r="BC77" s="3">
        <f t="shared" si="44"/>
        <v>24923.076923076918</v>
      </c>
      <c r="BD77" s="3">
        <f t="shared" si="44"/>
        <v>26307.692307692301</v>
      </c>
      <c r="BE77" s="3">
        <f t="shared" si="44"/>
        <v>27692.307692307688</v>
      </c>
    </row>
    <row r="78" spans="1:57" x14ac:dyDescent="0.45">
      <c r="A78">
        <f t="shared" si="37"/>
        <v>66</v>
      </c>
      <c r="B78" s="3">
        <f t="shared" si="45"/>
        <v>206.61157024793388</v>
      </c>
      <c r="C78" s="3">
        <f t="shared" si="38"/>
        <v>13636.363636363636</v>
      </c>
      <c r="D78" s="3">
        <f t="shared" si="46"/>
        <v>0.25593096058147929</v>
      </c>
      <c r="E78" s="3">
        <f t="shared" si="47"/>
        <v>4.8400000000000007</v>
      </c>
      <c r="F78" s="3"/>
      <c r="G78" s="3">
        <f t="shared" si="48"/>
        <v>5930070.292916094</v>
      </c>
      <c r="H78" s="3">
        <f t="shared" si="49"/>
        <v>1363636.3636363635</v>
      </c>
      <c r="I78" s="3">
        <f t="shared" ref="I78:I141" si="59">SQRT((G78/2)^2+H78^2)</f>
        <v>3263577.4162662202</v>
      </c>
      <c r="J78" s="3">
        <f t="shared" si="50"/>
        <v>0.84499603495857134</v>
      </c>
      <c r="K78" s="3">
        <f t="shared" ref="K78:K141" si="60">J78*B78</f>
        <v>174.58595763606846</v>
      </c>
      <c r="L78" s="3">
        <f t="shared" si="25"/>
        <v>174.58595763606846</v>
      </c>
      <c r="O78" s="9">
        <f t="shared" si="51"/>
        <v>0.17458595764605483</v>
      </c>
      <c r="P78" s="9">
        <f t="shared" ref="P78:P141" si="61">1/O78-1</f>
        <v>4.7278375276168569</v>
      </c>
      <c r="Q78" s="3">
        <f t="shared" si="52"/>
        <v>1183.4375057059622</v>
      </c>
      <c r="R78" s="3">
        <f t="shared" si="53"/>
        <v>5006.3884153062972</v>
      </c>
      <c r="S78" s="3">
        <f t="shared" si="54"/>
        <v>5006.3884153062963</v>
      </c>
      <c r="T78" s="3"/>
      <c r="U78" s="3"/>
      <c r="V78" s="3">
        <f t="shared" si="55"/>
        <v>898.49549892668085</v>
      </c>
      <c r="W78" s="3">
        <f t="shared" ref="W78:W141" si="62">V78*A78</f>
        <v>59300.702929160936</v>
      </c>
      <c r="X78" s="3">
        <f t="shared" si="56"/>
        <v>4.84</v>
      </c>
      <c r="Y78" s="3">
        <f t="shared" si="57"/>
        <v>4.8400000000000007</v>
      </c>
      <c r="Z78" s="3">
        <f t="shared" ref="Z78:Z141" si="63">Y78*V78</f>
        <v>4348.7182148051361</v>
      </c>
      <c r="AK78">
        <f t="shared" si="58"/>
        <v>66</v>
      </c>
      <c r="AL78" s="3">
        <f t="shared" si="43"/>
        <v>1363.6363636363635</v>
      </c>
      <c r="AM78" s="3">
        <f t="shared" si="43"/>
        <v>2727.272727272727</v>
      </c>
      <c r="AN78" s="3">
        <f t="shared" si="43"/>
        <v>4090.9090909090901</v>
      </c>
      <c r="AO78" s="3">
        <f t="shared" si="43"/>
        <v>5454.545454545454</v>
      </c>
      <c r="AP78" s="3">
        <f t="shared" si="43"/>
        <v>6818.1818181818171</v>
      </c>
      <c r="AQ78" s="3">
        <f t="shared" si="43"/>
        <v>8181.8181818181802</v>
      </c>
      <c r="AR78" s="3">
        <f t="shared" si="43"/>
        <v>9545.4545454545441</v>
      </c>
      <c r="AS78" s="3">
        <f t="shared" si="43"/>
        <v>10909.090909090908</v>
      </c>
      <c r="AT78" s="3">
        <f t="shared" si="43"/>
        <v>12272.72727272727</v>
      </c>
      <c r="AU78" s="3">
        <f t="shared" si="43"/>
        <v>13636.363636363634</v>
      </c>
      <c r="AV78" s="3">
        <f t="shared" si="44"/>
        <v>14999.999999999996</v>
      </c>
      <c r="AW78" s="3">
        <f t="shared" si="44"/>
        <v>16363.63636363636</v>
      </c>
      <c r="AX78" s="3">
        <f t="shared" si="44"/>
        <v>17727.272727272724</v>
      </c>
      <c r="AY78" s="3">
        <f t="shared" si="44"/>
        <v>19090.909090909088</v>
      </c>
      <c r="AZ78" s="3">
        <f t="shared" si="44"/>
        <v>20454.545454545452</v>
      </c>
      <c r="BA78" s="3">
        <f t="shared" si="44"/>
        <v>21818.181818181816</v>
      </c>
      <c r="BB78" s="3">
        <f t="shared" si="44"/>
        <v>23181.81818181818</v>
      </c>
      <c r="BC78" s="3">
        <f t="shared" si="44"/>
        <v>24545.45454545454</v>
      </c>
      <c r="BD78" s="3">
        <f t="shared" si="44"/>
        <v>25909.090909090904</v>
      </c>
      <c r="BE78" s="3">
        <f t="shared" si="44"/>
        <v>27272.727272727268</v>
      </c>
    </row>
    <row r="79" spans="1:57" x14ac:dyDescent="0.45">
      <c r="A79">
        <f t="shared" si="37"/>
        <v>67</v>
      </c>
      <c r="B79" s="3">
        <f t="shared" si="45"/>
        <v>200.49008687903765</v>
      </c>
      <c r="C79" s="3">
        <f t="shared" si="38"/>
        <v>13432.835820895523</v>
      </c>
      <c r="D79" s="3">
        <f t="shared" si="46"/>
        <v>0.2409901866630634</v>
      </c>
      <c r="E79" s="3">
        <f t="shared" si="47"/>
        <v>4.9877777777777785</v>
      </c>
      <c r="F79" s="3"/>
      <c r="G79" s="3">
        <f t="shared" si="48"/>
        <v>6111130.7495179856</v>
      </c>
      <c r="H79" s="3">
        <f t="shared" si="49"/>
        <v>1343283.5820895522</v>
      </c>
      <c r="I79" s="3">
        <f t="shared" si="59"/>
        <v>3337797.2588725942</v>
      </c>
      <c r="J79" s="3">
        <f t="shared" si="50"/>
        <v>0.80783488237373868</v>
      </c>
      <c r="K79" s="3">
        <f t="shared" si="60"/>
        <v>161.96288575102804</v>
      </c>
      <c r="L79" s="3">
        <f t="shared" si="25"/>
        <v>161.96288575102807</v>
      </c>
      <c r="O79" s="9">
        <f t="shared" si="51"/>
        <v>0.16196288576029239</v>
      </c>
      <c r="P79" s="9">
        <f t="shared" si="61"/>
        <v>5.1742540292843122</v>
      </c>
      <c r="Q79" s="3">
        <f t="shared" si="52"/>
        <v>1237.87672674446</v>
      </c>
      <c r="R79" s="3">
        <f t="shared" si="53"/>
        <v>5436.3705153669262</v>
      </c>
      <c r="S79" s="3">
        <f t="shared" si="54"/>
        <v>5436.3705153669252</v>
      </c>
      <c r="T79" s="3"/>
      <c r="U79" s="3"/>
      <c r="V79" s="3">
        <f t="shared" si="55"/>
        <v>912.10906709223661</v>
      </c>
      <c r="W79" s="3">
        <f t="shared" si="62"/>
        <v>61111.307495179855</v>
      </c>
      <c r="X79" s="3">
        <f t="shared" si="56"/>
        <v>4.9877777777777785</v>
      </c>
      <c r="Y79" s="3">
        <f t="shared" si="57"/>
        <v>4.9877777777777785</v>
      </c>
      <c r="Z79" s="3">
        <f t="shared" si="63"/>
        <v>4549.3973357522782</v>
      </c>
      <c r="AK79">
        <f t="shared" si="58"/>
        <v>67</v>
      </c>
      <c r="AL79" s="3">
        <f t="shared" si="43"/>
        <v>1343.2835820895521</v>
      </c>
      <c r="AM79" s="3">
        <f t="shared" si="43"/>
        <v>2686.5671641791041</v>
      </c>
      <c r="AN79" s="3">
        <f t="shared" si="43"/>
        <v>4029.8507462686562</v>
      </c>
      <c r="AO79" s="3">
        <f t="shared" si="43"/>
        <v>5373.1343283582082</v>
      </c>
      <c r="AP79" s="3">
        <f t="shared" si="43"/>
        <v>6716.4179104477598</v>
      </c>
      <c r="AQ79" s="3">
        <f t="shared" si="43"/>
        <v>8059.7014925373123</v>
      </c>
      <c r="AR79" s="3">
        <f t="shared" si="43"/>
        <v>9402.9850746268639</v>
      </c>
      <c r="AS79" s="3">
        <f t="shared" si="43"/>
        <v>10746.268656716416</v>
      </c>
      <c r="AT79" s="3">
        <f t="shared" si="43"/>
        <v>12089.552238805969</v>
      </c>
      <c r="AU79" s="3">
        <f t="shared" si="43"/>
        <v>13432.83582089552</v>
      </c>
      <c r="AV79" s="3">
        <f t="shared" si="44"/>
        <v>14776.119402985072</v>
      </c>
      <c r="AW79" s="3">
        <f t="shared" si="44"/>
        <v>16119.402985074625</v>
      </c>
      <c r="AX79" s="3">
        <f t="shared" si="44"/>
        <v>17462.686567164175</v>
      </c>
      <c r="AY79" s="3">
        <f t="shared" si="44"/>
        <v>18805.970149253728</v>
      </c>
      <c r="AZ79" s="3">
        <f t="shared" si="44"/>
        <v>20149.25373134328</v>
      </c>
      <c r="BA79" s="3">
        <f t="shared" si="44"/>
        <v>21492.537313432833</v>
      </c>
      <c r="BB79" s="3">
        <f t="shared" si="44"/>
        <v>22835.820895522385</v>
      </c>
      <c r="BC79" s="3">
        <f t="shared" si="44"/>
        <v>24179.104477611938</v>
      </c>
      <c r="BD79" s="3">
        <f t="shared" si="44"/>
        <v>25522.388059701487</v>
      </c>
      <c r="BE79" s="3">
        <f t="shared" si="44"/>
        <v>26865.671641791039</v>
      </c>
    </row>
    <row r="80" spans="1:57" x14ac:dyDescent="0.45">
      <c r="A80">
        <f t="shared" si="37"/>
        <v>68</v>
      </c>
      <c r="B80" s="3">
        <f t="shared" si="45"/>
        <v>194.63667820069205</v>
      </c>
      <c r="C80" s="3">
        <f t="shared" si="38"/>
        <v>13235.294117647059</v>
      </c>
      <c r="D80" s="3">
        <f t="shared" si="46"/>
        <v>0.2271239424095052</v>
      </c>
      <c r="E80" s="3">
        <f t="shared" si="47"/>
        <v>5.1377777777777789</v>
      </c>
      <c r="F80" s="3"/>
      <c r="G80" s="3">
        <f t="shared" si="48"/>
        <v>6294913.919752988</v>
      </c>
      <c r="H80" s="3">
        <f t="shared" si="49"/>
        <v>1323529.4117647058</v>
      </c>
      <c r="I80" s="3">
        <f t="shared" si="59"/>
        <v>3414412.8950789198</v>
      </c>
      <c r="J80" s="3">
        <f t="shared" si="50"/>
        <v>0.77198779377858517</v>
      </c>
      <c r="K80" s="3">
        <f t="shared" si="60"/>
        <v>150.25713979254471</v>
      </c>
      <c r="L80" s="3">
        <f t="shared" si="25"/>
        <v>150.25713979254468</v>
      </c>
      <c r="O80" s="9">
        <f t="shared" si="51"/>
        <v>0.15025713980113947</v>
      </c>
      <c r="P80" s="9">
        <f t="shared" si="61"/>
        <v>5.6552577889041951</v>
      </c>
      <c r="Q80" s="3">
        <f t="shared" si="52"/>
        <v>1295.357268601595</v>
      </c>
      <c r="R80" s="3">
        <f t="shared" si="53"/>
        <v>5901.725836855976</v>
      </c>
      <c r="S80" s="3">
        <f t="shared" si="54"/>
        <v>5901.7258368559742</v>
      </c>
      <c r="T80" s="3"/>
      <c r="U80" s="3"/>
      <c r="V80" s="3">
        <f t="shared" si="55"/>
        <v>925.72263525779249</v>
      </c>
      <c r="W80" s="3">
        <f t="shared" si="62"/>
        <v>62949.13919752989</v>
      </c>
      <c r="X80" s="3">
        <f t="shared" si="56"/>
        <v>5.1377777777777789</v>
      </c>
      <c r="Y80" s="3">
        <f t="shared" si="57"/>
        <v>5.1377777777777789</v>
      </c>
      <c r="Z80" s="3">
        <f t="shared" si="63"/>
        <v>4756.1571838133705</v>
      </c>
      <c r="AK80">
        <f t="shared" si="58"/>
        <v>68</v>
      </c>
      <c r="AL80" s="3">
        <f t="shared" si="43"/>
        <v>1323.5294117647056</v>
      </c>
      <c r="AM80" s="3">
        <f t="shared" si="43"/>
        <v>2647.0588235294113</v>
      </c>
      <c r="AN80" s="3">
        <f t="shared" si="43"/>
        <v>3970.5882352941167</v>
      </c>
      <c r="AO80" s="3">
        <f t="shared" si="43"/>
        <v>5294.1176470588225</v>
      </c>
      <c r="AP80" s="3">
        <f t="shared" si="43"/>
        <v>6617.6470588235279</v>
      </c>
      <c r="AQ80" s="3">
        <f t="shared" si="43"/>
        <v>7941.1764705882333</v>
      </c>
      <c r="AR80" s="3">
        <f t="shared" si="43"/>
        <v>9264.7058823529387</v>
      </c>
      <c r="AS80" s="3">
        <f t="shared" si="43"/>
        <v>10588.235294117645</v>
      </c>
      <c r="AT80" s="3">
        <f t="shared" si="43"/>
        <v>11911.76470588235</v>
      </c>
      <c r="AU80" s="3">
        <f t="shared" si="43"/>
        <v>13235.294117647056</v>
      </c>
      <c r="AV80" s="3">
        <f t="shared" si="44"/>
        <v>14558.823529411762</v>
      </c>
      <c r="AW80" s="3">
        <f t="shared" si="44"/>
        <v>15882.352941176467</v>
      </c>
      <c r="AX80" s="3">
        <f t="shared" si="44"/>
        <v>17205.882352941171</v>
      </c>
      <c r="AY80" s="3">
        <f t="shared" si="44"/>
        <v>18529.411764705877</v>
      </c>
      <c r="AZ80" s="3">
        <f t="shared" si="44"/>
        <v>19852.941176470587</v>
      </c>
      <c r="BA80" s="3">
        <f t="shared" si="44"/>
        <v>21176.47058823529</v>
      </c>
      <c r="BB80" s="3">
        <f t="shared" si="44"/>
        <v>22499.999999999996</v>
      </c>
      <c r="BC80" s="3">
        <f t="shared" si="44"/>
        <v>23823.529411764699</v>
      </c>
      <c r="BD80" s="3">
        <f t="shared" si="44"/>
        <v>25147.058823529405</v>
      </c>
      <c r="BE80" s="3">
        <f t="shared" si="44"/>
        <v>26470.588235294112</v>
      </c>
    </row>
    <row r="81" spans="1:57" x14ac:dyDescent="0.45">
      <c r="A81">
        <f t="shared" si="37"/>
        <v>69</v>
      </c>
      <c r="B81" s="3">
        <f t="shared" si="45"/>
        <v>189.03591682419659</v>
      </c>
      <c r="C81" s="3">
        <f t="shared" si="38"/>
        <v>13043.478260869564</v>
      </c>
      <c r="D81" s="3">
        <f t="shared" si="46"/>
        <v>0.21424081211107382</v>
      </c>
      <c r="E81" s="3">
        <f t="shared" si="47"/>
        <v>5.2899999999999991</v>
      </c>
      <c r="F81" s="3"/>
      <c r="G81" s="3">
        <f t="shared" si="48"/>
        <v>6481419.8036211031</v>
      </c>
      <c r="H81" s="3">
        <f t="shared" si="49"/>
        <v>1304347.8260869565</v>
      </c>
      <c r="I81" s="3">
        <f t="shared" si="59"/>
        <v>3493354.2504462274</v>
      </c>
      <c r="J81" s="3">
        <f t="shared" si="50"/>
        <v>0.73749189657472602</v>
      </c>
      <c r="K81" s="3">
        <f t="shared" si="60"/>
        <v>139.41245681941891</v>
      </c>
      <c r="L81" s="3">
        <f t="shared" si="25"/>
        <v>139.41245681941891</v>
      </c>
      <c r="O81" s="9">
        <f t="shared" si="51"/>
        <v>0.13941245682739337</v>
      </c>
      <c r="P81" s="9">
        <f t="shared" si="61"/>
        <v>6.1729601698225611</v>
      </c>
      <c r="Q81" s="3">
        <f t="shared" si="52"/>
        <v>1355.9471020458527</v>
      </c>
      <c r="R81" s="3">
        <f t="shared" si="53"/>
        <v>6404.5623970423658</v>
      </c>
      <c r="S81" s="3">
        <f t="shared" si="54"/>
        <v>6404.5623970423667</v>
      </c>
      <c r="T81" s="3"/>
      <c r="U81" s="3"/>
      <c r="V81" s="3">
        <f t="shared" si="55"/>
        <v>939.33620342334814</v>
      </c>
      <c r="W81" s="3">
        <f t="shared" si="62"/>
        <v>64814.198036211019</v>
      </c>
      <c r="X81" s="3">
        <f t="shared" si="56"/>
        <v>5.29</v>
      </c>
      <c r="Y81" s="3">
        <f t="shared" si="57"/>
        <v>5.2899999999999991</v>
      </c>
      <c r="Z81" s="3">
        <f t="shared" si="63"/>
        <v>4969.0885161095111</v>
      </c>
      <c r="AK81">
        <f t="shared" si="58"/>
        <v>69</v>
      </c>
      <c r="AL81" s="3">
        <f t="shared" si="43"/>
        <v>1304.3478260869567</v>
      </c>
      <c r="AM81" s="3">
        <f t="shared" si="43"/>
        <v>2608.6956521739135</v>
      </c>
      <c r="AN81" s="3">
        <f t="shared" si="43"/>
        <v>3913.0434782608704</v>
      </c>
      <c r="AO81" s="3">
        <f t="shared" si="43"/>
        <v>5217.3913043478269</v>
      </c>
      <c r="AP81" s="3">
        <f t="shared" si="43"/>
        <v>6521.739130434783</v>
      </c>
      <c r="AQ81" s="3">
        <f t="shared" si="43"/>
        <v>7826.0869565217408</v>
      </c>
      <c r="AR81" s="3">
        <f t="shared" si="43"/>
        <v>9130.4347826086978</v>
      </c>
      <c r="AS81" s="3">
        <f t="shared" si="43"/>
        <v>10434.782608695654</v>
      </c>
      <c r="AT81" s="3">
        <f t="shared" si="43"/>
        <v>11739.13043478261</v>
      </c>
      <c r="AU81" s="3">
        <f t="shared" si="43"/>
        <v>13043.478260869566</v>
      </c>
      <c r="AV81" s="3">
        <f t="shared" si="44"/>
        <v>14347.826086956524</v>
      </c>
      <c r="AW81" s="3">
        <f t="shared" si="44"/>
        <v>15652.173913043482</v>
      </c>
      <c r="AX81" s="3">
        <f t="shared" si="44"/>
        <v>16956.52173913044</v>
      </c>
      <c r="AY81" s="3">
        <f t="shared" si="44"/>
        <v>18260.869565217396</v>
      </c>
      <c r="AZ81" s="3">
        <f t="shared" si="44"/>
        <v>19565.217391304348</v>
      </c>
      <c r="BA81" s="3">
        <f t="shared" si="44"/>
        <v>20869.565217391308</v>
      </c>
      <c r="BB81" s="3">
        <f t="shared" si="44"/>
        <v>22173.913043478267</v>
      </c>
      <c r="BC81" s="3">
        <f t="shared" si="44"/>
        <v>23478.26086956522</v>
      </c>
      <c r="BD81" s="3">
        <f t="shared" si="44"/>
        <v>24782.608695652179</v>
      </c>
      <c r="BE81" s="3">
        <f t="shared" si="44"/>
        <v>26086.956521739132</v>
      </c>
    </row>
    <row r="82" spans="1:57" x14ac:dyDescent="0.45">
      <c r="A82">
        <f t="shared" si="37"/>
        <v>70</v>
      </c>
      <c r="B82" s="3">
        <f t="shared" si="45"/>
        <v>183.67346938775509</v>
      </c>
      <c r="C82" s="3">
        <f t="shared" si="38"/>
        <v>12857.142857142857</v>
      </c>
      <c r="D82" s="3">
        <f t="shared" si="46"/>
        <v>0.20225832616659623</v>
      </c>
      <c r="E82" s="3">
        <f t="shared" si="47"/>
        <v>5.4444444444444446</v>
      </c>
      <c r="F82" s="3"/>
      <c r="G82" s="3">
        <f t="shared" si="48"/>
        <v>6670648.4011223279</v>
      </c>
      <c r="H82" s="3">
        <f t="shared" si="49"/>
        <v>1285714.2857142857</v>
      </c>
      <c r="I82" s="3">
        <f t="shared" si="59"/>
        <v>3574555.7412549551</v>
      </c>
      <c r="J82" s="3">
        <f t="shared" si="50"/>
        <v>0.7043659636572196</v>
      </c>
      <c r="K82" s="3">
        <f t="shared" si="60"/>
        <v>129.37334026357095</v>
      </c>
      <c r="L82" s="3">
        <f t="shared" si="25"/>
        <v>129.37334026357095</v>
      </c>
      <c r="O82" s="9">
        <f t="shared" si="51"/>
        <v>0.12937334027097117</v>
      </c>
      <c r="P82" s="9">
        <f t="shared" si="61"/>
        <v>6.7295677602936586</v>
      </c>
      <c r="Q82" s="3">
        <f t="shared" si="52"/>
        <v>1419.716527400876</v>
      </c>
      <c r="R82" s="3">
        <f t="shared" si="53"/>
        <v>6947.0775708831152</v>
      </c>
      <c r="S82" s="3">
        <f t="shared" si="54"/>
        <v>6947.0775708831161</v>
      </c>
      <c r="T82" s="3"/>
      <c r="U82" s="3"/>
      <c r="V82" s="3">
        <f t="shared" si="55"/>
        <v>952.94977158890401</v>
      </c>
      <c r="W82" s="3">
        <f t="shared" si="62"/>
        <v>66706.484011223278</v>
      </c>
      <c r="X82" s="3">
        <f t="shared" si="56"/>
        <v>5.4444444444444455</v>
      </c>
      <c r="Y82" s="3">
        <f t="shared" si="57"/>
        <v>5.4444444444444446</v>
      </c>
      <c r="Z82" s="3">
        <f t="shared" si="63"/>
        <v>5188.2820897618112</v>
      </c>
      <c r="AK82">
        <f t="shared" si="58"/>
        <v>70</v>
      </c>
      <c r="AL82" s="3">
        <f t="shared" si="43"/>
        <v>1285.7142857142856</v>
      </c>
      <c r="AM82" s="3">
        <f t="shared" si="43"/>
        <v>2571.4285714285711</v>
      </c>
      <c r="AN82" s="3">
        <f t="shared" si="43"/>
        <v>3857.1428571428569</v>
      </c>
      <c r="AO82" s="3">
        <f t="shared" si="43"/>
        <v>5142.8571428571422</v>
      </c>
      <c r="AP82" s="3">
        <f t="shared" si="43"/>
        <v>6428.5714285714284</v>
      </c>
      <c r="AQ82" s="3">
        <f t="shared" si="43"/>
        <v>7714.2857142857138</v>
      </c>
      <c r="AR82" s="3">
        <f t="shared" si="43"/>
        <v>8999.9999999999982</v>
      </c>
      <c r="AS82" s="3">
        <f t="shared" si="43"/>
        <v>10285.714285714284</v>
      </c>
      <c r="AT82" s="3">
        <f t="shared" si="43"/>
        <v>11571.428571428571</v>
      </c>
      <c r="AU82" s="3">
        <f t="shared" si="43"/>
        <v>12857.142857142857</v>
      </c>
      <c r="AV82" s="3">
        <f t="shared" si="44"/>
        <v>14142.857142857141</v>
      </c>
      <c r="AW82" s="3">
        <f t="shared" si="44"/>
        <v>15428.571428571428</v>
      </c>
      <c r="AX82" s="3">
        <f t="shared" si="44"/>
        <v>16714.285714285714</v>
      </c>
      <c r="AY82" s="3">
        <f t="shared" si="44"/>
        <v>17999.999999999996</v>
      </c>
      <c r="AZ82" s="3">
        <f t="shared" si="44"/>
        <v>19285.714285714286</v>
      </c>
      <c r="BA82" s="3">
        <f t="shared" si="44"/>
        <v>20571.428571428569</v>
      </c>
      <c r="BB82" s="3">
        <f t="shared" si="44"/>
        <v>21857.142857142859</v>
      </c>
      <c r="BC82" s="3">
        <f t="shared" si="44"/>
        <v>23142.857142857141</v>
      </c>
      <c r="BD82" s="3">
        <f t="shared" si="44"/>
        <v>24428.571428571428</v>
      </c>
      <c r="BE82" s="3">
        <f t="shared" si="44"/>
        <v>25714.285714285714</v>
      </c>
    </row>
    <row r="83" spans="1:57" x14ac:dyDescent="0.45">
      <c r="A83">
        <f t="shared" si="37"/>
        <v>71</v>
      </c>
      <c r="B83" s="3">
        <f t="shared" si="45"/>
        <v>178.53600476096014</v>
      </c>
      <c r="C83" s="3">
        <f t="shared" si="38"/>
        <v>12676.056338028169</v>
      </c>
      <c r="D83" s="3">
        <f t="shared" si="46"/>
        <v>0.19110197437391005</v>
      </c>
      <c r="E83" s="3">
        <f t="shared" si="47"/>
        <v>5.60111111111111</v>
      </c>
      <c r="F83" s="3"/>
      <c r="G83" s="3">
        <f t="shared" si="48"/>
        <v>6862599.7122566635</v>
      </c>
      <c r="H83" s="3">
        <f t="shared" si="49"/>
        <v>1267605.633802817</v>
      </c>
      <c r="I83" s="3">
        <f t="shared" si="59"/>
        <v>3657956.0885165026</v>
      </c>
      <c r="J83" s="3">
        <f t="shared" si="50"/>
        <v>0.67261342905345145</v>
      </c>
      <c r="K83" s="3">
        <f t="shared" si="60"/>
        <v>120.08571437177274</v>
      </c>
      <c r="L83" s="3">
        <f t="shared" si="25"/>
        <v>120.08571437177274</v>
      </c>
      <c r="O83" s="9">
        <f t="shared" si="51"/>
        <v>0.12008571437864168</v>
      </c>
      <c r="P83" s="9">
        <f t="shared" si="61"/>
        <v>7.3273851946027886</v>
      </c>
      <c r="Q83" s="3">
        <f t="shared" si="52"/>
        <v>1486.7380827499524</v>
      </c>
      <c r="R83" s="3">
        <f t="shared" si="53"/>
        <v>7531.5617057750715</v>
      </c>
      <c r="S83" s="3">
        <f t="shared" si="54"/>
        <v>7531.5617057750724</v>
      </c>
      <c r="T83" s="3"/>
      <c r="U83" s="3"/>
      <c r="V83" s="3">
        <f t="shared" si="55"/>
        <v>966.56333975445978</v>
      </c>
      <c r="W83" s="3">
        <f t="shared" si="62"/>
        <v>68625.997122566638</v>
      </c>
      <c r="X83" s="3">
        <f t="shared" si="56"/>
        <v>5.6011111111111118</v>
      </c>
      <c r="Y83" s="3">
        <f t="shared" si="57"/>
        <v>5.60111111111111</v>
      </c>
      <c r="Z83" s="3">
        <f t="shared" si="63"/>
        <v>5413.8286618913671</v>
      </c>
      <c r="AK83">
        <f t="shared" si="58"/>
        <v>71</v>
      </c>
      <c r="AL83" s="3">
        <f t="shared" ref="AL83:AU92" si="64">AL$12/(IMPROVED_MBPS*IMPROVED_KM^2/(DIST_RINGS_EM/$AK83)^2)*$AK83</f>
        <v>1267.6056338028172</v>
      </c>
      <c r="AM83" s="3">
        <f t="shared" si="64"/>
        <v>2535.2112676056345</v>
      </c>
      <c r="AN83" s="3">
        <f t="shared" si="64"/>
        <v>3802.8169014084515</v>
      </c>
      <c r="AO83" s="3">
        <f t="shared" si="64"/>
        <v>5070.422535211269</v>
      </c>
      <c r="AP83" s="3">
        <f t="shared" si="64"/>
        <v>6338.0281690140855</v>
      </c>
      <c r="AQ83" s="3">
        <f t="shared" si="64"/>
        <v>7605.633802816903</v>
      </c>
      <c r="AR83" s="3">
        <f t="shared" si="64"/>
        <v>8873.2394366197204</v>
      </c>
      <c r="AS83" s="3">
        <f t="shared" si="64"/>
        <v>10140.845070422538</v>
      </c>
      <c r="AT83" s="3">
        <f t="shared" si="64"/>
        <v>11408.450704225354</v>
      </c>
      <c r="AU83" s="3">
        <f t="shared" si="64"/>
        <v>12676.056338028171</v>
      </c>
      <c r="AV83" s="3">
        <f t="shared" ref="AV83:BE92" si="65">AV$12/(IMPROVED_MBPS*IMPROVED_KM^2/(DIST_RINGS_EM/$AK83)^2)*$AK83</f>
        <v>13943.661971830988</v>
      </c>
      <c r="AW83" s="3">
        <f t="shared" si="65"/>
        <v>15211.267605633806</v>
      </c>
      <c r="AX83" s="3">
        <f t="shared" si="65"/>
        <v>16478.873239436623</v>
      </c>
      <c r="AY83" s="3">
        <f t="shared" si="65"/>
        <v>17746.478873239441</v>
      </c>
      <c r="AZ83" s="3">
        <f t="shared" si="65"/>
        <v>19014.084507042258</v>
      </c>
      <c r="BA83" s="3">
        <f t="shared" si="65"/>
        <v>20281.690140845076</v>
      </c>
      <c r="BB83" s="3">
        <f t="shared" si="65"/>
        <v>21549.29577464789</v>
      </c>
      <c r="BC83" s="3">
        <f t="shared" si="65"/>
        <v>22816.901408450707</v>
      </c>
      <c r="BD83" s="3">
        <f t="shared" si="65"/>
        <v>24084.507042253528</v>
      </c>
      <c r="BE83" s="3">
        <f t="shared" si="65"/>
        <v>25352.112676056342</v>
      </c>
    </row>
    <row r="84" spans="1:57" x14ac:dyDescent="0.45">
      <c r="A84">
        <f t="shared" si="37"/>
        <v>72</v>
      </c>
      <c r="B84" s="3">
        <f t="shared" si="45"/>
        <v>173.61111111111111</v>
      </c>
      <c r="C84" s="3">
        <f t="shared" si="38"/>
        <v>12500</v>
      </c>
      <c r="D84" s="3">
        <f t="shared" si="46"/>
        <v>0.18070433998232244</v>
      </c>
      <c r="E84" s="3">
        <f t="shared" si="47"/>
        <v>5.76</v>
      </c>
      <c r="F84" s="3"/>
      <c r="G84" s="3">
        <f t="shared" si="48"/>
        <v>7057273.7370241117</v>
      </c>
      <c r="H84" s="3">
        <f t="shared" si="49"/>
        <v>1250000</v>
      </c>
      <c r="I84" s="3">
        <f t="shared" si="59"/>
        <v>3743498.1167115029</v>
      </c>
      <c r="J84" s="3">
        <f t="shared" si="50"/>
        <v>0.64222509474462819</v>
      </c>
      <c r="K84" s="3">
        <f t="shared" si="60"/>
        <v>111.4974122820535</v>
      </c>
      <c r="L84" s="3">
        <f t="shared" si="25"/>
        <v>111.49741228205352</v>
      </c>
      <c r="O84" s="9">
        <f t="shared" si="51"/>
        <v>0.1114974122884312</v>
      </c>
      <c r="P84" s="9">
        <f t="shared" si="61"/>
        <v>7.968818015373424</v>
      </c>
      <c r="Q84" s="3">
        <f t="shared" si="52"/>
        <v>1557.0864610023307</v>
      </c>
      <c r="R84" s="3">
        <f t="shared" si="53"/>
        <v>8160.4017796930866</v>
      </c>
      <c r="S84" s="3">
        <f t="shared" si="54"/>
        <v>8160.4017796930893</v>
      </c>
      <c r="T84" s="3"/>
      <c r="U84" s="3"/>
      <c r="V84" s="3">
        <f t="shared" si="55"/>
        <v>980.17690792001542</v>
      </c>
      <c r="W84" s="3">
        <f t="shared" si="62"/>
        <v>70572.737370241113</v>
      </c>
      <c r="X84" s="3">
        <f t="shared" si="56"/>
        <v>5.7599999999999989</v>
      </c>
      <c r="Y84" s="3">
        <f t="shared" si="57"/>
        <v>5.76</v>
      </c>
      <c r="Z84" s="3">
        <f t="shared" si="63"/>
        <v>5645.8189896192889</v>
      </c>
      <c r="AK84">
        <f t="shared" si="58"/>
        <v>72</v>
      </c>
      <c r="AL84" s="3">
        <f t="shared" si="64"/>
        <v>1250</v>
      </c>
      <c r="AM84" s="3">
        <f t="shared" si="64"/>
        <v>2500</v>
      </c>
      <c r="AN84" s="3">
        <f t="shared" si="64"/>
        <v>3750</v>
      </c>
      <c r="AO84" s="3">
        <f t="shared" si="64"/>
        <v>5000</v>
      </c>
      <c r="AP84" s="3">
        <f t="shared" si="64"/>
        <v>6250</v>
      </c>
      <c r="AQ84" s="3">
        <f t="shared" si="64"/>
        <v>7500</v>
      </c>
      <c r="AR84" s="3">
        <f t="shared" si="64"/>
        <v>8750</v>
      </c>
      <c r="AS84" s="3">
        <f t="shared" si="64"/>
        <v>10000</v>
      </c>
      <c r="AT84" s="3">
        <f t="shared" si="64"/>
        <v>11250</v>
      </c>
      <c r="AU84" s="3">
        <f t="shared" si="64"/>
        <v>12500</v>
      </c>
      <c r="AV84" s="3">
        <f t="shared" si="65"/>
        <v>13750</v>
      </c>
      <c r="AW84" s="3">
        <f t="shared" si="65"/>
        <v>15000</v>
      </c>
      <c r="AX84" s="3">
        <f t="shared" si="65"/>
        <v>16250</v>
      </c>
      <c r="AY84" s="3">
        <f t="shared" si="65"/>
        <v>17500</v>
      </c>
      <c r="AZ84" s="3">
        <f t="shared" si="65"/>
        <v>18750</v>
      </c>
      <c r="BA84" s="3">
        <f t="shared" si="65"/>
        <v>20000</v>
      </c>
      <c r="BB84" s="3">
        <f t="shared" si="65"/>
        <v>21250</v>
      </c>
      <c r="BC84" s="3">
        <f t="shared" si="65"/>
        <v>22500</v>
      </c>
      <c r="BD84" s="3">
        <f t="shared" si="65"/>
        <v>23750.000000000004</v>
      </c>
      <c r="BE84" s="3">
        <f t="shared" si="65"/>
        <v>25000</v>
      </c>
    </row>
    <row r="85" spans="1:57" x14ac:dyDescent="0.45">
      <c r="A85">
        <f t="shared" si="37"/>
        <v>73</v>
      </c>
      <c r="B85" s="3">
        <f t="shared" si="45"/>
        <v>168.88722086695441</v>
      </c>
      <c r="C85" s="3">
        <f t="shared" si="38"/>
        <v>12328.767123287671</v>
      </c>
      <c r="D85" s="3">
        <f t="shared" si="46"/>
        <v>0.17100433830602313</v>
      </c>
      <c r="E85" s="3">
        <f t="shared" si="47"/>
        <v>5.9211111111111103</v>
      </c>
      <c r="F85" s="3"/>
      <c r="G85" s="3">
        <f t="shared" si="48"/>
        <v>7254670.4754246697</v>
      </c>
      <c r="H85" s="3">
        <f t="shared" si="49"/>
        <v>1232876.7123287672</v>
      </c>
      <c r="I85" s="3">
        <f t="shared" si="59"/>
        <v>3831128.5432039723</v>
      </c>
      <c r="J85" s="3">
        <f t="shared" si="50"/>
        <v>0.61318152587598895</v>
      </c>
      <c r="K85" s="3">
        <f t="shared" si="60"/>
        <v>103.55852379215426</v>
      </c>
      <c r="L85" s="3">
        <f t="shared" si="25"/>
        <v>103.55852379215428</v>
      </c>
      <c r="O85" s="9">
        <f t="shared" si="51"/>
        <v>0.10355852379807785</v>
      </c>
      <c r="P85" s="9">
        <f t="shared" si="61"/>
        <v>8.6563755770585917</v>
      </c>
      <c r="Q85" s="3">
        <f t="shared" si="52"/>
        <v>1630.8384348569587</v>
      </c>
      <c r="R85" s="3">
        <f t="shared" si="53"/>
        <v>8836.0850770077577</v>
      </c>
      <c r="S85" s="3">
        <f t="shared" si="54"/>
        <v>8836.0850770077595</v>
      </c>
      <c r="T85" s="3"/>
      <c r="U85" s="3"/>
      <c r="V85" s="3">
        <f t="shared" si="55"/>
        <v>993.7904760855713</v>
      </c>
      <c r="W85" s="3">
        <f t="shared" si="62"/>
        <v>72546.704754246704</v>
      </c>
      <c r="X85" s="3">
        <f t="shared" si="56"/>
        <v>5.9211111111111121</v>
      </c>
      <c r="Y85" s="3">
        <f t="shared" si="57"/>
        <v>5.9211111111111103</v>
      </c>
      <c r="Z85" s="3">
        <f t="shared" si="63"/>
        <v>5884.3438300666767</v>
      </c>
      <c r="AK85">
        <f t="shared" si="58"/>
        <v>73</v>
      </c>
      <c r="AL85" s="3">
        <f t="shared" si="64"/>
        <v>1232.8767123287673</v>
      </c>
      <c r="AM85" s="3">
        <f t="shared" si="64"/>
        <v>2465.7534246575347</v>
      </c>
      <c r="AN85" s="3">
        <f t="shared" si="64"/>
        <v>3698.6301369863017</v>
      </c>
      <c r="AO85" s="3">
        <f t="shared" si="64"/>
        <v>4931.5068493150693</v>
      </c>
      <c r="AP85" s="3">
        <f t="shared" si="64"/>
        <v>6164.3835616438373</v>
      </c>
      <c r="AQ85" s="3">
        <f t="shared" si="64"/>
        <v>7397.2602739726035</v>
      </c>
      <c r="AR85" s="3">
        <f t="shared" si="64"/>
        <v>8630.1369863013715</v>
      </c>
      <c r="AS85" s="3">
        <f t="shared" si="64"/>
        <v>9863.0136986301386</v>
      </c>
      <c r="AT85" s="3">
        <f t="shared" si="64"/>
        <v>11095.890410958906</v>
      </c>
      <c r="AU85" s="3">
        <f t="shared" si="64"/>
        <v>12328.767123287675</v>
      </c>
      <c r="AV85" s="3">
        <f t="shared" si="65"/>
        <v>13561.64383561644</v>
      </c>
      <c r="AW85" s="3">
        <f t="shared" si="65"/>
        <v>14794.520547945207</v>
      </c>
      <c r="AX85" s="3">
        <f t="shared" si="65"/>
        <v>16027.397260273974</v>
      </c>
      <c r="AY85" s="3">
        <f t="shared" si="65"/>
        <v>17260.273972602743</v>
      </c>
      <c r="AZ85" s="3">
        <f t="shared" si="65"/>
        <v>18493.150684931508</v>
      </c>
      <c r="BA85" s="3">
        <f t="shared" si="65"/>
        <v>19726.027397260277</v>
      </c>
      <c r="BB85" s="3">
        <f t="shared" si="65"/>
        <v>20958.904109589042</v>
      </c>
      <c r="BC85" s="3">
        <f t="shared" si="65"/>
        <v>22191.780821917811</v>
      </c>
      <c r="BD85" s="3">
        <f t="shared" si="65"/>
        <v>23424.65753424658</v>
      </c>
      <c r="BE85" s="3">
        <f t="shared" si="65"/>
        <v>24657.534246575349</v>
      </c>
    </row>
    <row r="86" spans="1:57" x14ac:dyDescent="0.45">
      <c r="A86">
        <f t="shared" si="37"/>
        <v>74</v>
      </c>
      <c r="B86" s="3">
        <f t="shared" si="45"/>
        <v>164.35354273192112</v>
      </c>
      <c r="C86" s="3">
        <f t="shared" si="38"/>
        <v>12162.162162162163</v>
      </c>
      <c r="D86" s="3">
        <f t="shared" si="46"/>
        <v>0.16194654605647466</v>
      </c>
      <c r="E86" s="3">
        <f t="shared" si="47"/>
        <v>6.0844444444444434</v>
      </c>
      <c r="F86" s="3"/>
      <c r="G86" s="3">
        <f t="shared" si="48"/>
        <v>7454789.9274583394</v>
      </c>
      <c r="H86" s="3">
        <f t="shared" si="49"/>
        <v>1216216.2162162163</v>
      </c>
      <c r="I86" s="3">
        <f t="shared" si="59"/>
        <v>3920797.7632391178</v>
      </c>
      <c r="J86" s="3">
        <f t="shared" si="50"/>
        <v>0.58545514365118956</v>
      </c>
      <c r="K86" s="3">
        <f t="shared" si="60"/>
        <v>96.221626969698804</v>
      </c>
      <c r="L86" s="3">
        <f t="shared" ref="L86:L149" si="66">IMPROVED_MBPS*IMPROVED_KM^2*B86^3*A86^2/((A86*PI()*AVG_SUN_DIST)^2+(DIST_RINGS_EM*B86)^2)</f>
        <v>96.221626969698832</v>
      </c>
      <c r="O86" s="9">
        <f t="shared" si="51"/>
        <v>9.6221626975202715E-2</v>
      </c>
      <c r="P86" s="9">
        <f t="shared" si="61"/>
        <v>9.392673990616581</v>
      </c>
      <c r="Q86" s="3">
        <f t="shared" si="52"/>
        <v>1708.0727888157276</v>
      </c>
      <c r="R86" s="3">
        <f t="shared" si="53"/>
        <v>9561.2028624423365</v>
      </c>
      <c r="S86" s="3">
        <f t="shared" si="54"/>
        <v>9561.2028624423419</v>
      </c>
      <c r="T86" s="3"/>
      <c r="U86" s="3"/>
      <c r="V86" s="3">
        <f t="shared" si="55"/>
        <v>1007.4040442511271</v>
      </c>
      <c r="W86" s="3">
        <f t="shared" si="62"/>
        <v>74547.899274583397</v>
      </c>
      <c r="X86" s="3">
        <f t="shared" si="56"/>
        <v>6.0844444444444452</v>
      </c>
      <c r="Y86" s="3">
        <f t="shared" si="57"/>
        <v>6.0844444444444434</v>
      </c>
      <c r="Z86" s="3">
        <f t="shared" si="63"/>
        <v>6129.4939403546341</v>
      </c>
      <c r="AK86">
        <f t="shared" si="58"/>
        <v>74</v>
      </c>
      <c r="AL86" s="3">
        <f t="shared" si="64"/>
        <v>1216.2162162162165</v>
      </c>
      <c r="AM86" s="3">
        <f t="shared" si="64"/>
        <v>2432.432432432433</v>
      </c>
      <c r="AN86" s="3">
        <f t="shared" si="64"/>
        <v>3648.6486486486492</v>
      </c>
      <c r="AO86" s="3">
        <f t="shared" si="64"/>
        <v>4864.8648648648659</v>
      </c>
      <c r="AP86" s="3">
        <f t="shared" si="64"/>
        <v>6081.0810810810817</v>
      </c>
      <c r="AQ86" s="3">
        <f t="shared" si="64"/>
        <v>7297.2972972972984</v>
      </c>
      <c r="AR86" s="3">
        <f t="shared" si="64"/>
        <v>8513.5135135135151</v>
      </c>
      <c r="AS86" s="3">
        <f t="shared" si="64"/>
        <v>9729.7297297297318</v>
      </c>
      <c r="AT86" s="3">
        <f t="shared" si="64"/>
        <v>10945.945945945947</v>
      </c>
      <c r="AU86" s="3">
        <f t="shared" si="64"/>
        <v>12162.162162162163</v>
      </c>
      <c r="AV86" s="3">
        <f t="shared" si="65"/>
        <v>13378.37837837838</v>
      </c>
      <c r="AW86" s="3">
        <f t="shared" si="65"/>
        <v>14594.594594594597</v>
      </c>
      <c r="AX86" s="3">
        <f t="shared" si="65"/>
        <v>15810.810810810814</v>
      </c>
      <c r="AY86" s="3">
        <f t="shared" si="65"/>
        <v>17027.02702702703</v>
      </c>
      <c r="AZ86" s="3">
        <f t="shared" si="65"/>
        <v>18243.243243243247</v>
      </c>
      <c r="BA86" s="3">
        <f t="shared" si="65"/>
        <v>19459.459459459464</v>
      </c>
      <c r="BB86" s="3">
        <f t="shared" si="65"/>
        <v>20675.67567567568</v>
      </c>
      <c r="BC86" s="3">
        <f t="shared" si="65"/>
        <v>21891.891891891893</v>
      </c>
      <c r="BD86" s="3">
        <f t="shared" si="65"/>
        <v>23108.10810810811</v>
      </c>
      <c r="BE86" s="3">
        <f t="shared" si="65"/>
        <v>24324.324324324327</v>
      </c>
    </row>
    <row r="87" spans="1:57" x14ac:dyDescent="0.45">
      <c r="A87">
        <f t="shared" si="37"/>
        <v>75</v>
      </c>
      <c r="B87" s="3">
        <f t="shared" si="45"/>
        <v>160</v>
      </c>
      <c r="C87" s="3">
        <f t="shared" si="38"/>
        <v>12000</v>
      </c>
      <c r="D87" s="3">
        <f t="shared" si="46"/>
        <v>0.15348060954105605</v>
      </c>
      <c r="E87" s="3">
        <f t="shared" si="47"/>
        <v>6.25</v>
      </c>
      <c r="F87" s="3"/>
      <c r="G87" s="3">
        <f t="shared" si="48"/>
        <v>7657632.0931251217</v>
      </c>
      <c r="H87" s="3">
        <f t="shared" si="49"/>
        <v>1200000</v>
      </c>
      <c r="I87" s="3">
        <f t="shared" si="59"/>
        <v>4012459.6344904155</v>
      </c>
      <c r="J87" s="3">
        <f t="shared" si="50"/>
        <v>0.55901203329340365</v>
      </c>
      <c r="K87" s="3">
        <f t="shared" si="60"/>
        <v>89.441925326944585</v>
      </c>
      <c r="L87" s="3">
        <f t="shared" si="66"/>
        <v>89.441925326944613</v>
      </c>
      <c r="O87" s="9">
        <f t="shared" si="51"/>
        <v>8.9441925332060704E-2</v>
      </c>
      <c r="P87" s="9">
        <f t="shared" si="61"/>
        <v>10.180439109370862</v>
      </c>
      <c r="Q87" s="3">
        <f t="shared" si="52"/>
        <v>1788.8702574993381</v>
      </c>
      <c r="R87" s="3">
        <f t="shared" si="53"/>
        <v>10338.454039404814</v>
      </c>
      <c r="S87" s="3">
        <f t="shared" si="54"/>
        <v>10338.454039404814</v>
      </c>
      <c r="T87" s="3"/>
      <c r="U87" s="3"/>
      <c r="V87" s="3">
        <f t="shared" si="55"/>
        <v>1021.0176124166828</v>
      </c>
      <c r="W87" s="3">
        <f t="shared" si="62"/>
        <v>76576.320931251219</v>
      </c>
      <c r="X87" s="3">
        <f t="shared" si="56"/>
        <v>6.2500000000000009</v>
      </c>
      <c r="Y87" s="3">
        <f t="shared" si="57"/>
        <v>6.25</v>
      </c>
      <c r="Z87" s="3">
        <f t="shared" si="63"/>
        <v>6381.3600776042676</v>
      </c>
      <c r="AK87">
        <f t="shared" si="58"/>
        <v>75</v>
      </c>
      <c r="AL87" s="3">
        <f t="shared" si="64"/>
        <v>1200</v>
      </c>
      <c r="AM87" s="3">
        <f t="shared" si="64"/>
        <v>2400</v>
      </c>
      <c r="AN87" s="3">
        <f t="shared" si="64"/>
        <v>3600</v>
      </c>
      <c r="AO87" s="3">
        <f t="shared" si="64"/>
        <v>4800</v>
      </c>
      <c r="AP87" s="3">
        <f t="shared" si="64"/>
        <v>6000</v>
      </c>
      <c r="AQ87" s="3">
        <f t="shared" si="64"/>
        <v>7200</v>
      </c>
      <c r="AR87" s="3">
        <f t="shared" si="64"/>
        <v>8400</v>
      </c>
      <c r="AS87" s="3">
        <f t="shared" si="64"/>
        <v>9600</v>
      </c>
      <c r="AT87" s="3">
        <f t="shared" si="64"/>
        <v>10800</v>
      </c>
      <c r="AU87" s="3">
        <f t="shared" si="64"/>
        <v>12000</v>
      </c>
      <c r="AV87" s="3">
        <f t="shared" si="65"/>
        <v>13200</v>
      </c>
      <c r="AW87" s="3">
        <f t="shared" si="65"/>
        <v>14400</v>
      </c>
      <c r="AX87" s="3">
        <f t="shared" si="65"/>
        <v>15600</v>
      </c>
      <c r="AY87" s="3">
        <f t="shared" si="65"/>
        <v>16800</v>
      </c>
      <c r="AZ87" s="3">
        <f t="shared" si="65"/>
        <v>18000</v>
      </c>
      <c r="BA87" s="3">
        <f t="shared" si="65"/>
        <v>19200</v>
      </c>
      <c r="BB87" s="3">
        <f t="shared" si="65"/>
        <v>20400</v>
      </c>
      <c r="BC87" s="3">
        <f t="shared" si="65"/>
        <v>21600</v>
      </c>
      <c r="BD87" s="3">
        <f t="shared" si="65"/>
        <v>22800</v>
      </c>
      <c r="BE87" s="3">
        <f t="shared" si="65"/>
        <v>24000</v>
      </c>
    </row>
    <row r="88" spans="1:57" x14ac:dyDescent="0.45">
      <c r="A88">
        <f t="shared" si="37"/>
        <v>76</v>
      </c>
      <c r="B88" s="3">
        <f t="shared" si="45"/>
        <v>155.81717451523545</v>
      </c>
      <c r="C88" s="3">
        <f t="shared" si="38"/>
        <v>11842.105263157895</v>
      </c>
      <c r="D88" s="3">
        <f t="shared" si="46"/>
        <v>0.14556072155665073</v>
      </c>
      <c r="E88" s="3">
        <f t="shared" si="47"/>
        <v>6.4177777777777774</v>
      </c>
      <c r="F88" s="3"/>
      <c r="G88" s="3">
        <f t="shared" si="48"/>
        <v>7863196.9724250138</v>
      </c>
      <c r="H88" s="3">
        <f t="shared" si="49"/>
        <v>1184210.5263157894</v>
      </c>
      <c r="I88" s="3">
        <f t="shared" si="59"/>
        <v>4106071.2642896976</v>
      </c>
      <c r="J88" s="3">
        <f t="shared" si="50"/>
        <v>0.53381348939571482</v>
      </c>
      <c r="K88" s="3">
        <f t="shared" si="60"/>
        <v>83.177309635758888</v>
      </c>
      <c r="L88" s="3">
        <f t="shared" si="66"/>
        <v>83.177309635758888</v>
      </c>
      <c r="O88" s="9">
        <f t="shared" si="51"/>
        <v>8.3177309640516658E-2</v>
      </c>
      <c r="P88" s="9">
        <f t="shared" si="61"/>
        <v>11.022509556054313</v>
      </c>
      <c r="Q88" s="3">
        <f t="shared" si="52"/>
        <v>1873.3134696068007</v>
      </c>
      <c r="R88" s="3">
        <f t="shared" si="53"/>
        <v>11170.648784046682</v>
      </c>
      <c r="S88" s="3">
        <f t="shared" si="54"/>
        <v>11170.648784046683</v>
      </c>
      <c r="T88" s="3"/>
      <c r="U88" s="3"/>
      <c r="V88" s="3">
        <f t="shared" si="55"/>
        <v>1034.6311805822386</v>
      </c>
      <c r="W88" s="3">
        <f t="shared" si="62"/>
        <v>78631.969724250128</v>
      </c>
      <c r="X88" s="3">
        <f t="shared" si="56"/>
        <v>6.4177777777777782</v>
      </c>
      <c r="Y88" s="3">
        <f t="shared" si="57"/>
        <v>6.4177777777777774</v>
      </c>
      <c r="Z88" s="3">
        <f t="shared" si="63"/>
        <v>6640.0329989366774</v>
      </c>
      <c r="AK88">
        <f t="shared" si="58"/>
        <v>76</v>
      </c>
      <c r="AL88" s="3">
        <f t="shared" si="64"/>
        <v>1184.2105263157896</v>
      </c>
      <c r="AM88" s="3">
        <f t="shared" si="64"/>
        <v>2368.4210526315792</v>
      </c>
      <c r="AN88" s="3">
        <f t="shared" si="64"/>
        <v>3552.6315789473688</v>
      </c>
      <c r="AO88" s="3">
        <f t="shared" si="64"/>
        <v>4736.8421052631584</v>
      </c>
      <c r="AP88" s="3">
        <f t="shared" si="64"/>
        <v>5921.0526315789484</v>
      </c>
      <c r="AQ88" s="3">
        <f t="shared" si="64"/>
        <v>7105.2631578947376</v>
      </c>
      <c r="AR88" s="3">
        <f t="shared" si="64"/>
        <v>8289.4736842105267</v>
      </c>
      <c r="AS88" s="3">
        <f t="shared" si="64"/>
        <v>9473.6842105263167</v>
      </c>
      <c r="AT88" s="3">
        <f t="shared" si="64"/>
        <v>10657.894736842107</v>
      </c>
      <c r="AU88" s="3">
        <f t="shared" si="64"/>
        <v>11842.105263157897</v>
      </c>
      <c r="AV88" s="3">
        <f t="shared" si="65"/>
        <v>13026.315789473685</v>
      </c>
      <c r="AW88" s="3">
        <f t="shared" si="65"/>
        <v>14210.526315789475</v>
      </c>
      <c r="AX88" s="3">
        <f t="shared" si="65"/>
        <v>15394.736842105263</v>
      </c>
      <c r="AY88" s="3">
        <f t="shared" si="65"/>
        <v>16578.947368421053</v>
      </c>
      <c r="AZ88" s="3">
        <f t="shared" si="65"/>
        <v>17763.157894736843</v>
      </c>
      <c r="BA88" s="3">
        <f t="shared" si="65"/>
        <v>18947.368421052633</v>
      </c>
      <c r="BB88" s="3">
        <f t="shared" si="65"/>
        <v>20131.57894736842</v>
      </c>
      <c r="BC88" s="3">
        <f t="shared" si="65"/>
        <v>21315.789473684214</v>
      </c>
      <c r="BD88" s="3">
        <f t="shared" si="65"/>
        <v>22500.000000000004</v>
      </c>
      <c r="BE88" s="3">
        <f t="shared" si="65"/>
        <v>23684.210526315794</v>
      </c>
    </row>
    <row r="89" spans="1:57" x14ac:dyDescent="0.45">
      <c r="A89">
        <f t="shared" si="37"/>
        <v>77</v>
      </c>
      <c r="B89" s="3">
        <f t="shared" si="45"/>
        <v>151.79625569235958</v>
      </c>
      <c r="C89" s="3">
        <f t="shared" si="38"/>
        <v>11688.311688311687</v>
      </c>
      <c r="D89" s="3">
        <f t="shared" si="46"/>
        <v>0.13814515823140239</v>
      </c>
      <c r="E89" s="3">
        <f t="shared" si="47"/>
        <v>6.5877777777777764</v>
      </c>
      <c r="F89" s="3"/>
      <c r="G89" s="3">
        <f t="shared" si="48"/>
        <v>8071484.5653580176</v>
      </c>
      <c r="H89" s="3">
        <f t="shared" si="49"/>
        <v>1168831.1688311689</v>
      </c>
      <c r="I89" s="3">
        <f t="shared" si="59"/>
        <v>4201592.8019543272</v>
      </c>
      <c r="J89" s="3">
        <f t="shared" si="50"/>
        <v>0.50981732353391906</v>
      </c>
      <c r="K89" s="3">
        <f t="shared" si="60"/>
        <v>77.38836079954919</v>
      </c>
      <c r="L89" s="3">
        <f t="shared" si="66"/>
        <v>77.388360799549218</v>
      </c>
      <c r="O89" s="9">
        <f t="shared" si="51"/>
        <v>7.7388360803975834E-2</v>
      </c>
      <c r="P89" s="9">
        <f t="shared" si="61"/>
        <v>11.921839791037735</v>
      </c>
      <c r="Q89" s="3">
        <f t="shared" si="52"/>
        <v>1961.4868969360703</v>
      </c>
      <c r="R89" s="3">
        <f t="shared" si="53"/>
        <v>12060.71215071155</v>
      </c>
      <c r="S89" s="3">
        <f t="shared" si="54"/>
        <v>12060.712150711552</v>
      </c>
      <c r="T89" s="3"/>
      <c r="U89" s="3"/>
      <c r="V89" s="3">
        <f t="shared" si="55"/>
        <v>1048.2447487477943</v>
      </c>
      <c r="W89" s="3">
        <f t="shared" si="62"/>
        <v>80714.845653580167</v>
      </c>
      <c r="X89" s="3">
        <f t="shared" si="56"/>
        <v>6.5877777777777782</v>
      </c>
      <c r="Y89" s="3">
        <f t="shared" si="57"/>
        <v>6.5877777777777764</v>
      </c>
      <c r="Z89" s="3">
        <f t="shared" si="63"/>
        <v>6905.6034614729679</v>
      </c>
      <c r="AK89">
        <f t="shared" si="58"/>
        <v>77</v>
      </c>
      <c r="AL89" s="3">
        <f t="shared" si="64"/>
        <v>1168.831168831169</v>
      </c>
      <c r="AM89" s="3">
        <f t="shared" si="64"/>
        <v>2337.6623376623379</v>
      </c>
      <c r="AN89" s="3">
        <f t="shared" si="64"/>
        <v>3506.4935064935071</v>
      </c>
      <c r="AO89" s="3">
        <f t="shared" si="64"/>
        <v>4675.3246753246758</v>
      </c>
      <c r="AP89" s="3">
        <f t="shared" si="64"/>
        <v>5844.1558441558445</v>
      </c>
      <c r="AQ89" s="3">
        <f t="shared" si="64"/>
        <v>7012.9870129870142</v>
      </c>
      <c r="AR89" s="3">
        <f t="shared" si="64"/>
        <v>8181.8181818181838</v>
      </c>
      <c r="AS89" s="3">
        <f t="shared" si="64"/>
        <v>9350.6493506493516</v>
      </c>
      <c r="AT89" s="3">
        <f t="shared" si="64"/>
        <v>10519.480519480521</v>
      </c>
      <c r="AU89" s="3">
        <f t="shared" si="64"/>
        <v>11688.311688311689</v>
      </c>
      <c r="AV89" s="3">
        <f t="shared" si="65"/>
        <v>12857.142857142861</v>
      </c>
      <c r="AW89" s="3">
        <f t="shared" si="65"/>
        <v>14025.974025974028</v>
      </c>
      <c r="AX89" s="3">
        <f t="shared" si="65"/>
        <v>15194.805194805196</v>
      </c>
      <c r="AY89" s="3">
        <f t="shared" si="65"/>
        <v>16363.636363636368</v>
      </c>
      <c r="AZ89" s="3">
        <f t="shared" si="65"/>
        <v>17532.467532467537</v>
      </c>
      <c r="BA89" s="3">
        <f t="shared" si="65"/>
        <v>18701.298701298703</v>
      </c>
      <c r="BB89" s="3">
        <f t="shared" si="65"/>
        <v>19870.129870129873</v>
      </c>
      <c r="BC89" s="3">
        <f t="shared" si="65"/>
        <v>21038.961038961043</v>
      </c>
      <c r="BD89" s="3">
        <f t="shared" si="65"/>
        <v>22207.792207792212</v>
      </c>
      <c r="BE89" s="3">
        <f t="shared" si="65"/>
        <v>23376.623376623378</v>
      </c>
    </row>
    <row r="90" spans="1:57" x14ac:dyDescent="0.45">
      <c r="A90">
        <f t="shared" si="37"/>
        <v>78</v>
      </c>
      <c r="B90" s="3">
        <f t="shared" si="45"/>
        <v>147.92899408284023</v>
      </c>
      <c r="C90" s="3">
        <f t="shared" si="38"/>
        <v>11538.461538461539</v>
      </c>
      <c r="D90" s="3">
        <f t="shared" si="46"/>
        <v>0.13119586827749161</v>
      </c>
      <c r="E90" s="3">
        <f t="shared" si="47"/>
        <v>6.7600000000000007</v>
      </c>
      <c r="F90" s="3"/>
      <c r="G90" s="3">
        <f t="shared" si="48"/>
        <v>8282494.8719241312</v>
      </c>
      <c r="H90" s="3">
        <f t="shared" si="49"/>
        <v>1153846.1538461538</v>
      </c>
      <c r="I90" s="3">
        <f t="shared" si="59"/>
        <v>4298987.2380140824</v>
      </c>
      <c r="J90" s="3">
        <f t="shared" si="50"/>
        <v>0.48697895981647948</v>
      </c>
      <c r="K90" s="3">
        <f t="shared" si="60"/>
        <v>72.038307665159692</v>
      </c>
      <c r="L90" s="3">
        <f t="shared" si="66"/>
        <v>72.038307665159721</v>
      </c>
      <c r="O90" s="9">
        <f t="shared" si="51"/>
        <v>7.2038307669280308E-2</v>
      </c>
      <c r="P90" s="9">
        <f t="shared" si="61"/>
        <v>12.88150322174261</v>
      </c>
      <c r="Q90" s="3">
        <f t="shared" si="52"/>
        <v>2053.4768079500905</v>
      </c>
      <c r="R90" s="3">
        <f t="shared" si="53"/>
        <v>13011.687647903365</v>
      </c>
      <c r="S90" s="3">
        <f t="shared" si="54"/>
        <v>13011.687647903365</v>
      </c>
      <c r="T90" s="3"/>
      <c r="U90" s="3"/>
      <c r="V90" s="3">
        <f t="shared" si="55"/>
        <v>1061.8583169133501</v>
      </c>
      <c r="W90" s="3">
        <f t="shared" si="62"/>
        <v>82824.948719241307</v>
      </c>
      <c r="X90" s="3">
        <f t="shared" si="56"/>
        <v>6.7600000000000007</v>
      </c>
      <c r="Y90" s="3">
        <f t="shared" si="57"/>
        <v>6.7600000000000007</v>
      </c>
      <c r="Z90" s="3">
        <f t="shared" si="63"/>
        <v>7178.1622223342474</v>
      </c>
      <c r="AK90">
        <f t="shared" si="58"/>
        <v>78</v>
      </c>
      <c r="AL90" s="3">
        <f t="shared" si="64"/>
        <v>1153.8461538461538</v>
      </c>
      <c r="AM90" s="3">
        <f t="shared" si="64"/>
        <v>2307.6923076923076</v>
      </c>
      <c r="AN90" s="3">
        <f t="shared" si="64"/>
        <v>3461.538461538461</v>
      </c>
      <c r="AO90" s="3">
        <f t="shared" si="64"/>
        <v>4615.3846153846152</v>
      </c>
      <c r="AP90" s="3">
        <f t="shared" si="64"/>
        <v>5769.2307692307695</v>
      </c>
      <c r="AQ90" s="3">
        <f t="shared" si="64"/>
        <v>6923.076923076922</v>
      </c>
      <c r="AR90" s="3">
        <f t="shared" si="64"/>
        <v>8076.9230769230762</v>
      </c>
      <c r="AS90" s="3">
        <f t="shared" si="64"/>
        <v>9230.7692307692305</v>
      </c>
      <c r="AT90" s="3">
        <f t="shared" si="64"/>
        <v>10384.615384615385</v>
      </c>
      <c r="AU90" s="3">
        <f t="shared" si="64"/>
        <v>11538.461538461539</v>
      </c>
      <c r="AV90" s="3">
        <f t="shared" si="65"/>
        <v>12692.30769230769</v>
      </c>
      <c r="AW90" s="3">
        <f t="shared" si="65"/>
        <v>13846.153846153844</v>
      </c>
      <c r="AX90" s="3">
        <f t="shared" si="65"/>
        <v>14999.999999999998</v>
      </c>
      <c r="AY90" s="3">
        <f t="shared" si="65"/>
        <v>16153.846153846152</v>
      </c>
      <c r="AZ90" s="3">
        <f t="shared" si="65"/>
        <v>17307.692307692305</v>
      </c>
      <c r="BA90" s="3">
        <f t="shared" si="65"/>
        <v>18461.538461538461</v>
      </c>
      <c r="BB90" s="3">
        <f t="shared" si="65"/>
        <v>19615.384615384613</v>
      </c>
      <c r="BC90" s="3">
        <f t="shared" si="65"/>
        <v>20769.23076923077</v>
      </c>
      <c r="BD90" s="3">
        <f t="shared" si="65"/>
        <v>21923.076923076922</v>
      </c>
      <c r="BE90" s="3">
        <f t="shared" si="65"/>
        <v>23076.923076923078</v>
      </c>
    </row>
    <row r="91" spans="1:57" x14ac:dyDescent="0.45">
      <c r="A91">
        <f t="shared" si="37"/>
        <v>79</v>
      </c>
      <c r="B91" s="3">
        <f t="shared" si="45"/>
        <v>144.20765902900177</v>
      </c>
      <c r="C91" s="3">
        <f t="shared" si="38"/>
        <v>11392.40506329114</v>
      </c>
      <c r="D91" s="3">
        <f t="shared" si="46"/>
        <v>0.12467810814719429</v>
      </c>
      <c r="E91" s="3">
        <f t="shared" si="47"/>
        <v>6.9344444444444457</v>
      </c>
      <c r="F91" s="3"/>
      <c r="G91" s="3">
        <f t="shared" si="48"/>
        <v>8496227.8921233565</v>
      </c>
      <c r="H91" s="3">
        <f t="shared" si="49"/>
        <v>1139240.5063291139</v>
      </c>
      <c r="I91" s="3">
        <f t="shared" si="59"/>
        <v>4398220.2116293292</v>
      </c>
      <c r="J91" s="3">
        <f t="shared" si="50"/>
        <v>0.46525234362077927</v>
      </c>
      <c r="K91" s="3">
        <f t="shared" si="60"/>
        <v>67.092951331309308</v>
      </c>
      <c r="L91" s="3">
        <f t="shared" si="66"/>
        <v>67.092951331309322</v>
      </c>
      <c r="O91" s="9">
        <f t="shared" si="51"/>
        <v>6.7092951335147047E-2</v>
      </c>
      <c r="P91" s="9">
        <f t="shared" si="61"/>
        <v>13.904695353238157</v>
      </c>
      <c r="Q91" s="3">
        <f t="shared" si="52"/>
        <v>2149.3712254309153</v>
      </c>
      <c r="R91" s="3">
        <f t="shared" si="53"/>
        <v>14026.740786556416</v>
      </c>
      <c r="S91" s="3">
        <f t="shared" si="54"/>
        <v>14026.740786556413</v>
      </c>
      <c r="T91" s="3"/>
      <c r="U91" s="3"/>
      <c r="V91" s="3">
        <f t="shared" si="55"/>
        <v>1075.4718850789059</v>
      </c>
      <c r="W91" s="3">
        <f t="shared" si="62"/>
        <v>84962.278921233563</v>
      </c>
      <c r="X91" s="3">
        <f t="shared" si="56"/>
        <v>6.934444444444444</v>
      </c>
      <c r="Y91" s="3">
        <f t="shared" si="57"/>
        <v>6.9344444444444457</v>
      </c>
      <c r="Z91" s="3">
        <f t="shared" si="63"/>
        <v>7457.8000386416143</v>
      </c>
      <c r="AK91">
        <f t="shared" si="58"/>
        <v>79</v>
      </c>
      <c r="AL91" s="3">
        <f t="shared" si="64"/>
        <v>1139.2405063291137</v>
      </c>
      <c r="AM91" s="3">
        <f t="shared" si="64"/>
        <v>2278.4810126582274</v>
      </c>
      <c r="AN91" s="3">
        <f t="shared" si="64"/>
        <v>3417.7215189873414</v>
      </c>
      <c r="AO91" s="3">
        <f t="shared" si="64"/>
        <v>4556.9620253164549</v>
      </c>
      <c r="AP91" s="3">
        <f t="shared" si="64"/>
        <v>5696.2025316455693</v>
      </c>
      <c r="AQ91" s="3">
        <f t="shared" si="64"/>
        <v>6835.4430379746827</v>
      </c>
      <c r="AR91" s="3">
        <f t="shared" si="64"/>
        <v>7974.6835443037962</v>
      </c>
      <c r="AS91" s="3">
        <f t="shared" si="64"/>
        <v>9113.9240506329097</v>
      </c>
      <c r="AT91" s="3">
        <f t="shared" si="64"/>
        <v>10253.164556962025</v>
      </c>
      <c r="AU91" s="3">
        <f t="shared" si="64"/>
        <v>11392.405063291139</v>
      </c>
      <c r="AV91" s="3">
        <f t="shared" si="65"/>
        <v>12531.645569620252</v>
      </c>
      <c r="AW91" s="3">
        <f t="shared" si="65"/>
        <v>13670.886075949365</v>
      </c>
      <c r="AX91" s="3">
        <f t="shared" si="65"/>
        <v>14810.126582278479</v>
      </c>
      <c r="AY91" s="3">
        <f t="shared" si="65"/>
        <v>15949.367088607592</v>
      </c>
      <c r="AZ91" s="3">
        <f t="shared" si="65"/>
        <v>17088.607594936704</v>
      </c>
      <c r="BA91" s="3">
        <f t="shared" si="65"/>
        <v>18227.848101265819</v>
      </c>
      <c r="BB91" s="3">
        <f t="shared" si="65"/>
        <v>19367.088607594935</v>
      </c>
      <c r="BC91" s="3">
        <f t="shared" si="65"/>
        <v>20506.32911392405</v>
      </c>
      <c r="BD91" s="3">
        <f t="shared" si="65"/>
        <v>21645.569620253162</v>
      </c>
      <c r="BE91" s="3">
        <f t="shared" si="65"/>
        <v>22784.810126582277</v>
      </c>
    </row>
    <row r="92" spans="1:57" x14ac:dyDescent="0.45">
      <c r="A92">
        <f t="shared" si="37"/>
        <v>80</v>
      </c>
      <c r="B92" s="3">
        <f t="shared" si="45"/>
        <v>140.625</v>
      </c>
      <c r="C92" s="3">
        <f t="shared" si="38"/>
        <v>11250</v>
      </c>
      <c r="D92" s="3">
        <f t="shared" si="46"/>
        <v>0.11856011746240176</v>
      </c>
      <c r="E92" s="3">
        <f t="shared" si="47"/>
        <v>7.1111111111111107</v>
      </c>
      <c r="F92" s="3"/>
      <c r="G92" s="3">
        <f t="shared" si="48"/>
        <v>8712683.6259556934</v>
      </c>
      <c r="H92" s="3">
        <f t="shared" si="49"/>
        <v>1125000</v>
      </c>
      <c r="I92" s="3">
        <f t="shared" si="59"/>
        <v>4499259.8270714609</v>
      </c>
      <c r="J92" s="3">
        <f t="shared" si="50"/>
        <v>0.4445906875234078</v>
      </c>
      <c r="K92" s="3">
        <f t="shared" si="60"/>
        <v>62.520565432979225</v>
      </c>
      <c r="L92" s="3">
        <f t="shared" si="66"/>
        <v>62.52056543297924</v>
      </c>
      <c r="O92" s="9">
        <f t="shared" si="51"/>
        <v>6.2520565436555431E-2</v>
      </c>
      <c r="P92" s="9">
        <f t="shared" si="61"/>
        <v>14.994736980022665</v>
      </c>
      <c r="Q92" s="3">
        <f t="shared" si="52"/>
        <v>2249.2598878156873</v>
      </c>
      <c r="R92" s="3">
        <f t="shared" si="53"/>
        <v>15109.162604303618</v>
      </c>
      <c r="S92" s="3">
        <f t="shared" si="54"/>
        <v>15109.162604303616</v>
      </c>
      <c r="T92" s="3"/>
      <c r="U92" s="3"/>
      <c r="V92" s="3">
        <f t="shared" si="55"/>
        <v>1089.0854532444616</v>
      </c>
      <c r="W92" s="3">
        <f t="shared" si="62"/>
        <v>87126.836259556934</v>
      </c>
      <c r="X92" s="3">
        <f t="shared" si="56"/>
        <v>7.1111111111111107</v>
      </c>
      <c r="Y92" s="3">
        <f t="shared" si="57"/>
        <v>7.1111111111111107</v>
      </c>
      <c r="Z92" s="3">
        <f t="shared" si="63"/>
        <v>7744.6076675161712</v>
      </c>
      <c r="AK92">
        <f t="shared" si="58"/>
        <v>80</v>
      </c>
      <c r="AL92" s="3">
        <f t="shared" si="64"/>
        <v>1125</v>
      </c>
      <c r="AM92" s="3">
        <f t="shared" si="64"/>
        <v>2250</v>
      </c>
      <c r="AN92" s="3">
        <f t="shared" si="64"/>
        <v>3375</v>
      </c>
      <c r="AO92" s="3">
        <f t="shared" si="64"/>
        <v>4500</v>
      </c>
      <c r="AP92" s="3">
        <f t="shared" si="64"/>
        <v>5625</v>
      </c>
      <c r="AQ92" s="3">
        <f t="shared" si="64"/>
        <v>6750</v>
      </c>
      <c r="AR92" s="3">
        <f t="shared" si="64"/>
        <v>7875</v>
      </c>
      <c r="AS92" s="3">
        <f t="shared" si="64"/>
        <v>9000</v>
      </c>
      <c r="AT92" s="3">
        <f t="shared" si="64"/>
        <v>10125</v>
      </c>
      <c r="AU92" s="3">
        <f t="shared" si="64"/>
        <v>11250</v>
      </c>
      <c r="AV92" s="3">
        <f t="shared" si="65"/>
        <v>12375</v>
      </c>
      <c r="AW92" s="3">
        <f t="shared" si="65"/>
        <v>13500</v>
      </c>
      <c r="AX92" s="3">
        <f t="shared" si="65"/>
        <v>14625</v>
      </c>
      <c r="AY92" s="3">
        <f t="shared" si="65"/>
        <v>15750</v>
      </c>
      <c r="AZ92" s="3">
        <f t="shared" si="65"/>
        <v>16875</v>
      </c>
      <c r="BA92" s="3">
        <f t="shared" si="65"/>
        <v>18000</v>
      </c>
      <c r="BB92" s="3">
        <f t="shared" si="65"/>
        <v>19125</v>
      </c>
      <c r="BC92" s="3">
        <f t="shared" si="65"/>
        <v>20250</v>
      </c>
      <c r="BD92" s="3">
        <f t="shared" si="65"/>
        <v>21375</v>
      </c>
      <c r="BE92" s="3">
        <f t="shared" si="65"/>
        <v>22500</v>
      </c>
    </row>
    <row r="93" spans="1:57" x14ac:dyDescent="0.45">
      <c r="A93">
        <f t="shared" si="37"/>
        <v>81</v>
      </c>
      <c r="B93" s="3">
        <f t="shared" si="45"/>
        <v>137.17421124828533</v>
      </c>
      <c r="C93" s="3">
        <f t="shared" si="38"/>
        <v>11111.111111111111</v>
      </c>
      <c r="D93" s="3">
        <f t="shared" si="46"/>
        <v>0.11281282983807239</v>
      </c>
      <c r="E93" s="3">
        <f t="shared" si="47"/>
        <v>7.2900000000000018</v>
      </c>
      <c r="F93" s="3"/>
      <c r="G93" s="3">
        <f t="shared" si="48"/>
        <v>8931862.0734211411</v>
      </c>
      <c r="H93" s="3">
        <f t="shared" si="49"/>
        <v>1111111.111111111</v>
      </c>
      <c r="I93" s="3">
        <f t="shared" si="59"/>
        <v>4602076.4797957577</v>
      </c>
      <c r="J93" s="3">
        <f t="shared" si="50"/>
        <v>0.42494707668959053</v>
      </c>
      <c r="K93" s="3">
        <f t="shared" si="60"/>
        <v>58.291780067159202</v>
      </c>
      <c r="L93" s="3">
        <f t="shared" si="66"/>
        <v>58.291780067159195</v>
      </c>
      <c r="O93" s="9">
        <f t="shared" si="51"/>
        <v>5.8291780070493515E-2</v>
      </c>
      <c r="P93" s="9">
        <f t="shared" si="61"/>
        <v>16.155077418989062</v>
      </c>
      <c r="Q93" s="3">
        <f t="shared" si="52"/>
        <v>2353.2342138530953</v>
      </c>
      <c r="R93" s="3">
        <f t="shared" si="53"/>
        <v>16262.373170717679</v>
      </c>
      <c r="S93" s="3">
        <f t="shared" si="54"/>
        <v>16262.373170717674</v>
      </c>
      <c r="T93" s="3"/>
      <c r="U93" s="3"/>
      <c r="V93" s="3">
        <f t="shared" si="55"/>
        <v>1102.6990214100174</v>
      </c>
      <c r="W93" s="3">
        <f t="shared" si="62"/>
        <v>89318.620734211407</v>
      </c>
      <c r="X93" s="3">
        <f t="shared" si="56"/>
        <v>7.29</v>
      </c>
      <c r="Y93" s="3">
        <f t="shared" si="57"/>
        <v>7.2900000000000018</v>
      </c>
      <c r="Z93" s="3">
        <f t="shared" si="63"/>
        <v>8038.6758660790292</v>
      </c>
      <c r="AK93">
        <f t="shared" si="58"/>
        <v>81</v>
      </c>
      <c r="AL93" s="3">
        <f t="shared" ref="AL93:AU102" si="67">AL$12/(IMPROVED_MBPS*IMPROVED_KM^2/(DIST_RINGS_EM/$AK93)^2)*$AK93</f>
        <v>1111.1111111111109</v>
      </c>
      <c r="AM93" s="3">
        <f t="shared" si="67"/>
        <v>2222.2222222222217</v>
      </c>
      <c r="AN93" s="3">
        <f t="shared" si="67"/>
        <v>3333.3333333333326</v>
      </c>
      <c r="AO93" s="3">
        <f t="shared" si="67"/>
        <v>4444.4444444444434</v>
      </c>
      <c r="AP93" s="3">
        <f t="shared" si="67"/>
        <v>5555.5555555555538</v>
      </c>
      <c r="AQ93" s="3">
        <f t="shared" si="67"/>
        <v>6666.6666666666652</v>
      </c>
      <c r="AR93" s="3">
        <f t="shared" si="67"/>
        <v>7777.7777777777756</v>
      </c>
      <c r="AS93" s="3">
        <f t="shared" si="67"/>
        <v>8888.8888888888869</v>
      </c>
      <c r="AT93" s="3">
        <f t="shared" si="67"/>
        <v>9999.9999999999964</v>
      </c>
      <c r="AU93" s="3">
        <f t="shared" si="67"/>
        <v>11111.111111111108</v>
      </c>
      <c r="AV93" s="3">
        <f t="shared" ref="AV93:BE102" si="68">AV$12/(IMPROVED_MBPS*IMPROVED_KM^2/(DIST_RINGS_EM/$AK93)^2)*$AK93</f>
        <v>12222.222222222219</v>
      </c>
      <c r="AW93" s="3">
        <f t="shared" si="68"/>
        <v>13333.33333333333</v>
      </c>
      <c r="AX93" s="3">
        <f t="shared" si="68"/>
        <v>14444.444444444442</v>
      </c>
      <c r="AY93" s="3">
        <f t="shared" si="68"/>
        <v>15555.555555555551</v>
      </c>
      <c r="AZ93" s="3">
        <f t="shared" si="68"/>
        <v>16666.666666666661</v>
      </c>
      <c r="BA93" s="3">
        <f t="shared" si="68"/>
        <v>17777.777777777774</v>
      </c>
      <c r="BB93" s="3">
        <f t="shared" si="68"/>
        <v>18888.888888888883</v>
      </c>
      <c r="BC93" s="3">
        <f t="shared" si="68"/>
        <v>19999.999999999993</v>
      </c>
      <c r="BD93" s="3">
        <f t="shared" si="68"/>
        <v>21111.111111111106</v>
      </c>
      <c r="BE93" s="3">
        <f t="shared" si="68"/>
        <v>22222.222222222215</v>
      </c>
    </row>
    <row r="94" spans="1:57" x14ac:dyDescent="0.45">
      <c r="A94">
        <f t="shared" si="37"/>
        <v>82</v>
      </c>
      <c r="B94" s="3">
        <f t="shared" si="45"/>
        <v>133.84889946460441</v>
      </c>
      <c r="C94" s="3">
        <f t="shared" si="38"/>
        <v>10975.609756097561</v>
      </c>
      <c r="D94" s="3">
        <f t="shared" si="46"/>
        <v>0.10740961486259755</v>
      </c>
      <c r="E94" s="3">
        <f t="shared" si="47"/>
        <v>7.4711111111111119</v>
      </c>
      <c r="F94" s="3"/>
      <c r="G94" s="3">
        <f t="shared" si="48"/>
        <v>9153763.2345196996</v>
      </c>
      <c r="H94" s="3">
        <f t="shared" si="49"/>
        <v>1097560.9756097561</v>
      </c>
      <c r="I94" s="3">
        <f t="shared" si="59"/>
        <v>4706642.6923649702</v>
      </c>
      <c r="J94" s="3">
        <f t="shared" si="50"/>
        <v>0.40627495397659436</v>
      </c>
      <c r="K94" s="3">
        <f t="shared" si="60"/>
        <v>54.379455469799964</v>
      </c>
      <c r="L94" s="3">
        <f t="shared" si="66"/>
        <v>54.379455469799971</v>
      </c>
      <c r="O94" s="9">
        <f t="shared" si="51"/>
        <v>5.4379455472910489E-2</v>
      </c>
      <c r="P94" s="9">
        <f t="shared" si="61"/>
        <v>17.389297783574847</v>
      </c>
      <c r="Q94" s="3">
        <f t="shared" si="52"/>
        <v>2461.3872702583826</v>
      </c>
      <c r="R94" s="3">
        <f t="shared" si="53"/>
        <v>17489.925079253615</v>
      </c>
      <c r="S94" s="3">
        <f t="shared" si="54"/>
        <v>17489.925079253611</v>
      </c>
      <c r="T94" s="3"/>
      <c r="U94" s="3"/>
      <c r="V94" s="3">
        <f t="shared" si="55"/>
        <v>1116.3125895755732</v>
      </c>
      <c r="W94" s="3">
        <f t="shared" si="62"/>
        <v>91537.632345196995</v>
      </c>
      <c r="X94" s="3">
        <f t="shared" si="56"/>
        <v>7.4711111111111101</v>
      </c>
      <c r="Y94" s="3">
        <f t="shared" si="57"/>
        <v>7.4711111111111119</v>
      </c>
      <c r="Z94" s="3">
        <f t="shared" si="63"/>
        <v>8340.0953914512829</v>
      </c>
      <c r="AK94">
        <f t="shared" si="58"/>
        <v>82</v>
      </c>
      <c r="AL94" s="3">
        <f t="shared" si="67"/>
        <v>1097.560975609756</v>
      </c>
      <c r="AM94" s="3">
        <f t="shared" si="67"/>
        <v>2195.1219512195121</v>
      </c>
      <c r="AN94" s="3">
        <f t="shared" si="67"/>
        <v>3292.6829268292677</v>
      </c>
      <c r="AO94" s="3">
        <f t="shared" si="67"/>
        <v>4390.2439024390242</v>
      </c>
      <c r="AP94" s="3">
        <f t="shared" si="67"/>
        <v>5487.8048780487798</v>
      </c>
      <c r="AQ94" s="3">
        <f t="shared" si="67"/>
        <v>6585.3658536585353</v>
      </c>
      <c r="AR94" s="3">
        <f t="shared" si="67"/>
        <v>7682.9268292682918</v>
      </c>
      <c r="AS94" s="3">
        <f t="shared" si="67"/>
        <v>8780.4878048780483</v>
      </c>
      <c r="AT94" s="3">
        <f t="shared" si="67"/>
        <v>9878.0487804878048</v>
      </c>
      <c r="AU94" s="3">
        <f t="shared" si="67"/>
        <v>10975.60975609756</v>
      </c>
      <c r="AV94" s="3">
        <f t="shared" si="68"/>
        <v>12073.170731707316</v>
      </c>
      <c r="AW94" s="3">
        <f t="shared" si="68"/>
        <v>13170.731707317071</v>
      </c>
      <c r="AX94" s="3">
        <f t="shared" si="68"/>
        <v>14268.292682926827</v>
      </c>
      <c r="AY94" s="3">
        <f t="shared" si="68"/>
        <v>15365.853658536584</v>
      </c>
      <c r="AZ94" s="3">
        <f t="shared" si="68"/>
        <v>16463.414634146342</v>
      </c>
      <c r="BA94" s="3">
        <f t="shared" si="68"/>
        <v>17560.975609756097</v>
      </c>
      <c r="BB94" s="3">
        <f t="shared" si="68"/>
        <v>18658.536585365851</v>
      </c>
      <c r="BC94" s="3">
        <f t="shared" si="68"/>
        <v>19756.09756097561</v>
      </c>
      <c r="BD94" s="3">
        <f t="shared" si="68"/>
        <v>20853.658536585364</v>
      </c>
      <c r="BE94" s="3">
        <f t="shared" si="68"/>
        <v>21951.219512195119</v>
      </c>
    </row>
    <row r="95" spans="1:57" x14ac:dyDescent="0.45">
      <c r="A95">
        <f t="shared" si="37"/>
        <v>83</v>
      </c>
      <c r="B95" s="3">
        <f t="shared" si="45"/>
        <v>130.64305414428799</v>
      </c>
      <c r="C95" s="3">
        <f t="shared" si="38"/>
        <v>10843.373493975903</v>
      </c>
      <c r="D95" s="3">
        <f t="shared" si="46"/>
        <v>0.10232604754938496</v>
      </c>
      <c r="E95" s="3">
        <f t="shared" si="47"/>
        <v>7.6544444444444437</v>
      </c>
      <c r="F95" s="3"/>
      <c r="G95" s="3">
        <f t="shared" si="48"/>
        <v>9378387.1092513707</v>
      </c>
      <c r="H95" s="3">
        <f t="shared" si="49"/>
        <v>1084337.3493975904</v>
      </c>
      <c r="I95" s="3">
        <f t="shared" si="59"/>
        <v>4812932.9602687862</v>
      </c>
      <c r="J95" s="3">
        <f t="shared" si="50"/>
        <v>0.38852850289578644</v>
      </c>
      <c r="K95" s="3">
        <f t="shared" si="60"/>
        <v>50.758550240413378</v>
      </c>
      <c r="L95" s="3">
        <f t="shared" si="66"/>
        <v>50.758550240413356</v>
      </c>
      <c r="O95" s="9">
        <f t="shared" si="51"/>
        <v>5.075855024331679E-2</v>
      </c>
      <c r="P95" s="9">
        <f t="shared" si="61"/>
        <v>18.701114299096176</v>
      </c>
      <c r="Q95" s="3">
        <f t="shared" si="52"/>
        <v>2573.8137420796279</v>
      </c>
      <c r="R95" s="3">
        <f t="shared" si="53"/>
        <v>18795.506931958676</v>
      </c>
      <c r="S95" s="3">
        <f t="shared" si="54"/>
        <v>18795.50693195868</v>
      </c>
      <c r="T95" s="3"/>
      <c r="U95" s="3"/>
      <c r="V95" s="3">
        <f t="shared" si="55"/>
        <v>1129.9261577411291</v>
      </c>
      <c r="W95" s="3">
        <f t="shared" si="62"/>
        <v>93783.871092513713</v>
      </c>
      <c r="X95" s="3">
        <f t="shared" si="56"/>
        <v>7.6544444444444464</v>
      </c>
      <c r="Y95" s="3">
        <f t="shared" si="57"/>
        <v>7.6544444444444437</v>
      </c>
      <c r="Z95" s="3">
        <f t="shared" si="63"/>
        <v>8648.9570007540424</v>
      </c>
      <c r="AK95">
        <f t="shared" si="58"/>
        <v>83</v>
      </c>
      <c r="AL95" s="3">
        <f t="shared" si="67"/>
        <v>1084.3373493975905</v>
      </c>
      <c r="AM95" s="3">
        <f t="shared" si="67"/>
        <v>2168.674698795181</v>
      </c>
      <c r="AN95" s="3">
        <f t="shared" si="67"/>
        <v>3253.0120481927715</v>
      </c>
      <c r="AO95" s="3">
        <f t="shared" si="67"/>
        <v>4337.3493975903621</v>
      </c>
      <c r="AP95" s="3">
        <f t="shared" si="67"/>
        <v>5421.6867469879526</v>
      </c>
      <c r="AQ95" s="3">
        <f t="shared" si="67"/>
        <v>6506.0240963855431</v>
      </c>
      <c r="AR95" s="3">
        <f t="shared" si="67"/>
        <v>7590.3614457831336</v>
      </c>
      <c r="AS95" s="3">
        <f t="shared" si="67"/>
        <v>8674.6987951807241</v>
      </c>
      <c r="AT95" s="3">
        <f t="shared" si="67"/>
        <v>9759.0361445783146</v>
      </c>
      <c r="AU95" s="3">
        <f t="shared" si="67"/>
        <v>10843.373493975905</v>
      </c>
      <c r="AV95" s="3">
        <f t="shared" si="68"/>
        <v>11927.710843373494</v>
      </c>
      <c r="AW95" s="3">
        <f t="shared" si="68"/>
        <v>13012.048192771086</v>
      </c>
      <c r="AX95" s="3">
        <f t="shared" si="68"/>
        <v>14096.385542168675</v>
      </c>
      <c r="AY95" s="3">
        <f t="shared" si="68"/>
        <v>15180.722891566267</v>
      </c>
      <c r="AZ95" s="3">
        <f t="shared" si="68"/>
        <v>16265.060240963856</v>
      </c>
      <c r="BA95" s="3">
        <f t="shared" si="68"/>
        <v>17349.397590361448</v>
      </c>
      <c r="BB95" s="3">
        <f t="shared" si="68"/>
        <v>18433.734939759037</v>
      </c>
      <c r="BC95" s="3">
        <f t="shared" si="68"/>
        <v>19518.072289156629</v>
      </c>
      <c r="BD95" s="3">
        <f t="shared" si="68"/>
        <v>20602.409638554218</v>
      </c>
      <c r="BE95" s="3">
        <f t="shared" si="68"/>
        <v>21686.74698795181</v>
      </c>
    </row>
    <row r="96" spans="1:57" x14ac:dyDescent="0.45">
      <c r="A96">
        <f t="shared" si="37"/>
        <v>84</v>
      </c>
      <c r="B96" s="3">
        <f t="shared" si="45"/>
        <v>127.55102040816327</v>
      </c>
      <c r="C96" s="3">
        <f t="shared" si="38"/>
        <v>10714.285714285714</v>
      </c>
      <c r="D96" s="3">
        <f t="shared" si="46"/>
        <v>9.7539702047934163E-2</v>
      </c>
      <c r="E96" s="3">
        <f t="shared" si="47"/>
        <v>7.8400000000000007</v>
      </c>
      <c r="F96" s="3"/>
      <c r="G96" s="3">
        <f t="shared" si="48"/>
        <v>9605733.6976161525</v>
      </c>
      <c r="H96" s="3">
        <f t="shared" si="49"/>
        <v>1071428.5714285714</v>
      </c>
      <c r="I96" s="3">
        <f t="shared" si="59"/>
        <v>4920923.6075205524</v>
      </c>
      <c r="J96" s="3">
        <f t="shared" si="50"/>
        <v>0.37166294448396914</v>
      </c>
      <c r="K96" s="3">
        <f t="shared" si="60"/>
        <v>47.405987816832798</v>
      </c>
      <c r="L96" s="3">
        <f t="shared" si="66"/>
        <v>47.405987816832813</v>
      </c>
      <c r="O96" s="9">
        <f t="shared" si="51"/>
        <v>4.7405987819544443E-2</v>
      </c>
      <c r="P96" s="9">
        <f t="shared" si="61"/>
        <v>20.0943816592663</v>
      </c>
      <c r="Q96" s="3">
        <f t="shared" si="52"/>
        <v>2690.609905518661</v>
      </c>
      <c r="R96" s="3">
        <f t="shared" si="53"/>
        <v>20182.946823038623</v>
      </c>
      <c r="S96" s="3">
        <f t="shared" si="54"/>
        <v>20182.946823038623</v>
      </c>
      <c r="T96" s="3"/>
      <c r="U96" s="3"/>
      <c r="V96" s="3">
        <f t="shared" si="55"/>
        <v>1143.5397259066847</v>
      </c>
      <c r="W96" s="3">
        <f t="shared" si="62"/>
        <v>96057.336976161518</v>
      </c>
      <c r="X96" s="3">
        <f t="shared" si="56"/>
        <v>7.84</v>
      </c>
      <c r="Y96" s="3">
        <f t="shared" si="57"/>
        <v>7.8400000000000007</v>
      </c>
      <c r="Z96" s="3">
        <f t="shared" si="63"/>
        <v>8965.3514511084086</v>
      </c>
      <c r="AK96">
        <f t="shared" si="58"/>
        <v>84</v>
      </c>
      <c r="AL96" s="3">
        <f t="shared" si="67"/>
        <v>1071.4285714285713</v>
      </c>
      <c r="AM96" s="3">
        <f t="shared" si="67"/>
        <v>2142.8571428571427</v>
      </c>
      <c r="AN96" s="3">
        <f t="shared" si="67"/>
        <v>3214.2857142857138</v>
      </c>
      <c r="AO96" s="3">
        <f t="shared" si="67"/>
        <v>4285.7142857142853</v>
      </c>
      <c r="AP96" s="3">
        <f t="shared" si="67"/>
        <v>5357.1428571428569</v>
      </c>
      <c r="AQ96" s="3">
        <f t="shared" si="67"/>
        <v>6428.5714285714275</v>
      </c>
      <c r="AR96" s="3">
        <f t="shared" si="67"/>
        <v>7499.9999999999991</v>
      </c>
      <c r="AS96" s="3">
        <f t="shared" si="67"/>
        <v>8571.4285714285706</v>
      </c>
      <c r="AT96" s="3">
        <f t="shared" si="67"/>
        <v>9642.8571428571413</v>
      </c>
      <c r="AU96" s="3">
        <f t="shared" si="67"/>
        <v>10714.285714285714</v>
      </c>
      <c r="AV96" s="3">
        <f t="shared" si="68"/>
        <v>11785.714285714284</v>
      </c>
      <c r="AW96" s="3">
        <f t="shared" si="68"/>
        <v>12857.142857142855</v>
      </c>
      <c r="AX96" s="3">
        <f t="shared" si="68"/>
        <v>13928.571428571428</v>
      </c>
      <c r="AY96" s="3">
        <f t="shared" si="68"/>
        <v>14999.999999999998</v>
      </c>
      <c r="AZ96" s="3">
        <f t="shared" si="68"/>
        <v>16071.428571428571</v>
      </c>
      <c r="BA96" s="3">
        <f t="shared" si="68"/>
        <v>17142.857142857141</v>
      </c>
      <c r="BB96" s="3">
        <f t="shared" si="68"/>
        <v>18214.285714285714</v>
      </c>
      <c r="BC96" s="3">
        <f t="shared" si="68"/>
        <v>19285.714285714283</v>
      </c>
      <c r="BD96" s="3">
        <f t="shared" si="68"/>
        <v>20357.142857142855</v>
      </c>
      <c r="BE96" s="3">
        <f t="shared" si="68"/>
        <v>21428.571428571428</v>
      </c>
    </row>
    <row r="97" spans="1:57" x14ac:dyDescent="0.45">
      <c r="A97">
        <f t="shared" si="37"/>
        <v>85</v>
      </c>
      <c r="B97" s="3">
        <f t="shared" si="45"/>
        <v>124.5674740484429</v>
      </c>
      <c r="C97" s="3">
        <f t="shared" si="38"/>
        <v>10588.235294117647</v>
      </c>
      <c r="D97" s="3">
        <f t="shared" si="46"/>
        <v>9.3029966810933312E-2</v>
      </c>
      <c r="E97" s="3">
        <f t="shared" si="47"/>
        <v>8.0277777777777768</v>
      </c>
      <c r="F97" s="3"/>
      <c r="G97" s="3">
        <f t="shared" si="48"/>
        <v>9835802.999614045</v>
      </c>
      <c r="H97" s="3">
        <f t="shared" si="49"/>
        <v>1058823.5294117648</v>
      </c>
      <c r="I97" s="3">
        <f t="shared" si="59"/>
        <v>5030592.6517896624</v>
      </c>
      <c r="J97" s="3">
        <f t="shared" si="50"/>
        <v>0.35563476213301026</v>
      </c>
      <c r="K97" s="3">
        <f t="shared" si="60"/>
        <v>44.300524002727919</v>
      </c>
      <c r="L97" s="3">
        <f t="shared" si="66"/>
        <v>44.300524002727926</v>
      </c>
      <c r="O97" s="9">
        <f t="shared" si="51"/>
        <v>4.4300524005261924E-2</v>
      </c>
      <c r="P97" s="9">
        <f t="shared" si="61"/>
        <v>21.573096423898328</v>
      </c>
      <c r="Q97" s="3">
        <f t="shared" si="52"/>
        <v>2811.8736029769543</v>
      </c>
      <c r="R97" s="3">
        <f t="shared" si="53"/>
        <v>21656.215827163873</v>
      </c>
      <c r="S97" s="3">
        <f t="shared" si="54"/>
        <v>21656.215827163873</v>
      </c>
      <c r="T97" s="3"/>
      <c r="U97" s="3"/>
      <c r="V97" s="3">
        <f t="shared" si="55"/>
        <v>1157.1532940722404</v>
      </c>
      <c r="W97" s="3">
        <f t="shared" si="62"/>
        <v>98358.029996140438</v>
      </c>
      <c r="X97" s="3">
        <f t="shared" si="56"/>
        <v>8.0277777777777768</v>
      </c>
      <c r="Y97" s="3">
        <f t="shared" si="57"/>
        <v>8.0277777777777768</v>
      </c>
      <c r="Z97" s="3">
        <f t="shared" si="63"/>
        <v>9289.3694996354843</v>
      </c>
      <c r="AK97">
        <f t="shared" si="58"/>
        <v>85</v>
      </c>
      <c r="AL97" s="3">
        <f t="shared" si="67"/>
        <v>1058.8235294117649</v>
      </c>
      <c r="AM97" s="3">
        <f t="shared" si="67"/>
        <v>2117.6470588235297</v>
      </c>
      <c r="AN97" s="3">
        <f t="shared" si="67"/>
        <v>3176.4705882352946</v>
      </c>
      <c r="AO97" s="3">
        <f t="shared" si="67"/>
        <v>4235.2941176470595</v>
      </c>
      <c r="AP97" s="3">
        <f t="shared" si="67"/>
        <v>5294.1176470588243</v>
      </c>
      <c r="AQ97" s="3">
        <f t="shared" si="67"/>
        <v>6352.9411764705892</v>
      </c>
      <c r="AR97" s="3">
        <f t="shared" si="67"/>
        <v>7411.7647058823532</v>
      </c>
      <c r="AS97" s="3">
        <f t="shared" si="67"/>
        <v>8470.5882352941189</v>
      </c>
      <c r="AT97" s="3">
        <f t="shared" si="67"/>
        <v>9529.4117647058829</v>
      </c>
      <c r="AU97" s="3">
        <f t="shared" si="67"/>
        <v>10588.235294117649</v>
      </c>
      <c r="AV97" s="3">
        <f t="shared" si="68"/>
        <v>11647.058823529414</v>
      </c>
      <c r="AW97" s="3">
        <f t="shared" si="68"/>
        <v>12705.882352941178</v>
      </c>
      <c r="AX97" s="3">
        <f t="shared" si="68"/>
        <v>13764.705882352944</v>
      </c>
      <c r="AY97" s="3">
        <f t="shared" si="68"/>
        <v>14823.529411764706</v>
      </c>
      <c r="AZ97" s="3">
        <f t="shared" si="68"/>
        <v>15882.352941176472</v>
      </c>
      <c r="BA97" s="3">
        <f t="shared" si="68"/>
        <v>16941.176470588238</v>
      </c>
      <c r="BB97" s="3">
        <f t="shared" si="68"/>
        <v>18000</v>
      </c>
      <c r="BC97" s="3">
        <f t="shared" si="68"/>
        <v>19058.823529411766</v>
      </c>
      <c r="BD97" s="3">
        <f t="shared" si="68"/>
        <v>20117.647058823532</v>
      </c>
      <c r="BE97" s="3">
        <f t="shared" si="68"/>
        <v>21176.470588235297</v>
      </c>
    </row>
    <row r="98" spans="1:57" x14ac:dyDescent="0.45">
      <c r="A98">
        <f t="shared" si="37"/>
        <v>86</v>
      </c>
      <c r="B98" s="3">
        <f t="shared" si="45"/>
        <v>121.6873985938345</v>
      </c>
      <c r="C98" s="3">
        <f t="shared" si="38"/>
        <v>10465.116279069767</v>
      </c>
      <c r="D98" s="3">
        <f t="shared" si="46"/>
        <v>8.8777878766195667E-2</v>
      </c>
      <c r="E98" s="3">
        <f t="shared" si="47"/>
        <v>8.2177777777777781</v>
      </c>
      <c r="F98" s="3"/>
      <c r="G98" s="3">
        <f t="shared" si="48"/>
        <v>10068595.015245048</v>
      </c>
      <c r="H98" s="3">
        <f t="shared" si="49"/>
        <v>1046511.6279069767</v>
      </c>
      <c r="I98" s="3">
        <f t="shared" si="59"/>
        <v>5141919.6787385615</v>
      </c>
      <c r="J98" s="3">
        <f t="shared" si="50"/>
        <v>0.3404018665642603</v>
      </c>
      <c r="K98" s="3">
        <f t="shared" si="60"/>
        <v>41.42261761869041</v>
      </c>
      <c r="L98" s="3">
        <f t="shared" si="66"/>
        <v>41.42261761869041</v>
      </c>
      <c r="O98" s="9">
        <f t="shared" si="51"/>
        <v>4.1422617621059803E-2</v>
      </c>
      <c r="P98" s="9">
        <f t="shared" si="61"/>
        <v>23.141400457792095</v>
      </c>
      <c r="Q98" s="3">
        <f t="shared" si="52"/>
        <v>2937.7042201207255</v>
      </c>
      <c r="R98" s="3">
        <f t="shared" si="53"/>
        <v>23219.431498039321</v>
      </c>
      <c r="S98" s="3">
        <f t="shared" si="54"/>
        <v>23219.431498039321</v>
      </c>
      <c r="T98" s="3"/>
      <c r="U98" s="3"/>
      <c r="V98" s="3">
        <f t="shared" si="55"/>
        <v>1170.7668622377964</v>
      </c>
      <c r="W98" s="3">
        <f t="shared" si="62"/>
        <v>100685.95015245049</v>
      </c>
      <c r="X98" s="3">
        <f t="shared" si="56"/>
        <v>8.2177777777777798</v>
      </c>
      <c r="Y98" s="3">
        <f t="shared" si="57"/>
        <v>8.2177777777777781</v>
      </c>
      <c r="Z98" s="3">
        <f t="shared" si="63"/>
        <v>9621.1019034563815</v>
      </c>
      <c r="AK98">
        <f t="shared" si="58"/>
        <v>86</v>
      </c>
      <c r="AL98" s="3">
        <f t="shared" si="67"/>
        <v>1046.5116279069766</v>
      </c>
      <c r="AM98" s="3">
        <f t="shared" si="67"/>
        <v>2093.0232558139533</v>
      </c>
      <c r="AN98" s="3">
        <f t="shared" si="67"/>
        <v>3139.5348837209303</v>
      </c>
      <c r="AO98" s="3">
        <f t="shared" si="67"/>
        <v>4186.0465116279065</v>
      </c>
      <c r="AP98" s="3">
        <f t="shared" si="67"/>
        <v>5232.5581395348836</v>
      </c>
      <c r="AQ98" s="3">
        <f t="shared" si="67"/>
        <v>6279.0697674418607</v>
      </c>
      <c r="AR98" s="3">
        <f t="shared" si="67"/>
        <v>7325.5813953488368</v>
      </c>
      <c r="AS98" s="3">
        <f t="shared" si="67"/>
        <v>8372.093023255813</v>
      </c>
      <c r="AT98" s="3">
        <f t="shared" si="67"/>
        <v>9418.6046511627901</v>
      </c>
      <c r="AU98" s="3">
        <f t="shared" si="67"/>
        <v>10465.116279069767</v>
      </c>
      <c r="AV98" s="3">
        <f t="shared" si="68"/>
        <v>11511.627906976742</v>
      </c>
      <c r="AW98" s="3">
        <f t="shared" si="68"/>
        <v>12558.139534883721</v>
      </c>
      <c r="AX98" s="3">
        <f t="shared" si="68"/>
        <v>13604.651162790697</v>
      </c>
      <c r="AY98" s="3">
        <f t="shared" si="68"/>
        <v>14651.162790697674</v>
      </c>
      <c r="AZ98" s="3">
        <f t="shared" si="68"/>
        <v>15697.674418604649</v>
      </c>
      <c r="BA98" s="3">
        <f t="shared" si="68"/>
        <v>16744.186046511626</v>
      </c>
      <c r="BB98" s="3">
        <f t="shared" si="68"/>
        <v>17790.697674418603</v>
      </c>
      <c r="BC98" s="3">
        <f t="shared" si="68"/>
        <v>18837.20930232558</v>
      </c>
      <c r="BD98" s="3">
        <f t="shared" si="68"/>
        <v>19883.720930232557</v>
      </c>
      <c r="BE98" s="3">
        <f t="shared" si="68"/>
        <v>20930.232558139534</v>
      </c>
    </row>
    <row r="99" spans="1:57" x14ac:dyDescent="0.45">
      <c r="A99">
        <f t="shared" si="37"/>
        <v>87</v>
      </c>
      <c r="B99" s="3">
        <f t="shared" si="45"/>
        <v>118.90606420927467</v>
      </c>
      <c r="C99" s="3">
        <f t="shared" si="38"/>
        <v>10344.827586206897</v>
      </c>
      <c r="D99" s="3">
        <f t="shared" si="46"/>
        <v>8.4765974346794296E-2</v>
      </c>
      <c r="E99" s="3">
        <f t="shared" si="47"/>
        <v>8.41</v>
      </c>
      <c r="F99" s="3"/>
      <c r="G99" s="3">
        <f t="shared" si="48"/>
        <v>10304109.744509162</v>
      </c>
      <c r="H99" s="3">
        <f t="shared" si="49"/>
        <v>1034482.7586206896</v>
      </c>
      <c r="I99" s="3">
        <f t="shared" si="59"/>
        <v>5254885.7251709709</v>
      </c>
      <c r="J99" s="3">
        <f t="shared" si="50"/>
        <v>0.32592371143588755</v>
      </c>
      <c r="K99" s="3">
        <f t="shared" si="60"/>
        <v>38.754305759320758</v>
      </c>
      <c r="L99" s="3">
        <f t="shared" si="66"/>
        <v>38.754305759320765</v>
      </c>
      <c r="O99" s="9">
        <f t="shared" si="51"/>
        <v>3.8754305761537516E-2</v>
      </c>
      <c r="P99" s="9">
        <f t="shared" si="61"/>
        <v>24.80358441080552</v>
      </c>
      <c r="Q99" s="3">
        <f t="shared" si="52"/>
        <v>3068.2026647806802</v>
      </c>
      <c r="R99" s="3">
        <f t="shared" si="53"/>
        <v>24876.861382305739</v>
      </c>
      <c r="S99" s="3">
        <f t="shared" si="54"/>
        <v>24876.861382305739</v>
      </c>
      <c r="T99" s="3"/>
      <c r="U99" s="3"/>
      <c r="V99" s="3">
        <f t="shared" si="55"/>
        <v>1184.380430403352</v>
      </c>
      <c r="W99" s="3">
        <f t="shared" si="62"/>
        <v>103041.09744509163</v>
      </c>
      <c r="X99" s="3">
        <f t="shared" si="56"/>
        <v>8.4099999999999984</v>
      </c>
      <c r="Y99" s="3">
        <f t="shared" si="57"/>
        <v>8.41</v>
      </c>
      <c r="Z99" s="3">
        <f t="shared" si="63"/>
        <v>9960.6394196921901</v>
      </c>
      <c r="AK99">
        <f t="shared" si="58"/>
        <v>87</v>
      </c>
      <c r="AL99" s="3">
        <f t="shared" si="67"/>
        <v>1034.4827586206895</v>
      </c>
      <c r="AM99" s="3">
        <f t="shared" si="67"/>
        <v>2068.9655172413791</v>
      </c>
      <c r="AN99" s="3">
        <f t="shared" si="67"/>
        <v>3103.4482758620688</v>
      </c>
      <c r="AO99" s="3">
        <f t="shared" si="67"/>
        <v>4137.9310344827582</v>
      </c>
      <c r="AP99" s="3">
        <f t="shared" si="67"/>
        <v>5172.4137931034484</v>
      </c>
      <c r="AQ99" s="3">
        <f t="shared" si="67"/>
        <v>6206.8965517241377</v>
      </c>
      <c r="AR99" s="3">
        <f t="shared" si="67"/>
        <v>7241.379310344827</v>
      </c>
      <c r="AS99" s="3">
        <f t="shared" si="67"/>
        <v>8275.8620689655163</v>
      </c>
      <c r="AT99" s="3">
        <f t="shared" si="67"/>
        <v>9310.3448275862065</v>
      </c>
      <c r="AU99" s="3">
        <f t="shared" si="67"/>
        <v>10344.827586206897</v>
      </c>
      <c r="AV99" s="3">
        <f t="shared" si="68"/>
        <v>11379.310344827585</v>
      </c>
      <c r="AW99" s="3">
        <f t="shared" si="68"/>
        <v>12413.793103448275</v>
      </c>
      <c r="AX99" s="3">
        <f t="shared" si="68"/>
        <v>13448.275862068966</v>
      </c>
      <c r="AY99" s="3">
        <f t="shared" si="68"/>
        <v>14482.758620689654</v>
      </c>
      <c r="AZ99" s="3">
        <f t="shared" si="68"/>
        <v>15517.241379310344</v>
      </c>
      <c r="BA99" s="3">
        <f t="shared" si="68"/>
        <v>16551.724137931033</v>
      </c>
      <c r="BB99" s="3">
        <f t="shared" si="68"/>
        <v>17586.206896551725</v>
      </c>
      <c r="BC99" s="3">
        <f t="shared" si="68"/>
        <v>18620.689655172413</v>
      </c>
      <c r="BD99" s="3">
        <f t="shared" si="68"/>
        <v>19655.172413793105</v>
      </c>
      <c r="BE99" s="3">
        <f t="shared" si="68"/>
        <v>20689.655172413793</v>
      </c>
    </row>
    <row r="100" spans="1:57" x14ac:dyDescent="0.45">
      <c r="A100">
        <f t="shared" si="37"/>
        <v>88</v>
      </c>
      <c r="B100" s="3">
        <f t="shared" si="45"/>
        <v>116.21900826446281</v>
      </c>
      <c r="C100" s="3">
        <f t="shared" si="38"/>
        <v>10227.272727272728</v>
      </c>
      <c r="D100" s="3">
        <f t="shared" si="46"/>
        <v>8.0978155496483697E-2</v>
      </c>
      <c r="E100" s="3">
        <f t="shared" si="47"/>
        <v>8.6044444444444448</v>
      </c>
      <c r="F100" s="3"/>
      <c r="G100" s="3">
        <f t="shared" si="48"/>
        <v>10542347.187406389</v>
      </c>
      <c r="H100" s="3">
        <f t="shared" si="49"/>
        <v>1022727.2727272727</v>
      </c>
      <c r="I100" s="3">
        <f t="shared" si="59"/>
        <v>5369473.17055724</v>
      </c>
      <c r="J100" s="3">
        <f t="shared" si="50"/>
        <v>0.31216136854690185</v>
      </c>
      <c r="K100" s="3">
        <f t="shared" si="60"/>
        <v>36.279084670998408</v>
      </c>
      <c r="L100" s="3">
        <f t="shared" si="66"/>
        <v>36.279084670998422</v>
      </c>
      <c r="O100" s="9">
        <f t="shared" si="51"/>
        <v>3.6279084673073586E-2</v>
      </c>
      <c r="P100" s="9">
        <f t="shared" si="61"/>
        <v>26.56409123911007</v>
      </c>
      <c r="Q100" s="3">
        <f t="shared" si="52"/>
        <v>3203.4713475205403</v>
      </c>
      <c r="R100" s="3">
        <f t="shared" si="53"/>
        <v>26632.92655333511</v>
      </c>
      <c r="S100" s="3">
        <f t="shared" si="54"/>
        <v>26632.92655333511</v>
      </c>
      <c r="T100" s="3"/>
      <c r="U100" s="3"/>
      <c r="V100" s="3">
        <f t="shared" si="55"/>
        <v>1197.993998568908</v>
      </c>
      <c r="W100" s="3">
        <f t="shared" si="62"/>
        <v>105423.47187406389</v>
      </c>
      <c r="X100" s="3">
        <f t="shared" si="56"/>
        <v>8.6044444444444466</v>
      </c>
      <c r="Y100" s="3">
        <f t="shared" si="57"/>
        <v>8.6044444444444448</v>
      </c>
      <c r="Z100" s="3">
        <f t="shared" si="63"/>
        <v>10308.072805464026</v>
      </c>
      <c r="AK100">
        <f t="shared" si="58"/>
        <v>88</v>
      </c>
      <c r="AL100" s="3">
        <f t="shared" si="67"/>
        <v>1022.7272727272726</v>
      </c>
      <c r="AM100" s="3">
        <f t="shared" si="67"/>
        <v>2045.4545454545453</v>
      </c>
      <c r="AN100" s="3">
        <f t="shared" si="67"/>
        <v>3068.181818181818</v>
      </c>
      <c r="AO100" s="3">
        <f t="shared" si="67"/>
        <v>4090.9090909090905</v>
      </c>
      <c r="AP100" s="3">
        <f t="shared" si="67"/>
        <v>5113.6363636363631</v>
      </c>
      <c r="AQ100" s="3">
        <f t="shared" si="67"/>
        <v>6136.363636363636</v>
      </c>
      <c r="AR100" s="3">
        <f t="shared" si="67"/>
        <v>7159.090909090909</v>
      </c>
      <c r="AS100" s="3">
        <f t="shared" si="67"/>
        <v>8181.8181818181811</v>
      </c>
      <c r="AT100" s="3">
        <f t="shared" si="67"/>
        <v>9204.545454545454</v>
      </c>
      <c r="AU100" s="3">
        <f t="shared" si="67"/>
        <v>10227.272727272726</v>
      </c>
      <c r="AV100" s="3">
        <f t="shared" si="68"/>
        <v>11249.999999999998</v>
      </c>
      <c r="AW100" s="3">
        <f t="shared" si="68"/>
        <v>12272.727272727272</v>
      </c>
      <c r="AX100" s="3">
        <f t="shared" si="68"/>
        <v>13295.454545454546</v>
      </c>
      <c r="AY100" s="3">
        <f t="shared" si="68"/>
        <v>14318.181818181818</v>
      </c>
      <c r="AZ100" s="3">
        <f t="shared" si="68"/>
        <v>15340.90909090909</v>
      </c>
      <c r="BA100" s="3">
        <f t="shared" si="68"/>
        <v>16363.636363636362</v>
      </c>
      <c r="BB100" s="3">
        <f t="shared" si="68"/>
        <v>17386.363636363636</v>
      </c>
      <c r="BC100" s="3">
        <f t="shared" si="68"/>
        <v>18409.090909090908</v>
      </c>
      <c r="BD100" s="3">
        <f t="shared" si="68"/>
        <v>19431.81818181818</v>
      </c>
      <c r="BE100" s="3">
        <f t="shared" si="68"/>
        <v>20454.545454545452</v>
      </c>
    </row>
    <row r="101" spans="1:57" x14ac:dyDescent="0.45">
      <c r="A101">
        <f t="shared" si="37"/>
        <v>89</v>
      </c>
      <c r="B101" s="3">
        <f t="shared" si="45"/>
        <v>113.62201742204267</v>
      </c>
      <c r="C101" s="3">
        <f t="shared" si="38"/>
        <v>10112.359550561798</v>
      </c>
      <c r="D101" s="3">
        <f t="shared" si="46"/>
        <v>7.7399568996268028E-2</v>
      </c>
      <c r="E101" s="3">
        <f t="shared" si="47"/>
        <v>8.801111111111112</v>
      </c>
      <c r="F101" s="3"/>
      <c r="G101" s="3">
        <f t="shared" si="48"/>
        <v>10783307.343936726</v>
      </c>
      <c r="H101" s="3">
        <f t="shared" si="49"/>
        <v>1011235.9550561798</v>
      </c>
      <c r="I101" s="3">
        <f t="shared" si="59"/>
        <v>5485665.6364791607</v>
      </c>
      <c r="J101" s="3">
        <f t="shared" si="50"/>
        <v>0.29907757025071002</v>
      </c>
      <c r="K101" s="3">
        <f t="shared" si="60"/>
        <v>33.981796897568366</v>
      </c>
      <c r="L101" s="3">
        <f t="shared" si="66"/>
        <v>33.981796897568358</v>
      </c>
      <c r="O101" s="9">
        <f t="shared" si="51"/>
        <v>3.398179689951214E-2</v>
      </c>
      <c r="P101" s="9">
        <f t="shared" si="61"/>
        <v>28.42751976763055</v>
      </c>
      <c r="Q101" s="3">
        <f t="shared" si="52"/>
        <v>3343.6141637252235</v>
      </c>
      <c r="R101" s="3">
        <f t="shared" si="53"/>
        <v>28492.205168960401</v>
      </c>
      <c r="S101" s="3">
        <f t="shared" si="54"/>
        <v>28492.205168960394</v>
      </c>
      <c r="T101" s="3"/>
      <c r="U101" s="3"/>
      <c r="V101" s="3">
        <f t="shared" si="55"/>
        <v>1211.6075667344637</v>
      </c>
      <c r="W101" s="3">
        <f t="shared" si="62"/>
        <v>107833.07343936728</v>
      </c>
      <c r="X101" s="3">
        <f t="shared" si="56"/>
        <v>8.8011111111111138</v>
      </c>
      <c r="Y101" s="3">
        <f t="shared" si="57"/>
        <v>8.801111111111112</v>
      </c>
      <c r="Z101" s="3">
        <f t="shared" si="63"/>
        <v>10663.492817892986</v>
      </c>
      <c r="AK101">
        <f t="shared" si="58"/>
        <v>89</v>
      </c>
      <c r="AL101" s="3">
        <f t="shared" si="67"/>
        <v>1011.2359550561797</v>
      </c>
      <c r="AM101" s="3">
        <f t="shared" si="67"/>
        <v>2022.4719101123594</v>
      </c>
      <c r="AN101" s="3">
        <f t="shared" si="67"/>
        <v>3033.7078651685388</v>
      </c>
      <c r="AO101" s="3">
        <f t="shared" si="67"/>
        <v>4044.9438202247188</v>
      </c>
      <c r="AP101" s="3">
        <f t="shared" si="67"/>
        <v>5056.179775280898</v>
      </c>
      <c r="AQ101" s="3">
        <f t="shared" si="67"/>
        <v>6067.4157303370775</v>
      </c>
      <c r="AR101" s="3">
        <f t="shared" si="67"/>
        <v>7078.6516853932571</v>
      </c>
      <c r="AS101" s="3">
        <f t="shared" si="67"/>
        <v>8089.8876404494376</v>
      </c>
      <c r="AT101" s="3">
        <f t="shared" si="67"/>
        <v>9101.1235955056181</v>
      </c>
      <c r="AU101" s="3">
        <f t="shared" si="67"/>
        <v>10112.359550561796</v>
      </c>
      <c r="AV101" s="3">
        <f t="shared" si="68"/>
        <v>11123.595505617976</v>
      </c>
      <c r="AW101" s="3">
        <f t="shared" si="68"/>
        <v>12134.831460674155</v>
      </c>
      <c r="AX101" s="3">
        <f t="shared" si="68"/>
        <v>13146.067415730335</v>
      </c>
      <c r="AY101" s="3">
        <f t="shared" si="68"/>
        <v>14157.303370786514</v>
      </c>
      <c r="AZ101" s="3">
        <f t="shared" si="68"/>
        <v>15168.539325842694</v>
      </c>
      <c r="BA101" s="3">
        <f t="shared" si="68"/>
        <v>16179.775280898875</v>
      </c>
      <c r="BB101" s="3">
        <f t="shared" si="68"/>
        <v>17191.011235955055</v>
      </c>
      <c r="BC101" s="3">
        <f t="shared" si="68"/>
        <v>18202.247191011236</v>
      </c>
      <c r="BD101" s="3">
        <f t="shared" si="68"/>
        <v>19213.483146067414</v>
      </c>
      <c r="BE101" s="3">
        <f t="shared" si="68"/>
        <v>20224.719101123592</v>
      </c>
    </row>
    <row r="102" spans="1:57" x14ac:dyDescent="0.45">
      <c r="A102">
        <f t="shared" si="37"/>
        <v>90</v>
      </c>
      <c r="B102" s="3">
        <f t="shared" si="45"/>
        <v>111.11111111111111</v>
      </c>
      <c r="C102" s="3">
        <f t="shared" si="38"/>
        <v>10000</v>
      </c>
      <c r="D102" s="3">
        <f t="shared" si="46"/>
        <v>7.4016497656759286E-2</v>
      </c>
      <c r="E102" s="3">
        <f t="shared" si="47"/>
        <v>9</v>
      </c>
      <c r="F102" s="3"/>
      <c r="G102" s="3">
        <f t="shared" si="48"/>
        <v>11026990.214100175</v>
      </c>
      <c r="H102" s="3">
        <f t="shared" si="49"/>
        <v>1000000</v>
      </c>
      <c r="I102" s="3">
        <f t="shared" si="59"/>
        <v>5603447.8935263827</v>
      </c>
      <c r="J102" s="3">
        <f t="shared" si="50"/>
        <v>0.28663672550624841</v>
      </c>
      <c r="K102" s="3">
        <f t="shared" si="60"/>
        <v>31.848525056249823</v>
      </c>
      <c r="L102" s="3">
        <f t="shared" si="66"/>
        <v>31.848525056249837</v>
      </c>
      <c r="O102" s="9">
        <f t="shared" si="51"/>
        <v>3.1848525058071571E-2</v>
      </c>
      <c r="P102" s="9">
        <f t="shared" si="61"/>
        <v>30.398628293669248</v>
      </c>
      <c r="Q102" s="3">
        <f t="shared" si="52"/>
        <v>3488.7364770743611</v>
      </c>
      <c r="R102" s="3">
        <f t="shared" si="53"/>
        <v>30459.436056667917</v>
      </c>
      <c r="S102" s="3">
        <f t="shared" si="54"/>
        <v>30459.436056667924</v>
      </c>
      <c r="T102" s="3"/>
      <c r="U102" s="3"/>
      <c r="V102" s="3">
        <f t="shared" si="55"/>
        <v>1225.2211349000193</v>
      </c>
      <c r="W102" s="3">
        <f t="shared" si="62"/>
        <v>110269.90214100173</v>
      </c>
      <c r="X102" s="3">
        <f t="shared" si="56"/>
        <v>8.9999999999999982</v>
      </c>
      <c r="Y102" s="3">
        <f t="shared" si="57"/>
        <v>9</v>
      </c>
      <c r="Z102" s="3">
        <f t="shared" si="63"/>
        <v>11026.990214100173</v>
      </c>
      <c r="AK102">
        <f t="shared" si="58"/>
        <v>90</v>
      </c>
      <c r="AL102" s="3">
        <f t="shared" si="67"/>
        <v>1000</v>
      </c>
      <c r="AM102" s="3">
        <f t="shared" si="67"/>
        <v>2000</v>
      </c>
      <c r="AN102" s="3">
        <f t="shared" si="67"/>
        <v>3000</v>
      </c>
      <c r="AO102" s="3">
        <f t="shared" si="67"/>
        <v>4000</v>
      </c>
      <c r="AP102" s="3">
        <f t="shared" si="67"/>
        <v>5000</v>
      </c>
      <c r="AQ102" s="3">
        <f t="shared" si="67"/>
        <v>6000</v>
      </c>
      <c r="AR102" s="3">
        <f t="shared" si="67"/>
        <v>6999.9999999999991</v>
      </c>
      <c r="AS102" s="3">
        <f t="shared" si="67"/>
        <v>8000</v>
      </c>
      <c r="AT102" s="3">
        <f t="shared" si="67"/>
        <v>9000</v>
      </c>
      <c r="AU102" s="3">
        <f t="shared" si="67"/>
        <v>10000</v>
      </c>
      <c r="AV102" s="3">
        <f t="shared" si="68"/>
        <v>11000</v>
      </c>
      <c r="AW102" s="3">
        <f t="shared" si="68"/>
        <v>12000</v>
      </c>
      <c r="AX102" s="3">
        <f t="shared" si="68"/>
        <v>13000.000000000002</v>
      </c>
      <c r="AY102" s="3">
        <f t="shared" si="68"/>
        <v>13999.999999999998</v>
      </c>
      <c r="AZ102" s="3">
        <f t="shared" si="68"/>
        <v>15000</v>
      </c>
      <c r="BA102" s="3">
        <f t="shared" si="68"/>
        <v>16000</v>
      </c>
      <c r="BB102" s="3">
        <f t="shared" si="68"/>
        <v>17000</v>
      </c>
      <c r="BC102" s="3">
        <f t="shared" si="68"/>
        <v>18000</v>
      </c>
      <c r="BD102" s="3">
        <f t="shared" si="68"/>
        <v>19000</v>
      </c>
      <c r="BE102" s="3">
        <f t="shared" si="68"/>
        <v>20000</v>
      </c>
    </row>
    <row r="103" spans="1:57" x14ac:dyDescent="0.45">
      <c r="A103">
        <f t="shared" si="37"/>
        <v>91</v>
      </c>
      <c r="B103" s="3">
        <f t="shared" si="45"/>
        <v>108.68252626494385</v>
      </c>
      <c r="C103" s="3">
        <f t="shared" si="38"/>
        <v>9890.1098901098903</v>
      </c>
      <c r="D103" s="3">
        <f t="shared" si="46"/>
        <v>7.0816262093973001E-2</v>
      </c>
      <c r="E103" s="3">
        <f t="shared" si="47"/>
        <v>9.2011111111111124</v>
      </c>
      <c r="F103" s="3"/>
      <c r="G103" s="3">
        <f t="shared" si="48"/>
        <v>11273395.797896734</v>
      </c>
      <c r="H103" s="3">
        <f t="shared" si="49"/>
        <v>989010.98901098897</v>
      </c>
      <c r="I103" s="3">
        <f t="shared" si="59"/>
        <v>5722805.7751764935</v>
      </c>
      <c r="J103" s="3">
        <f t="shared" si="50"/>
        <v>0.27480491496467807</v>
      </c>
      <c r="K103" s="3">
        <f t="shared" si="60"/>
        <v>29.866492388384284</v>
      </c>
      <c r="L103" s="3">
        <f t="shared" si="66"/>
        <v>29.866492388384284</v>
      </c>
      <c r="O103" s="9">
        <f t="shared" si="51"/>
        <v>2.9866492390092658E-2</v>
      </c>
      <c r="P103" s="9">
        <f t="shared" si="61"/>
        <v>32.482338231714181</v>
      </c>
      <c r="Q103" s="3">
        <f t="shared" si="52"/>
        <v>3638.9451042800101</v>
      </c>
      <c r="R103" s="3">
        <f t="shared" si="53"/>
        <v>32539.522329292296</v>
      </c>
      <c r="S103" s="3">
        <f t="shared" si="54"/>
        <v>32539.522329292289</v>
      </c>
      <c r="T103" s="3"/>
      <c r="U103" s="3"/>
      <c r="V103" s="3">
        <f t="shared" si="55"/>
        <v>1238.8347030655752</v>
      </c>
      <c r="W103" s="3">
        <f t="shared" si="62"/>
        <v>112733.95797896734</v>
      </c>
      <c r="X103" s="3">
        <f t="shared" si="56"/>
        <v>9.2011111111111124</v>
      </c>
      <c r="Y103" s="3">
        <f t="shared" si="57"/>
        <v>9.2011111111111124</v>
      </c>
      <c r="Z103" s="3">
        <f t="shared" si="63"/>
        <v>11398.655751206699</v>
      </c>
      <c r="AK103">
        <f t="shared" si="58"/>
        <v>91</v>
      </c>
      <c r="AL103" s="3">
        <f t="shared" ref="AL103:AU112" si="69">AL$12/(IMPROVED_MBPS*IMPROVED_KM^2/(DIST_RINGS_EM/$AK103)^2)*$AK103</f>
        <v>989.01098901098885</v>
      </c>
      <c r="AM103" s="3">
        <f t="shared" si="69"/>
        <v>1978.0219780219777</v>
      </c>
      <c r="AN103" s="3">
        <f t="shared" si="69"/>
        <v>2967.032967032967</v>
      </c>
      <c r="AO103" s="3">
        <f t="shared" si="69"/>
        <v>3956.0439560439554</v>
      </c>
      <c r="AP103" s="3">
        <f t="shared" si="69"/>
        <v>4945.0549450549443</v>
      </c>
      <c r="AQ103" s="3">
        <f t="shared" si="69"/>
        <v>5934.065934065934</v>
      </c>
      <c r="AR103" s="3">
        <f t="shared" si="69"/>
        <v>6923.0769230769229</v>
      </c>
      <c r="AS103" s="3">
        <f t="shared" si="69"/>
        <v>7912.0879120879108</v>
      </c>
      <c r="AT103" s="3">
        <f t="shared" si="69"/>
        <v>8901.0989010988997</v>
      </c>
      <c r="AU103" s="3">
        <f t="shared" si="69"/>
        <v>9890.1098901098885</v>
      </c>
      <c r="AV103" s="3">
        <f t="shared" ref="AV103:BE112" si="70">AV$12/(IMPROVED_MBPS*IMPROVED_KM^2/(DIST_RINGS_EM/$AK103)^2)*$AK103</f>
        <v>10879.120879120877</v>
      </c>
      <c r="AW103" s="3">
        <f t="shared" si="70"/>
        <v>11868.131868131868</v>
      </c>
      <c r="AX103" s="3">
        <f t="shared" si="70"/>
        <v>12857.142857142857</v>
      </c>
      <c r="AY103" s="3">
        <f t="shared" si="70"/>
        <v>13846.153846153846</v>
      </c>
      <c r="AZ103" s="3">
        <f t="shared" si="70"/>
        <v>14835.164835164833</v>
      </c>
      <c r="BA103" s="3">
        <f t="shared" si="70"/>
        <v>15824.175824175822</v>
      </c>
      <c r="BB103" s="3">
        <f t="shared" si="70"/>
        <v>16813.18681318681</v>
      </c>
      <c r="BC103" s="3">
        <f t="shared" si="70"/>
        <v>17802.197802197799</v>
      </c>
      <c r="BD103" s="3">
        <f t="shared" si="70"/>
        <v>18791.208791208788</v>
      </c>
      <c r="BE103" s="3">
        <f t="shared" si="70"/>
        <v>19780.219780219777</v>
      </c>
    </row>
    <row r="104" spans="1:57" x14ac:dyDescent="0.45">
      <c r="A104">
        <f t="shared" si="37"/>
        <v>92</v>
      </c>
      <c r="B104" s="3">
        <f t="shared" si="45"/>
        <v>106.33270321361059</v>
      </c>
      <c r="C104" s="3">
        <f t="shared" si="38"/>
        <v>9782.608695652174</v>
      </c>
      <c r="D104" s="3">
        <f t="shared" si="46"/>
        <v>6.778713195701945E-2</v>
      </c>
      <c r="E104" s="3">
        <f t="shared" si="47"/>
        <v>9.4044444444444437</v>
      </c>
      <c r="F104" s="3"/>
      <c r="G104" s="3">
        <f t="shared" si="48"/>
        <v>11522524.095326405</v>
      </c>
      <c r="H104" s="3">
        <f t="shared" si="49"/>
        <v>978260.86956521741</v>
      </c>
      <c r="I104" s="3">
        <f t="shared" si="59"/>
        <v>5843726.0981985535</v>
      </c>
      <c r="J104" s="3">
        <f t="shared" si="50"/>
        <v>0.26354986960071897</v>
      </c>
      <c r="K104" s="3">
        <f t="shared" si="60"/>
        <v>28.02397006623902</v>
      </c>
      <c r="L104" s="3">
        <f t="shared" si="66"/>
        <v>28.023970066239027</v>
      </c>
      <c r="O104" s="9">
        <f t="shared" si="51"/>
        <v>2.8023970067842002E-2</v>
      </c>
      <c r="P104" s="9">
        <f t="shared" si="61"/>
        <v>34.683737799431839</v>
      </c>
      <c r="Q104" s="3">
        <f t="shared" si="52"/>
        <v>3794.3483009792835</v>
      </c>
      <c r="R104" s="3">
        <f t="shared" si="53"/>
        <v>34737.535033803673</v>
      </c>
      <c r="S104" s="3">
        <f t="shared" si="54"/>
        <v>34737.535033803673</v>
      </c>
      <c r="T104" s="3"/>
      <c r="U104" s="3"/>
      <c r="V104" s="3">
        <f t="shared" si="55"/>
        <v>1252.448271231131</v>
      </c>
      <c r="W104" s="3">
        <f t="shared" si="62"/>
        <v>115225.24095326406</v>
      </c>
      <c r="X104" s="3">
        <f t="shared" si="56"/>
        <v>9.4044444444444455</v>
      </c>
      <c r="Y104" s="3">
        <f t="shared" si="57"/>
        <v>9.4044444444444437</v>
      </c>
      <c r="Z104" s="3">
        <f t="shared" si="63"/>
        <v>11778.580186333658</v>
      </c>
      <c r="AK104">
        <f t="shared" si="58"/>
        <v>92</v>
      </c>
      <c r="AL104" s="3">
        <f t="shared" si="69"/>
        <v>978.26086956521749</v>
      </c>
      <c r="AM104" s="3">
        <f t="shared" si="69"/>
        <v>1956.521739130435</v>
      </c>
      <c r="AN104" s="3">
        <f t="shared" si="69"/>
        <v>2934.7826086956525</v>
      </c>
      <c r="AO104" s="3">
        <f t="shared" si="69"/>
        <v>3913.04347826087</v>
      </c>
      <c r="AP104" s="3">
        <f t="shared" si="69"/>
        <v>4891.3043478260879</v>
      </c>
      <c r="AQ104" s="3">
        <f t="shared" si="69"/>
        <v>5869.5652173913049</v>
      </c>
      <c r="AR104" s="3">
        <f t="shared" si="69"/>
        <v>6847.826086956522</v>
      </c>
      <c r="AS104" s="3">
        <f t="shared" si="69"/>
        <v>7826.0869565217399</v>
      </c>
      <c r="AT104" s="3">
        <f t="shared" si="69"/>
        <v>8804.3478260869579</v>
      </c>
      <c r="AU104" s="3">
        <f t="shared" si="69"/>
        <v>9782.6086956521758</v>
      </c>
      <c r="AV104" s="3">
        <f t="shared" si="70"/>
        <v>10760.869565217392</v>
      </c>
      <c r="AW104" s="3">
        <f t="shared" si="70"/>
        <v>11739.13043478261</v>
      </c>
      <c r="AX104" s="3">
        <f t="shared" si="70"/>
        <v>12717.391304347826</v>
      </c>
      <c r="AY104" s="3">
        <f t="shared" si="70"/>
        <v>13695.652173913044</v>
      </c>
      <c r="AZ104" s="3">
        <f t="shared" si="70"/>
        <v>14673.913043478262</v>
      </c>
      <c r="BA104" s="3">
        <f t="shared" si="70"/>
        <v>15652.17391304348</v>
      </c>
      <c r="BB104" s="3">
        <f t="shared" si="70"/>
        <v>16630.434782608696</v>
      </c>
      <c r="BC104" s="3">
        <f t="shared" si="70"/>
        <v>17608.695652173916</v>
      </c>
      <c r="BD104" s="3">
        <f t="shared" si="70"/>
        <v>18586.956521739132</v>
      </c>
      <c r="BE104" s="3">
        <f t="shared" si="70"/>
        <v>19565.217391304352</v>
      </c>
    </row>
    <row r="105" spans="1:57" x14ac:dyDescent="0.45">
      <c r="A105">
        <f t="shared" si="37"/>
        <v>93</v>
      </c>
      <c r="B105" s="3">
        <f t="shared" si="45"/>
        <v>104.0582726326743</v>
      </c>
      <c r="C105" s="3">
        <f t="shared" si="38"/>
        <v>9677.4193548387102</v>
      </c>
      <c r="D105" s="3">
        <f t="shared" si="46"/>
        <v>6.4918245607815117E-2</v>
      </c>
      <c r="E105" s="3">
        <f t="shared" si="47"/>
        <v>9.6100000000000012</v>
      </c>
      <c r="F105" s="3"/>
      <c r="G105" s="3">
        <f t="shared" si="48"/>
        <v>11774375.106389185</v>
      </c>
      <c r="H105" s="3">
        <f t="shared" si="49"/>
        <v>967741.93548387091</v>
      </c>
      <c r="I105" s="3">
        <f t="shared" si="59"/>
        <v>5966196.5891330978</v>
      </c>
      <c r="J105" s="3">
        <f t="shared" si="50"/>
        <v>0.25284093663554097</v>
      </c>
      <c r="K105" s="3">
        <f t="shared" si="60"/>
        <v>26.31019111712185</v>
      </c>
      <c r="L105" s="3">
        <f t="shared" si="66"/>
        <v>26.310191117121857</v>
      </c>
      <c r="O105" s="9">
        <f t="shared" si="51"/>
        <v>2.6310191118626803E-2</v>
      </c>
      <c r="P105" s="9">
        <f t="shared" si="61"/>
        <v>37.008085744843974</v>
      </c>
      <c r="Q105" s="3">
        <f t="shared" si="52"/>
        <v>3955.0557486830362</v>
      </c>
      <c r="R105" s="3">
        <f t="shared" si="53"/>
        <v>37058.716835365798</v>
      </c>
      <c r="S105" s="3">
        <f t="shared" si="54"/>
        <v>37058.716835365791</v>
      </c>
      <c r="T105" s="3"/>
      <c r="U105" s="3"/>
      <c r="V105" s="3">
        <f t="shared" si="55"/>
        <v>1266.0618393966865</v>
      </c>
      <c r="W105" s="3">
        <f t="shared" si="62"/>
        <v>117743.75106389185</v>
      </c>
      <c r="X105" s="3">
        <f t="shared" si="56"/>
        <v>9.6099999999999977</v>
      </c>
      <c r="Y105" s="3">
        <f t="shared" si="57"/>
        <v>9.6100000000000012</v>
      </c>
      <c r="Z105" s="3">
        <f t="shared" si="63"/>
        <v>12166.854276602158</v>
      </c>
      <c r="AK105">
        <f t="shared" si="58"/>
        <v>93</v>
      </c>
      <c r="AL105" s="3">
        <f t="shared" si="69"/>
        <v>967.74193548387075</v>
      </c>
      <c r="AM105" s="3">
        <f t="shared" si="69"/>
        <v>1935.4838709677415</v>
      </c>
      <c r="AN105" s="3">
        <f t="shared" si="69"/>
        <v>2903.2258064516127</v>
      </c>
      <c r="AO105" s="3">
        <f t="shared" si="69"/>
        <v>3870.967741935483</v>
      </c>
      <c r="AP105" s="3">
        <f t="shared" si="69"/>
        <v>4838.7096774193542</v>
      </c>
      <c r="AQ105" s="3">
        <f t="shared" si="69"/>
        <v>5806.4516129032254</v>
      </c>
      <c r="AR105" s="3">
        <f t="shared" si="69"/>
        <v>6774.1935483870957</v>
      </c>
      <c r="AS105" s="3">
        <f t="shared" si="69"/>
        <v>7741.935483870966</v>
      </c>
      <c r="AT105" s="3">
        <f t="shared" si="69"/>
        <v>8709.677419354839</v>
      </c>
      <c r="AU105" s="3">
        <f t="shared" si="69"/>
        <v>9677.4193548387084</v>
      </c>
      <c r="AV105" s="3">
        <f t="shared" si="70"/>
        <v>10645.16129032258</v>
      </c>
      <c r="AW105" s="3">
        <f t="shared" si="70"/>
        <v>11612.903225806451</v>
      </c>
      <c r="AX105" s="3">
        <f t="shared" si="70"/>
        <v>12580.645161290322</v>
      </c>
      <c r="AY105" s="3">
        <f t="shared" si="70"/>
        <v>13548.387096774191</v>
      </c>
      <c r="AZ105" s="3">
        <f t="shared" si="70"/>
        <v>14516.129032258063</v>
      </c>
      <c r="BA105" s="3">
        <f t="shared" si="70"/>
        <v>15483.870967741932</v>
      </c>
      <c r="BB105" s="3">
        <f t="shared" si="70"/>
        <v>16451.612903225803</v>
      </c>
      <c r="BC105" s="3">
        <f t="shared" si="70"/>
        <v>17419.354838709678</v>
      </c>
      <c r="BD105" s="3">
        <f t="shared" si="70"/>
        <v>18387.096774193546</v>
      </c>
      <c r="BE105" s="3">
        <f t="shared" si="70"/>
        <v>19354.838709677417</v>
      </c>
    </row>
    <row r="106" spans="1:57" x14ac:dyDescent="0.45">
      <c r="A106">
        <f t="shared" si="37"/>
        <v>94</v>
      </c>
      <c r="B106" s="3">
        <f t="shared" si="45"/>
        <v>101.85604345857854</v>
      </c>
      <c r="C106" s="3">
        <f t="shared" si="38"/>
        <v>9574.4680851063822</v>
      </c>
      <c r="D106" s="3">
        <f t="shared" si="46"/>
        <v>6.2199537368067409E-2</v>
      </c>
      <c r="E106" s="3">
        <f t="shared" si="47"/>
        <v>9.8177777777777777</v>
      </c>
      <c r="F106" s="3"/>
      <c r="G106" s="3">
        <f t="shared" si="48"/>
        <v>12028948.83108508</v>
      </c>
      <c r="H106" s="3">
        <f t="shared" si="49"/>
        <v>957446.80851063831</v>
      </c>
      <c r="I106" s="3">
        <f t="shared" si="59"/>
        <v>6090205.8164189318</v>
      </c>
      <c r="J106" s="3">
        <f t="shared" si="50"/>
        <v>0.24264903584831504</v>
      </c>
      <c r="K106" s="3">
        <f t="shared" si="60"/>
        <v>24.71527074054816</v>
      </c>
      <c r="L106" s="3">
        <f t="shared" si="66"/>
        <v>24.715270740548167</v>
      </c>
      <c r="O106" s="9">
        <f t="shared" si="51"/>
        <v>2.4715270741961882E-2</v>
      </c>
      <c r="P106" s="9">
        <f t="shared" si="61"/>
        <v>39.460815114688913</v>
      </c>
      <c r="Q106" s="3">
        <f t="shared" si="52"/>
        <v>4121.1785426912656</v>
      </c>
      <c r="R106" s="3">
        <f t="shared" si="53"/>
        <v>39508.485738479212</v>
      </c>
      <c r="S106" s="3">
        <f t="shared" si="54"/>
        <v>39508.485738479219</v>
      </c>
      <c r="T106" s="3"/>
      <c r="U106" s="3"/>
      <c r="V106" s="3">
        <f t="shared" si="55"/>
        <v>1279.6754075622425</v>
      </c>
      <c r="W106" s="3">
        <f t="shared" si="62"/>
        <v>120289.48831085079</v>
      </c>
      <c r="X106" s="3">
        <f t="shared" si="56"/>
        <v>9.8177777777777795</v>
      </c>
      <c r="Y106" s="3">
        <f t="shared" si="57"/>
        <v>9.8177777777777777</v>
      </c>
      <c r="Z106" s="3">
        <f t="shared" si="63"/>
        <v>12563.568779133306</v>
      </c>
      <c r="AK106">
        <f t="shared" si="58"/>
        <v>94</v>
      </c>
      <c r="AL106" s="3">
        <f t="shared" si="69"/>
        <v>957.44680851063822</v>
      </c>
      <c r="AM106" s="3">
        <f t="shared" si="69"/>
        <v>1914.8936170212764</v>
      </c>
      <c r="AN106" s="3">
        <f t="shared" si="69"/>
        <v>2872.3404255319147</v>
      </c>
      <c r="AO106" s="3">
        <f t="shared" si="69"/>
        <v>3829.7872340425529</v>
      </c>
      <c r="AP106" s="3">
        <f t="shared" si="69"/>
        <v>4787.2340425531911</v>
      </c>
      <c r="AQ106" s="3">
        <f t="shared" si="69"/>
        <v>5744.6808510638293</v>
      </c>
      <c r="AR106" s="3">
        <f t="shared" si="69"/>
        <v>6702.1276595744675</v>
      </c>
      <c r="AS106" s="3">
        <f t="shared" si="69"/>
        <v>7659.5744680851058</v>
      </c>
      <c r="AT106" s="3">
        <f t="shared" si="69"/>
        <v>8617.021276595744</v>
      </c>
      <c r="AU106" s="3">
        <f t="shared" si="69"/>
        <v>9574.4680851063822</v>
      </c>
      <c r="AV106" s="3">
        <f t="shared" si="70"/>
        <v>10531.91489361702</v>
      </c>
      <c r="AW106" s="3">
        <f t="shared" si="70"/>
        <v>11489.361702127659</v>
      </c>
      <c r="AX106" s="3">
        <f t="shared" si="70"/>
        <v>12446.808510638297</v>
      </c>
      <c r="AY106" s="3">
        <f t="shared" si="70"/>
        <v>13404.255319148935</v>
      </c>
      <c r="AZ106" s="3">
        <f t="shared" si="70"/>
        <v>14361.702127659573</v>
      </c>
      <c r="BA106" s="3">
        <f t="shared" si="70"/>
        <v>15319.148936170212</v>
      </c>
      <c r="BB106" s="3">
        <f t="shared" si="70"/>
        <v>16276.595744680852</v>
      </c>
      <c r="BC106" s="3">
        <f t="shared" si="70"/>
        <v>17234.042553191488</v>
      </c>
      <c r="BD106" s="3">
        <f t="shared" si="70"/>
        <v>18191.489361702126</v>
      </c>
      <c r="BE106" s="3">
        <f t="shared" si="70"/>
        <v>19148.936170212764</v>
      </c>
    </row>
    <row r="107" spans="1:57" x14ac:dyDescent="0.45">
      <c r="A107">
        <f t="shared" si="37"/>
        <v>95</v>
      </c>
      <c r="B107" s="3">
        <f t="shared" si="45"/>
        <v>99.7229916897507</v>
      </c>
      <c r="C107" s="3">
        <f t="shared" si="38"/>
        <v>9473.6842105263167</v>
      </c>
      <c r="D107" s="3">
        <f t="shared" si="46"/>
        <v>5.9621671549604155E-2</v>
      </c>
      <c r="E107" s="3">
        <f t="shared" si="47"/>
        <v>10.027777777777779</v>
      </c>
      <c r="F107" s="3"/>
      <c r="G107" s="3">
        <f t="shared" si="48"/>
        <v>12286245.269414082</v>
      </c>
      <c r="H107" s="3">
        <f t="shared" si="49"/>
        <v>947368.42105263157</v>
      </c>
      <c r="I107" s="3">
        <f t="shared" si="59"/>
        <v>6215743.1277569486</v>
      </c>
      <c r="J107" s="3">
        <f t="shared" si="50"/>
        <v>0.23294660882231971</v>
      </c>
      <c r="K107" s="3">
        <f t="shared" si="60"/>
        <v>23.230132735743794</v>
      </c>
      <c r="L107" s="3">
        <f t="shared" si="66"/>
        <v>23.230132735743794</v>
      </c>
      <c r="O107" s="9">
        <f t="shared" si="51"/>
        <v>2.3230132737072567E-2</v>
      </c>
      <c r="P107" s="9">
        <f t="shared" si="61"/>
        <v>42.047537063966807</v>
      </c>
      <c r="Q107" s="3">
        <f t="shared" si="52"/>
        <v>4292.8291808941967</v>
      </c>
      <c r="R107" s="3">
        <f t="shared" si="53"/>
        <v>42092.43884670113</v>
      </c>
      <c r="S107" s="3">
        <f t="shared" si="54"/>
        <v>42092.43884670113</v>
      </c>
      <c r="T107" s="3"/>
      <c r="U107" s="3"/>
      <c r="V107" s="3">
        <f t="shared" si="55"/>
        <v>1293.2889757277983</v>
      </c>
      <c r="W107" s="3">
        <f t="shared" si="62"/>
        <v>122862.45269414084</v>
      </c>
      <c r="X107" s="3">
        <f t="shared" si="56"/>
        <v>10.027777777777779</v>
      </c>
      <c r="Y107" s="3">
        <f t="shared" si="57"/>
        <v>10.027777777777779</v>
      </c>
      <c r="Z107" s="3">
        <f t="shared" si="63"/>
        <v>12968.8144510482</v>
      </c>
      <c r="AK107">
        <f t="shared" si="58"/>
        <v>95</v>
      </c>
      <c r="AL107" s="3">
        <f t="shared" si="69"/>
        <v>947.36842105263145</v>
      </c>
      <c r="AM107" s="3">
        <f t="shared" si="69"/>
        <v>1894.7368421052629</v>
      </c>
      <c r="AN107" s="3">
        <f t="shared" si="69"/>
        <v>2842.1052631578946</v>
      </c>
      <c r="AO107" s="3">
        <f t="shared" si="69"/>
        <v>3789.4736842105258</v>
      </c>
      <c r="AP107" s="3">
        <f t="shared" si="69"/>
        <v>4736.8421052631575</v>
      </c>
      <c r="AQ107" s="3">
        <f t="shared" si="69"/>
        <v>5684.2105263157891</v>
      </c>
      <c r="AR107" s="3">
        <f t="shared" si="69"/>
        <v>6631.5789473684199</v>
      </c>
      <c r="AS107" s="3">
        <f t="shared" si="69"/>
        <v>7578.9473684210516</v>
      </c>
      <c r="AT107" s="3">
        <f t="shared" si="69"/>
        <v>8526.3157894736833</v>
      </c>
      <c r="AU107" s="3">
        <f t="shared" si="69"/>
        <v>9473.6842105263149</v>
      </c>
      <c r="AV107" s="3">
        <f t="shared" si="70"/>
        <v>10421.052631578947</v>
      </c>
      <c r="AW107" s="3">
        <f t="shared" si="70"/>
        <v>11368.421052631578</v>
      </c>
      <c r="AX107" s="3">
        <f t="shared" si="70"/>
        <v>12315.789473684208</v>
      </c>
      <c r="AY107" s="3">
        <f t="shared" si="70"/>
        <v>13263.15789473684</v>
      </c>
      <c r="AZ107" s="3">
        <f t="shared" si="70"/>
        <v>14210.526315789471</v>
      </c>
      <c r="BA107" s="3">
        <f t="shared" si="70"/>
        <v>15157.894736842103</v>
      </c>
      <c r="BB107" s="3">
        <f t="shared" si="70"/>
        <v>16105.263157894735</v>
      </c>
      <c r="BC107" s="3">
        <f t="shared" si="70"/>
        <v>17052.631578947367</v>
      </c>
      <c r="BD107" s="3">
        <f t="shared" si="70"/>
        <v>18000</v>
      </c>
      <c r="BE107" s="3">
        <f t="shared" si="70"/>
        <v>18947.36842105263</v>
      </c>
    </row>
    <row r="108" spans="1:57" x14ac:dyDescent="0.45">
      <c r="A108">
        <f t="shared" ref="A108:A114" si="71">A107+1</f>
        <v>96</v>
      </c>
      <c r="B108" s="3">
        <f t="shared" si="45"/>
        <v>97.65625</v>
      </c>
      <c r="C108" s="3">
        <f t="shared" ref="C108:C114" si="72">B108*A108</f>
        <v>9375</v>
      </c>
      <c r="D108" s="3">
        <f t="shared" si="46"/>
        <v>5.717598257253171E-2</v>
      </c>
      <c r="E108" s="3">
        <f t="shared" si="47"/>
        <v>10.24</v>
      </c>
      <c r="F108" s="3"/>
      <c r="G108" s="3">
        <f t="shared" si="48"/>
        <v>12546264.421376199</v>
      </c>
      <c r="H108" s="3">
        <f t="shared" si="49"/>
        <v>937500</v>
      </c>
      <c r="I108" s="3">
        <f t="shared" si="59"/>
        <v>6342798.5923228366</v>
      </c>
      <c r="J108" s="3">
        <f t="shared" si="50"/>
        <v>0.22370756320605922</v>
      </c>
      <c r="K108" s="3">
        <f t="shared" si="60"/>
        <v>21.846441719341723</v>
      </c>
      <c r="L108" s="3">
        <f t="shared" si="66"/>
        <v>21.846441719341719</v>
      </c>
      <c r="O108" s="9">
        <f t="shared" si="51"/>
        <v>2.1846441720591348E-2</v>
      </c>
      <c r="P108" s="9">
        <f t="shared" si="61"/>
        <v>44.774044706669585</v>
      </c>
      <c r="Q108" s="3">
        <f t="shared" si="52"/>
        <v>4470.1215533857021</v>
      </c>
      <c r="R108" s="3">
        <f t="shared" si="53"/>
        <v>44816.356162154647</v>
      </c>
      <c r="S108" s="3">
        <f t="shared" si="54"/>
        <v>44816.356162154647</v>
      </c>
      <c r="T108" s="3"/>
      <c r="U108" s="3"/>
      <c r="V108" s="3">
        <f t="shared" si="55"/>
        <v>1306.902543893354</v>
      </c>
      <c r="W108" s="3">
        <f t="shared" si="62"/>
        <v>125462.64421376199</v>
      </c>
      <c r="X108" s="3">
        <f t="shared" si="56"/>
        <v>10.240000000000002</v>
      </c>
      <c r="Y108" s="3">
        <f t="shared" si="57"/>
        <v>10.24</v>
      </c>
      <c r="Z108" s="3">
        <f t="shared" si="63"/>
        <v>13382.682049467945</v>
      </c>
      <c r="AK108">
        <f t="shared" si="58"/>
        <v>96</v>
      </c>
      <c r="AL108" s="3">
        <f t="shared" si="69"/>
        <v>937.5</v>
      </c>
      <c r="AM108" s="3">
        <f t="shared" si="69"/>
        <v>1875</v>
      </c>
      <c r="AN108" s="3">
        <f t="shared" si="69"/>
        <v>2812.5</v>
      </c>
      <c r="AO108" s="3">
        <f t="shared" si="69"/>
        <v>3750</v>
      </c>
      <c r="AP108" s="3">
        <f t="shared" si="69"/>
        <v>4687.5</v>
      </c>
      <c r="AQ108" s="3">
        <f t="shared" si="69"/>
        <v>5625</v>
      </c>
      <c r="AR108" s="3">
        <f t="shared" si="69"/>
        <v>6562.5</v>
      </c>
      <c r="AS108" s="3">
        <f t="shared" si="69"/>
        <v>7500</v>
      </c>
      <c r="AT108" s="3">
        <f t="shared" si="69"/>
        <v>8437.5</v>
      </c>
      <c r="AU108" s="3">
        <f t="shared" si="69"/>
        <v>9375</v>
      </c>
      <c r="AV108" s="3">
        <f t="shared" si="70"/>
        <v>10312.5</v>
      </c>
      <c r="AW108" s="3">
        <f t="shared" si="70"/>
        <v>11250</v>
      </c>
      <c r="AX108" s="3">
        <f t="shared" si="70"/>
        <v>12187.5</v>
      </c>
      <c r="AY108" s="3">
        <f t="shared" si="70"/>
        <v>13125</v>
      </c>
      <c r="AZ108" s="3">
        <f t="shared" si="70"/>
        <v>14062.5</v>
      </c>
      <c r="BA108" s="3">
        <f t="shared" si="70"/>
        <v>15000</v>
      </c>
      <c r="BB108" s="3">
        <f t="shared" si="70"/>
        <v>15937.5</v>
      </c>
      <c r="BC108" s="3">
        <f t="shared" si="70"/>
        <v>16875</v>
      </c>
      <c r="BD108" s="3">
        <f t="shared" si="70"/>
        <v>17812.5</v>
      </c>
      <c r="BE108" s="3">
        <f t="shared" si="70"/>
        <v>18750</v>
      </c>
    </row>
    <row r="109" spans="1:57" x14ac:dyDescent="0.45">
      <c r="A109">
        <f t="shared" si="71"/>
        <v>97</v>
      </c>
      <c r="B109" s="3">
        <f t="shared" si="45"/>
        <v>95.653098097566158</v>
      </c>
      <c r="C109" s="3">
        <f t="shared" si="72"/>
        <v>9278.350515463917</v>
      </c>
      <c r="D109" s="3">
        <f t="shared" si="46"/>
        <v>5.4854420553353149E-2</v>
      </c>
      <c r="E109" s="3">
        <f t="shared" si="47"/>
        <v>10.454444444444443</v>
      </c>
      <c r="F109" s="3"/>
      <c r="G109" s="3">
        <f t="shared" si="48"/>
        <v>12809006.286971426</v>
      </c>
      <c r="H109" s="3">
        <f t="shared" si="49"/>
        <v>927835.0515463918</v>
      </c>
      <c r="I109" s="3">
        <f t="shared" si="59"/>
        <v>6471362.9474629583</v>
      </c>
      <c r="J109" s="3">
        <f t="shared" si="50"/>
        <v>0.21490721367853552</v>
      </c>
      <c r="K109" s="3">
        <f t="shared" si="60"/>
        <v>20.556540791867569</v>
      </c>
      <c r="L109" s="3">
        <f t="shared" si="66"/>
        <v>20.556540791867576</v>
      </c>
      <c r="O109" s="9">
        <f t="shared" si="51"/>
        <v>2.055654079304341E-2</v>
      </c>
      <c r="P109" s="9">
        <f t="shared" si="61"/>
        <v>47.646317007694819</v>
      </c>
      <c r="Q109" s="3">
        <f t="shared" si="52"/>
        <v>4653.1709328223333</v>
      </c>
      <c r="R109" s="3">
        <f t="shared" si="53"/>
        <v>47686.204425798947</v>
      </c>
      <c r="S109" s="3">
        <f t="shared" si="54"/>
        <v>47686.204425798947</v>
      </c>
      <c r="T109" s="3"/>
      <c r="U109" s="3"/>
      <c r="V109" s="3">
        <f t="shared" si="55"/>
        <v>1320.5161120589098</v>
      </c>
      <c r="W109" s="3">
        <f t="shared" si="62"/>
        <v>128090.06286971425</v>
      </c>
      <c r="X109" s="3">
        <f t="shared" si="56"/>
        <v>10.454444444444446</v>
      </c>
      <c r="Y109" s="3">
        <f t="shared" si="57"/>
        <v>10.454444444444443</v>
      </c>
      <c r="Z109" s="3">
        <f t="shared" si="63"/>
        <v>13805.262331513644</v>
      </c>
      <c r="AK109">
        <f t="shared" si="58"/>
        <v>97</v>
      </c>
      <c r="AL109" s="3">
        <f t="shared" si="69"/>
        <v>927.83505154639192</v>
      </c>
      <c r="AM109" s="3">
        <f t="shared" si="69"/>
        <v>1855.6701030927838</v>
      </c>
      <c r="AN109" s="3">
        <f t="shared" si="69"/>
        <v>2783.5051546391755</v>
      </c>
      <c r="AO109" s="3">
        <f t="shared" si="69"/>
        <v>3711.3402061855677</v>
      </c>
      <c r="AP109" s="3">
        <f t="shared" si="69"/>
        <v>4639.1752577319594</v>
      </c>
      <c r="AQ109" s="3">
        <f t="shared" si="69"/>
        <v>5567.0103092783511</v>
      </c>
      <c r="AR109" s="3">
        <f t="shared" si="69"/>
        <v>6494.8453608247428</v>
      </c>
      <c r="AS109" s="3">
        <f t="shared" si="69"/>
        <v>7422.6804123711354</v>
      </c>
      <c r="AT109" s="3">
        <f t="shared" si="69"/>
        <v>8350.5154639175271</v>
      </c>
      <c r="AU109" s="3">
        <f t="shared" si="69"/>
        <v>9278.3505154639188</v>
      </c>
      <c r="AV109" s="3">
        <f t="shared" si="70"/>
        <v>10206.185567010312</v>
      </c>
      <c r="AW109" s="3">
        <f t="shared" si="70"/>
        <v>11134.020618556702</v>
      </c>
      <c r="AX109" s="3">
        <f t="shared" si="70"/>
        <v>12061.855670103094</v>
      </c>
      <c r="AY109" s="3">
        <f t="shared" si="70"/>
        <v>12989.690721649486</v>
      </c>
      <c r="AZ109" s="3">
        <f t="shared" si="70"/>
        <v>13917.525773195879</v>
      </c>
      <c r="BA109" s="3">
        <f t="shared" si="70"/>
        <v>14845.360824742271</v>
      </c>
      <c r="BB109" s="3">
        <f t="shared" si="70"/>
        <v>15773.195876288662</v>
      </c>
      <c r="BC109" s="3">
        <f t="shared" si="70"/>
        <v>16701.030927835054</v>
      </c>
      <c r="BD109" s="3">
        <f t="shared" si="70"/>
        <v>17628.865979381448</v>
      </c>
      <c r="BE109" s="3">
        <f t="shared" si="70"/>
        <v>18556.701030927838</v>
      </c>
    </row>
    <row r="110" spans="1:57" x14ac:dyDescent="0.45">
      <c r="A110">
        <f t="shared" si="71"/>
        <v>98</v>
      </c>
      <c r="B110" s="3">
        <f t="shared" si="45"/>
        <v>93.710953769262801</v>
      </c>
      <c r="C110" s="3">
        <f t="shared" si="72"/>
        <v>9183.6734693877552</v>
      </c>
      <c r="D110" s="3">
        <f t="shared" si="46"/>
        <v>5.264950181346216E-2</v>
      </c>
      <c r="E110" s="3">
        <f t="shared" si="47"/>
        <v>10.671111111111111</v>
      </c>
      <c r="F110" s="3"/>
      <c r="G110" s="3">
        <f t="shared" si="48"/>
        <v>13074470.866199763</v>
      </c>
      <c r="H110" s="3">
        <f t="shared" si="49"/>
        <v>918367.3469387755</v>
      </c>
      <c r="I110" s="3">
        <f t="shared" si="59"/>
        <v>6601427.5495304782</v>
      </c>
      <c r="J110" s="3">
        <f t="shared" si="50"/>
        <v>0.20652222098012429</v>
      </c>
      <c r="K110" s="3">
        <f t="shared" si="60"/>
        <v>19.353394302593905</v>
      </c>
      <c r="L110" s="3">
        <f t="shared" si="66"/>
        <v>19.353394302593916</v>
      </c>
      <c r="O110" s="9">
        <f t="shared" si="51"/>
        <v>1.9353394303700928E-2</v>
      </c>
      <c r="P110" s="9">
        <f t="shared" si="61"/>
        <v>50.670522715943996</v>
      </c>
      <c r="Q110" s="3">
        <f t="shared" si="52"/>
        <v>4842.0939654674712</v>
      </c>
      <c r="R110" s="3">
        <f t="shared" si="53"/>
        <v>50708.140999228381</v>
      </c>
      <c r="S110" s="3">
        <f t="shared" si="54"/>
        <v>50708.140999228388</v>
      </c>
      <c r="T110" s="3"/>
      <c r="U110" s="3"/>
      <c r="V110" s="3">
        <f t="shared" si="55"/>
        <v>1334.1296802244656</v>
      </c>
      <c r="W110" s="3">
        <f t="shared" si="62"/>
        <v>130744.70866199763</v>
      </c>
      <c r="X110" s="3">
        <f t="shared" si="56"/>
        <v>10.671111111111111</v>
      </c>
      <c r="Y110" s="3">
        <f t="shared" si="57"/>
        <v>10.671111111111111</v>
      </c>
      <c r="Z110" s="3">
        <f t="shared" si="63"/>
        <v>14236.646054306408</v>
      </c>
      <c r="AK110">
        <f t="shared" si="58"/>
        <v>98</v>
      </c>
      <c r="AL110" s="3">
        <f t="shared" si="69"/>
        <v>918.36734693877554</v>
      </c>
      <c r="AM110" s="3">
        <f t="shared" si="69"/>
        <v>1836.7346938775511</v>
      </c>
      <c r="AN110" s="3">
        <f t="shared" si="69"/>
        <v>2755.1020408163267</v>
      </c>
      <c r="AO110" s="3">
        <f t="shared" si="69"/>
        <v>3673.4693877551022</v>
      </c>
      <c r="AP110" s="3">
        <f t="shared" si="69"/>
        <v>4591.8367346938776</v>
      </c>
      <c r="AQ110" s="3">
        <f t="shared" si="69"/>
        <v>5510.2040816326535</v>
      </c>
      <c r="AR110" s="3">
        <f t="shared" si="69"/>
        <v>6428.5714285714294</v>
      </c>
      <c r="AS110" s="3">
        <f t="shared" si="69"/>
        <v>7346.9387755102043</v>
      </c>
      <c r="AT110" s="3">
        <f t="shared" si="69"/>
        <v>8265.3061224489793</v>
      </c>
      <c r="AU110" s="3">
        <f t="shared" si="69"/>
        <v>9183.6734693877552</v>
      </c>
      <c r="AV110" s="3">
        <f t="shared" si="70"/>
        <v>10102.040816326531</v>
      </c>
      <c r="AW110" s="3">
        <f t="shared" si="70"/>
        <v>11020.408163265307</v>
      </c>
      <c r="AX110" s="3">
        <f t="shared" si="70"/>
        <v>11938.775510204081</v>
      </c>
      <c r="AY110" s="3">
        <f t="shared" si="70"/>
        <v>12857.142857142859</v>
      </c>
      <c r="AZ110" s="3">
        <f t="shared" si="70"/>
        <v>13775.510204081631</v>
      </c>
      <c r="BA110" s="3">
        <f t="shared" si="70"/>
        <v>14693.877551020409</v>
      </c>
      <c r="BB110" s="3">
        <f t="shared" si="70"/>
        <v>15612.244897959185</v>
      </c>
      <c r="BC110" s="3">
        <f t="shared" si="70"/>
        <v>16530.612244897959</v>
      </c>
      <c r="BD110" s="3">
        <f t="shared" si="70"/>
        <v>17448.979591836734</v>
      </c>
      <c r="BE110" s="3">
        <f t="shared" si="70"/>
        <v>18367.34693877551</v>
      </c>
    </row>
    <row r="111" spans="1:57" x14ac:dyDescent="0.45">
      <c r="A111">
        <f t="shared" si="71"/>
        <v>99</v>
      </c>
      <c r="B111" s="3">
        <f t="shared" si="45"/>
        <v>91.827364554637285</v>
      </c>
      <c r="C111" s="3">
        <f t="shared" si="72"/>
        <v>9090.9090909090919</v>
      </c>
      <c r="D111" s="3">
        <f t="shared" si="46"/>
        <v>5.0554263818563816E-2</v>
      </c>
      <c r="E111" s="3">
        <f t="shared" si="47"/>
        <v>10.89</v>
      </c>
      <c r="F111" s="3"/>
      <c r="G111" s="3">
        <f t="shared" si="48"/>
        <v>13342658.15906121</v>
      </c>
      <c r="H111" s="3">
        <f t="shared" si="49"/>
        <v>909090.90909090906</v>
      </c>
      <c r="I111" s="3">
        <f t="shared" si="59"/>
        <v>6732984.3285412751</v>
      </c>
      <c r="J111" s="3">
        <f t="shared" si="50"/>
        <v>0.19853053009718549</v>
      </c>
      <c r="K111" s="3">
        <f t="shared" si="60"/>
        <v>18.230535362459641</v>
      </c>
      <c r="L111" s="3">
        <f t="shared" si="66"/>
        <v>18.230535362459641</v>
      </c>
      <c r="O111" s="9">
        <f t="shared" si="51"/>
        <v>1.8230535363502436E-2</v>
      </c>
      <c r="P111" s="9">
        <f t="shared" si="61"/>
        <v>53.853024338605096</v>
      </c>
      <c r="Q111" s="3">
        <f t="shared" si="52"/>
        <v>5037.0086628654817</v>
      </c>
      <c r="R111" s="3">
        <f t="shared" si="53"/>
        <v>53888.517788595047</v>
      </c>
      <c r="S111" s="3">
        <f t="shared" si="54"/>
        <v>53888.517788595032</v>
      </c>
      <c r="T111" s="3"/>
      <c r="U111" s="3"/>
      <c r="V111" s="3">
        <f t="shared" si="55"/>
        <v>1347.7432483900213</v>
      </c>
      <c r="W111" s="3">
        <f t="shared" si="62"/>
        <v>133426.5815906121</v>
      </c>
      <c r="X111" s="3">
        <f t="shared" si="56"/>
        <v>10.89</v>
      </c>
      <c r="Y111" s="3">
        <f t="shared" si="57"/>
        <v>10.89</v>
      </c>
      <c r="Z111" s="3">
        <f t="shared" si="63"/>
        <v>14676.923974967332</v>
      </c>
      <c r="AK111">
        <f t="shared" si="58"/>
        <v>99</v>
      </c>
      <c r="AL111" s="3">
        <f t="shared" si="69"/>
        <v>909.09090909090901</v>
      </c>
      <c r="AM111" s="3">
        <f t="shared" si="69"/>
        <v>1818.181818181818</v>
      </c>
      <c r="AN111" s="3">
        <f t="shared" si="69"/>
        <v>2727.272727272727</v>
      </c>
      <c r="AO111" s="3">
        <f t="shared" si="69"/>
        <v>3636.363636363636</v>
      </c>
      <c r="AP111" s="3">
        <f t="shared" si="69"/>
        <v>4545.454545454545</v>
      </c>
      <c r="AQ111" s="3">
        <f t="shared" si="69"/>
        <v>5454.545454545454</v>
      </c>
      <c r="AR111" s="3">
        <f t="shared" si="69"/>
        <v>6363.6363636363631</v>
      </c>
      <c r="AS111" s="3">
        <f t="shared" si="69"/>
        <v>7272.7272727272721</v>
      </c>
      <c r="AT111" s="3">
        <f t="shared" si="69"/>
        <v>8181.8181818181811</v>
      </c>
      <c r="AU111" s="3">
        <f t="shared" si="69"/>
        <v>9090.9090909090901</v>
      </c>
      <c r="AV111" s="3">
        <f t="shared" si="70"/>
        <v>10000</v>
      </c>
      <c r="AW111" s="3">
        <f t="shared" si="70"/>
        <v>10909.090909090908</v>
      </c>
      <c r="AX111" s="3">
        <f t="shared" si="70"/>
        <v>11818.181818181818</v>
      </c>
      <c r="AY111" s="3">
        <f t="shared" si="70"/>
        <v>12727.272727272726</v>
      </c>
      <c r="AZ111" s="3">
        <f t="shared" si="70"/>
        <v>13636.363636363636</v>
      </c>
      <c r="BA111" s="3">
        <f t="shared" si="70"/>
        <v>14545.454545454544</v>
      </c>
      <c r="BB111" s="3">
        <f t="shared" si="70"/>
        <v>15454.545454545452</v>
      </c>
      <c r="BC111" s="3">
        <f t="shared" si="70"/>
        <v>16363.636363636362</v>
      </c>
      <c r="BD111" s="3">
        <f t="shared" si="70"/>
        <v>17272.727272727272</v>
      </c>
      <c r="BE111" s="3">
        <f t="shared" si="70"/>
        <v>18181.81818181818</v>
      </c>
    </row>
    <row r="112" spans="1:57" x14ac:dyDescent="0.45">
      <c r="A112">
        <f t="shared" si="71"/>
        <v>100</v>
      </c>
      <c r="B112" s="3">
        <f t="shared" si="45"/>
        <v>90</v>
      </c>
      <c r="C112" s="3">
        <f t="shared" si="72"/>
        <v>9000</v>
      </c>
      <c r="D112" s="3">
        <f t="shared" si="46"/>
        <v>4.8562224112599764E-2</v>
      </c>
      <c r="E112" s="3">
        <f t="shared" si="47"/>
        <v>11.111111111111111</v>
      </c>
      <c r="F112" s="3"/>
      <c r="G112" s="3">
        <f t="shared" si="48"/>
        <v>13613568.165555771</v>
      </c>
      <c r="H112" s="3">
        <f t="shared" si="49"/>
        <v>900000</v>
      </c>
      <c r="I112" s="3">
        <f t="shared" si="59"/>
        <v>6866025.7463512607</v>
      </c>
      <c r="J112" s="3">
        <f t="shared" si="50"/>
        <v>0.1909113084614309</v>
      </c>
      <c r="K112" s="3">
        <f t="shared" si="60"/>
        <v>17.18201776152878</v>
      </c>
      <c r="L112" s="3">
        <f t="shared" si="66"/>
        <v>17.182017761528783</v>
      </c>
      <c r="O112" s="9">
        <f t="shared" si="51"/>
        <v>1.7182017762511596E-2</v>
      </c>
      <c r="P112" s="9">
        <f t="shared" si="61"/>
        <v>57.200382156619547</v>
      </c>
      <c r="Q112" s="3">
        <f t="shared" si="52"/>
        <v>5238.0343940957591</v>
      </c>
      <c r="R112" s="3">
        <f t="shared" si="53"/>
        <v>57233.885211106477</v>
      </c>
      <c r="S112" s="3">
        <f t="shared" si="54"/>
        <v>57233.885211106477</v>
      </c>
      <c r="T112" s="3"/>
      <c r="U112" s="3"/>
      <c r="V112" s="3">
        <f t="shared" si="55"/>
        <v>1361.3568165555771</v>
      </c>
      <c r="W112" s="3">
        <f t="shared" si="62"/>
        <v>136135.68165555771</v>
      </c>
      <c r="X112" s="3">
        <f t="shared" si="56"/>
        <v>11.111111111111112</v>
      </c>
      <c r="Y112" s="3">
        <f t="shared" si="57"/>
        <v>11.111111111111111</v>
      </c>
      <c r="Z112" s="3">
        <f t="shared" si="63"/>
        <v>15126.186850617523</v>
      </c>
      <c r="AK112">
        <f t="shared" si="58"/>
        <v>100</v>
      </c>
      <c r="AL112" s="3">
        <f t="shared" si="69"/>
        <v>900</v>
      </c>
      <c r="AM112" s="3">
        <f t="shared" si="69"/>
        <v>1800</v>
      </c>
      <c r="AN112" s="3">
        <f t="shared" si="69"/>
        <v>2700</v>
      </c>
      <c r="AO112" s="3">
        <f t="shared" si="69"/>
        <v>3600</v>
      </c>
      <c r="AP112" s="3">
        <f t="shared" si="69"/>
        <v>4500</v>
      </c>
      <c r="AQ112" s="3">
        <f t="shared" si="69"/>
        <v>5400</v>
      </c>
      <c r="AR112" s="3">
        <f t="shared" si="69"/>
        <v>6300</v>
      </c>
      <c r="AS112" s="3">
        <f t="shared" si="69"/>
        <v>7200</v>
      </c>
      <c r="AT112" s="3">
        <f t="shared" si="69"/>
        <v>8100</v>
      </c>
      <c r="AU112" s="3">
        <f t="shared" si="69"/>
        <v>9000</v>
      </c>
      <c r="AV112" s="3">
        <f t="shared" si="70"/>
        <v>9900</v>
      </c>
      <c r="AW112" s="3">
        <f t="shared" si="70"/>
        <v>10800</v>
      </c>
      <c r="AX112" s="3">
        <f t="shared" si="70"/>
        <v>11700</v>
      </c>
      <c r="AY112" s="3">
        <f t="shared" si="70"/>
        <v>12600</v>
      </c>
      <c r="AZ112" s="3">
        <f t="shared" si="70"/>
        <v>13500</v>
      </c>
      <c r="BA112" s="3">
        <f t="shared" si="70"/>
        <v>14400</v>
      </c>
      <c r="BB112" s="3">
        <f t="shared" si="70"/>
        <v>15300</v>
      </c>
      <c r="BC112" s="3">
        <f t="shared" si="70"/>
        <v>16200</v>
      </c>
      <c r="BD112" s="3">
        <f t="shared" si="70"/>
        <v>17100</v>
      </c>
      <c r="BE112" s="3">
        <f t="shared" si="70"/>
        <v>18000</v>
      </c>
    </row>
    <row r="113" spans="1:57" x14ac:dyDescent="0.45">
      <c r="A113">
        <f t="shared" si="71"/>
        <v>101</v>
      </c>
      <c r="B113" s="3">
        <f t="shared" si="45"/>
        <v>88.226644446622885</v>
      </c>
      <c r="C113" s="3">
        <f t="shared" si="72"/>
        <v>8910.8910891089108</v>
      </c>
      <c r="D113" s="3">
        <f t="shared" si="46"/>
        <v>4.6667342856577858E-2</v>
      </c>
      <c r="E113" s="3">
        <f t="shared" si="47"/>
        <v>11.334444444444443</v>
      </c>
      <c r="F113" s="3"/>
      <c r="G113" s="3">
        <f t="shared" si="48"/>
        <v>13887200.885683442</v>
      </c>
      <c r="H113" s="3">
        <f t="shared" si="49"/>
        <v>891089.10891089111</v>
      </c>
      <c r="I113" s="3">
        <f t="shared" si="59"/>
        <v>7000544.7580778562</v>
      </c>
      <c r="J113" s="3">
        <f t="shared" si="50"/>
        <v>0.18364488483711602</v>
      </c>
      <c r="K113" s="3">
        <f t="shared" si="60"/>
        <v>16.202371958965241</v>
      </c>
      <c r="L113" s="3">
        <f t="shared" si="66"/>
        <v>16.202371958965248</v>
      </c>
      <c r="O113" s="9">
        <f t="shared" si="51"/>
        <v>1.6202371959892024E-2</v>
      </c>
      <c r="P113" s="9">
        <f t="shared" si="61"/>
        <v>60.719358281333037</v>
      </c>
      <c r="Q113" s="3">
        <f t="shared" si="52"/>
        <v>5445.2918785608999</v>
      </c>
      <c r="R113" s="3">
        <f t="shared" si="53"/>
        <v>60750.996204429488</v>
      </c>
      <c r="S113" s="3">
        <f t="shared" si="54"/>
        <v>60750.996204429503</v>
      </c>
      <c r="T113" s="3"/>
      <c r="U113" s="3"/>
      <c r="V113" s="3">
        <f t="shared" si="55"/>
        <v>1374.9703847211329</v>
      </c>
      <c r="W113" s="3">
        <f t="shared" si="62"/>
        <v>138872.00885683441</v>
      </c>
      <c r="X113" s="3">
        <f t="shared" si="56"/>
        <v>11.334444444444445</v>
      </c>
      <c r="Y113" s="3">
        <f t="shared" si="57"/>
        <v>11.334444444444443</v>
      </c>
      <c r="Z113" s="3">
        <f t="shared" si="63"/>
        <v>15584.525438378083</v>
      </c>
      <c r="AK113">
        <f t="shared" si="58"/>
        <v>101</v>
      </c>
      <c r="AL113" s="3">
        <f t="shared" ref="AL113:AU122" si="73">AL$12/(IMPROVED_MBPS*IMPROVED_KM^2/(DIST_RINGS_EM/$AK113)^2)*$AK113</f>
        <v>891.08910891089113</v>
      </c>
      <c r="AM113" s="3">
        <f t="shared" si="73"/>
        <v>1782.1782178217823</v>
      </c>
      <c r="AN113" s="3">
        <f t="shared" si="73"/>
        <v>2673.2673267326732</v>
      </c>
      <c r="AO113" s="3">
        <f t="shared" si="73"/>
        <v>3564.3564356435645</v>
      </c>
      <c r="AP113" s="3">
        <f t="shared" si="73"/>
        <v>4455.4455445544554</v>
      </c>
      <c r="AQ113" s="3">
        <f t="shared" si="73"/>
        <v>5346.5346534653463</v>
      </c>
      <c r="AR113" s="3">
        <f t="shared" si="73"/>
        <v>6237.6237623762381</v>
      </c>
      <c r="AS113" s="3">
        <f t="shared" si="73"/>
        <v>7128.712871287129</v>
      </c>
      <c r="AT113" s="3">
        <f t="shared" si="73"/>
        <v>8019.8019801980208</v>
      </c>
      <c r="AU113" s="3">
        <f t="shared" si="73"/>
        <v>8910.8910891089108</v>
      </c>
      <c r="AV113" s="3">
        <f t="shared" ref="AV113:BE122" si="74">AV$12/(IMPROVED_MBPS*IMPROVED_KM^2/(DIST_RINGS_EM/$AK113)^2)*$AK113</f>
        <v>9801.9801980198026</v>
      </c>
      <c r="AW113" s="3">
        <f t="shared" si="74"/>
        <v>10693.069306930693</v>
      </c>
      <c r="AX113" s="3">
        <f t="shared" si="74"/>
        <v>11584.158415841584</v>
      </c>
      <c r="AY113" s="3">
        <f t="shared" si="74"/>
        <v>12475.247524752476</v>
      </c>
      <c r="AZ113" s="3">
        <f t="shared" si="74"/>
        <v>13366.336633663368</v>
      </c>
      <c r="BA113" s="3">
        <f t="shared" si="74"/>
        <v>14257.425742574258</v>
      </c>
      <c r="BB113" s="3">
        <f t="shared" si="74"/>
        <v>15148.51485148515</v>
      </c>
      <c r="BC113" s="3">
        <f t="shared" si="74"/>
        <v>16039.603960396042</v>
      </c>
      <c r="BD113" s="3">
        <f t="shared" si="74"/>
        <v>16930.693069306933</v>
      </c>
      <c r="BE113" s="3">
        <f t="shared" si="74"/>
        <v>17821.782178217822</v>
      </c>
    </row>
    <row r="114" spans="1:57" x14ac:dyDescent="0.45">
      <c r="A114">
        <f t="shared" si="71"/>
        <v>102</v>
      </c>
      <c r="B114" s="3">
        <f t="shared" si="45"/>
        <v>86.505190311418687</v>
      </c>
      <c r="C114" s="3">
        <f t="shared" si="72"/>
        <v>8823.5294117647063</v>
      </c>
      <c r="D114" s="3">
        <f t="shared" si="46"/>
        <v>4.4863988624099793E-2</v>
      </c>
      <c r="E114" s="3">
        <f t="shared" si="47"/>
        <v>11.56</v>
      </c>
      <c r="F114" s="3"/>
      <c r="G114" s="3">
        <f t="shared" si="48"/>
        <v>14163556.319444224</v>
      </c>
      <c r="H114" s="3">
        <f t="shared" si="49"/>
        <v>882352.9411764706</v>
      </c>
      <c r="I114" s="3">
        <f t="shared" si="59"/>
        <v>7136534.7765088249</v>
      </c>
      <c r="J114" s="3">
        <f t="shared" si="50"/>
        <v>0.17671268941418053</v>
      </c>
      <c r="K114" s="3">
        <f t="shared" si="60"/>
        <v>15.286564828216308</v>
      </c>
      <c r="L114" s="3">
        <f t="shared" si="66"/>
        <v>15.286564828216308</v>
      </c>
      <c r="O114" s="9">
        <f t="shared" si="51"/>
        <v>1.5286564829090707E-2</v>
      </c>
      <c r="P114" s="9">
        <f t="shared" si="61"/>
        <v>64.416920752331194</v>
      </c>
      <c r="Q114" s="3">
        <f t="shared" si="52"/>
        <v>5658.9031792674041</v>
      </c>
      <c r="R114" s="3">
        <f t="shared" si="53"/>
        <v>64446.810279234705</v>
      </c>
      <c r="S114" s="3">
        <f t="shared" si="54"/>
        <v>64446.81027923472</v>
      </c>
      <c r="T114" s="3"/>
      <c r="U114" s="3"/>
      <c r="V114" s="3">
        <f t="shared" si="55"/>
        <v>1388.5839528866888</v>
      </c>
      <c r="W114" s="3">
        <f t="shared" si="62"/>
        <v>141635.56319444225</v>
      </c>
      <c r="X114" s="3">
        <f t="shared" si="56"/>
        <v>11.560000000000006</v>
      </c>
      <c r="Y114" s="3">
        <f t="shared" si="57"/>
        <v>11.56</v>
      </c>
      <c r="Z114" s="3">
        <f t="shared" si="63"/>
        <v>16052.030495370123</v>
      </c>
      <c r="AK114">
        <f t="shared" si="58"/>
        <v>102</v>
      </c>
      <c r="AL114" s="3">
        <f t="shared" si="73"/>
        <v>882.35294117647061</v>
      </c>
      <c r="AM114" s="3">
        <f t="shared" si="73"/>
        <v>1764.7058823529412</v>
      </c>
      <c r="AN114" s="3">
        <f t="shared" si="73"/>
        <v>2647.0588235294117</v>
      </c>
      <c r="AO114" s="3">
        <f t="shared" si="73"/>
        <v>3529.4117647058824</v>
      </c>
      <c r="AP114" s="3">
        <f t="shared" si="73"/>
        <v>4411.7647058823532</v>
      </c>
      <c r="AQ114" s="3">
        <f t="shared" si="73"/>
        <v>5294.1176470588234</v>
      </c>
      <c r="AR114" s="3">
        <f t="shared" si="73"/>
        <v>6176.4705882352937</v>
      </c>
      <c r="AS114" s="3">
        <f t="shared" si="73"/>
        <v>7058.8235294117649</v>
      </c>
      <c r="AT114" s="3">
        <f t="shared" si="73"/>
        <v>7941.1764705882351</v>
      </c>
      <c r="AU114" s="3">
        <f t="shared" si="73"/>
        <v>8823.5294117647063</v>
      </c>
      <c r="AV114" s="3">
        <f t="shared" si="74"/>
        <v>9705.8823529411766</v>
      </c>
      <c r="AW114" s="3">
        <f t="shared" si="74"/>
        <v>10588.235294117647</v>
      </c>
      <c r="AX114" s="3">
        <f t="shared" si="74"/>
        <v>11470.588235294117</v>
      </c>
      <c r="AY114" s="3">
        <f t="shared" si="74"/>
        <v>12352.941176470587</v>
      </c>
      <c r="AZ114" s="3">
        <f t="shared" si="74"/>
        <v>13235.294117647059</v>
      </c>
      <c r="BA114" s="3">
        <f t="shared" si="74"/>
        <v>14117.64705882353</v>
      </c>
      <c r="BB114" s="3">
        <f t="shared" si="74"/>
        <v>15000</v>
      </c>
      <c r="BC114" s="3">
        <f t="shared" si="74"/>
        <v>15882.35294117647</v>
      </c>
      <c r="BD114" s="3">
        <f t="shared" si="74"/>
        <v>16764.705882352941</v>
      </c>
      <c r="BE114" s="3">
        <f t="shared" si="74"/>
        <v>17647.058823529413</v>
      </c>
    </row>
    <row r="115" spans="1:57" x14ac:dyDescent="0.45">
      <c r="A115">
        <f t="shared" ref="A115:A145" si="75">A114+1</f>
        <v>103</v>
      </c>
      <c r="B115" s="3">
        <f t="shared" si="45"/>
        <v>84.833631822037887</v>
      </c>
      <c r="C115" s="3">
        <f t="shared" ref="C115:C145" si="76">B115*A115</f>
        <v>8737.8640776699031</v>
      </c>
      <c r="D115" s="3">
        <f t="shared" si="46"/>
        <v>4.3146907142023842E-2</v>
      </c>
      <c r="E115" s="3">
        <f t="shared" si="47"/>
        <v>11.787777777777778</v>
      </c>
      <c r="F115" s="3"/>
      <c r="G115" s="3">
        <f t="shared" si="48"/>
        <v>14442634.466838118</v>
      </c>
      <c r="H115" s="3">
        <f t="shared" si="49"/>
        <v>873786.40776699025</v>
      </c>
      <c r="I115" s="3">
        <f t="shared" si="59"/>
        <v>7273989.6392607978</v>
      </c>
      <c r="J115" s="3">
        <f t="shared" si="50"/>
        <v>0.17009719549830346</v>
      </c>
      <c r="K115" s="3">
        <f t="shared" si="60"/>
        <v>14.429962856864275</v>
      </c>
      <c r="L115" s="3">
        <f t="shared" si="66"/>
        <v>14.429962856864279</v>
      </c>
      <c r="O115" s="9">
        <f t="shared" si="51"/>
        <v>1.4429962857689676E-2</v>
      </c>
      <c r="P115" s="9">
        <f t="shared" si="61"/>
        <v>68.300247676459094</v>
      </c>
      <c r="Q115" s="3">
        <f t="shared" si="52"/>
        <v>5878.9916965607672</v>
      </c>
      <c r="R115" s="3">
        <f t="shared" si="53"/>
        <v>68328.497615035958</v>
      </c>
      <c r="S115" s="3">
        <f t="shared" si="54"/>
        <v>68328.497615035943</v>
      </c>
      <c r="T115" s="3"/>
      <c r="U115" s="3"/>
      <c r="V115" s="3">
        <f t="shared" si="55"/>
        <v>1402.1975210522444</v>
      </c>
      <c r="W115" s="3">
        <f t="shared" si="62"/>
        <v>144426.34466838118</v>
      </c>
      <c r="X115" s="3">
        <f t="shared" si="56"/>
        <v>11.787777777777777</v>
      </c>
      <c r="Y115" s="3">
        <f t="shared" si="57"/>
        <v>11.787777777777778</v>
      </c>
      <c r="Z115" s="3">
        <f t="shared" si="63"/>
        <v>16528.792778714735</v>
      </c>
      <c r="AK115">
        <f t="shared" si="58"/>
        <v>103</v>
      </c>
      <c r="AL115" s="3">
        <f t="shared" si="73"/>
        <v>873.78640776699024</v>
      </c>
      <c r="AM115" s="3">
        <f t="shared" si="73"/>
        <v>1747.5728155339805</v>
      </c>
      <c r="AN115" s="3">
        <f t="shared" si="73"/>
        <v>2621.3592233009708</v>
      </c>
      <c r="AO115" s="3">
        <f t="shared" si="73"/>
        <v>3495.1456310679609</v>
      </c>
      <c r="AP115" s="3">
        <f t="shared" si="73"/>
        <v>4368.9320388349515</v>
      </c>
      <c r="AQ115" s="3">
        <f t="shared" si="73"/>
        <v>5242.7184466019417</v>
      </c>
      <c r="AR115" s="3">
        <f t="shared" si="73"/>
        <v>6116.5048543689318</v>
      </c>
      <c r="AS115" s="3">
        <f t="shared" si="73"/>
        <v>6990.2912621359219</v>
      </c>
      <c r="AT115" s="3">
        <f t="shared" si="73"/>
        <v>7864.077669902912</v>
      </c>
      <c r="AU115" s="3">
        <f t="shared" si="73"/>
        <v>8737.8640776699031</v>
      </c>
      <c r="AV115" s="3">
        <f t="shared" si="74"/>
        <v>9611.6504854368923</v>
      </c>
      <c r="AW115" s="3">
        <f t="shared" si="74"/>
        <v>10485.436893203883</v>
      </c>
      <c r="AX115" s="3">
        <f t="shared" si="74"/>
        <v>11359.223300970873</v>
      </c>
      <c r="AY115" s="3">
        <f t="shared" si="74"/>
        <v>12233.009708737864</v>
      </c>
      <c r="AZ115" s="3">
        <f t="shared" si="74"/>
        <v>13106.796116504853</v>
      </c>
      <c r="BA115" s="3">
        <f t="shared" si="74"/>
        <v>13980.582524271844</v>
      </c>
      <c r="BB115" s="3">
        <f t="shared" si="74"/>
        <v>14854.368932038835</v>
      </c>
      <c r="BC115" s="3">
        <f t="shared" si="74"/>
        <v>15728.155339805824</v>
      </c>
      <c r="BD115" s="3">
        <f t="shared" si="74"/>
        <v>16601.941747572815</v>
      </c>
      <c r="BE115" s="3">
        <f t="shared" si="74"/>
        <v>17475.728155339806</v>
      </c>
    </row>
    <row r="116" spans="1:57" x14ac:dyDescent="0.45">
      <c r="A116">
        <f t="shared" si="75"/>
        <v>104</v>
      </c>
      <c r="B116" s="3">
        <f t="shared" si="45"/>
        <v>83.210059171597635</v>
      </c>
      <c r="C116" s="3">
        <f t="shared" si="76"/>
        <v>8653.8461538461543</v>
      </c>
      <c r="D116" s="3">
        <f t="shared" si="46"/>
        <v>4.1511192697175084E-2</v>
      </c>
      <c r="E116" s="3">
        <f t="shared" si="47"/>
        <v>12.017777777777779</v>
      </c>
      <c r="F116" s="3"/>
      <c r="G116" s="3">
        <f t="shared" si="48"/>
        <v>14724435.327865122</v>
      </c>
      <c r="H116" s="3">
        <f t="shared" si="49"/>
        <v>865384.61538461538</v>
      </c>
      <c r="I116" s="3">
        <f t="shared" si="59"/>
        <v>7412903.5784680881</v>
      </c>
      <c r="J116" s="3">
        <f t="shared" si="50"/>
        <v>0.16378186308495052</v>
      </c>
      <c r="K116" s="3">
        <f t="shared" si="60"/>
        <v>13.628298518533235</v>
      </c>
      <c r="L116" s="3">
        <f t="shared" si="66"/>
        <v>13.628298518533233</v>
      </c>
      <c r="O116" s="9">
        <f t="shared" si="51"/>
        <v>1.3628298519312779E-2</v>
      </c>
      <c r="P116" s="9">
        <f t="shared" si="61"/>
        <v>72.376731408025108</v>
      </c>
      <c r="Q116" s="3">
        <f t="shared" si="52"/>
        <v>6105.6821622801963</v>
      </c>
      <c r="R116" s="3">
        <f t="shared" si="53"/>
        <v>72403.443199414658</v>
      </c>
      <c r="S116" s="3">
        <f t="shared" si="54"/>
        <v>72403.443199414643</v>
      </c>
      <c r="T116" s="3"/>
      <c r="U116" s="3"/>
      <c r="V116" s="3">
        <f t="shared" si="55"/>
        <v>1415.8110892178001</v>
      </c>
      <c r="W116" s="3">
        <f t="shared" si="62"/>
        <v>147244.35327865122</v>
      </c>
      <c r="X116" s="3">
        <f t="shared" si="56"/>
        <v>12.017777777777779</v>
      </c>
      <c r="Y116" s="3">
        <f t="shared" si="57"/>
        <v>12.017777777777779</v>
      </c>
      <c r="Z116" s="3">
        <f t="shared" si="63"/>
        <v>17014.903045533032</v>
      </c>
      <c r="AK116">
        <f t="shared" si="58"/>
        <v>104</v>
      </c>
      <c r="AL116" s="3">
        <f t="shared" si="73"/>
        <v>865.38461538461536</v>
      </c>
      <c r="AM116" s="3">
        <f t="shared" si="73"/>
        <v>1730.7692307692307</v>
      </c>
      <c r="AN116" s="3">
        <f t="shared" si="73"/>
        <v>2596.1538461538462</v>
      </c>
      <c r="AO116" s="3">
        <f t="shared" si="73"/>
        <v>3461.5384615384614</v>
      </c>
      <c r="AP116" s="3">
        <f t="shared" si="73"/>
        <v>4326.9230769230762</v>
      </c>
      <c r="AQ116" s="3">
        <f t="shared" si="73"/>
        <v>5192.3076923076924</v>
      </c>
      <c r="AR116" s="3">
        <f t="shared" si="73"/>
        <v>6057.6923076923067</v>
      </c>
      <c r="AS116" s="3">
        <f t="shared" si="73"/>
        <v>6923.0769230769229</v>
      </c>
      <c r="AT116" s="3">
        <f t="shared" si="73"/>
        <v>7788.4615384615381</v>
      </c>
      <c r="AU116" s="3">
        <f t="shared" si="73"/>
        <v>8653.8461538461524</v>
      </c>
      <c r="AV116" s="3">
        <f t="shared" si="74"/>
        <v>9519.2307692307677</v>
      </c>
      <c r="AW116" s="3">
        <f t="shared" si="74"/>
        <v>10384.615384615385</v>
      </c>
      <c r="AX116" s="3">
        <f t="shared" si="74"/>
        <v>11250</v>
      </c>
      <c r="AY116" s="3">
        <f t="shared" si="74"/>
        <v>12115.384615384613</v>
      </c>
      <c r="AZ116" s="3">
        <f t="shared" si="74"/>
        <v>12980.76923076923</v>
      </c>
      <c r="BA116" s="3">
        <f t="shared" si="74"/>
        <v>13846.153846153846</v>
      </c>
      <c r="BB116" s="3">
        <f t="shared" si="74"/>
        <v>14711.538461538461</v>
      </c>
      <c r="BC116" s="3">
        <f t="shared" si="74"/>
        <v>15576.923076923076</v>
      </c>
      <c r="BD116" s="3">
        <f t="shared" si="74"/>
        <v>16442.307692307691</v>
      </c>
      <c r="BE116" s="3">
        <f t="shared" si="74"/>
        <v>17307.692307692305</v>
      </c>
    </row>
    <row r="117" spans="1:57" x14ac:dyDescent="0.45">
      <c r="A117">
        <f t="shared" si="75"/>
        <v>105</v>
      </c>
      <c r="B117" s="3">
        <f t="shared" si="45"/>
        <v>81.632653061224488</v>
      </c>
      <c r="C117" s="3">
        <f t="shared" si="76"/>
        <v>8571.4285714285706</v>
      </c>
      <c r="D117" s="3">
        <f t="shared" si="46"/>
        <v>3.9952261958833828E-2</v>
      </c>
      <c r="E117" s="3">
        <f t="shared" si="47"/>
        <v>12.25</v>
      </c>
      <c r="F117" s="3"/>
      <c r="G117" s="3">
        <f t="shared" si="48"/>
        <v>15008958.902525239</v>
      </c>
      <c r="H117" s="3">
        <f t="shared" si="49"/>
        <v>857142.85714285716</v>
      </c>
      <c r="I117" s="3">
        <f t="shared" si="59"/>
        <v>7553271.1927994434</v>
      </c>
      <c r="J117" s="3">
        <f t="shared" si="50"/>
        <v>0.15775108452005837</v>
      </c>
      <c r="K117" s="3">
        <f t="shared" si="60"/>
        <v>12.877639552657826</v>
      </c>
      <c r="L117" s="3">
        <f t="shared" si="66"/>
        <v>12.877639552657827</v>
      </c>
      <c r="O117" s="9">
        <f t="shared" si="51"/>
        <v>1.2877639553394432E-2</v>
      </c>
      <c r="P117" s="9">
        <f t="shared" si="61"/>
        <v>76.653982770189344</v>
      </c>
      <c r="Q117" s="3">
        <f t="shared" si="52"/>
        <v>6339.1006343011704</v>
      </c>
      <c r="R117" s="3">
        <f t="shared" si="53"/>
        <v>76679.251010669424</v>
      </c>
      <c r="S117" s="3">
        <f t="shared" si="54"/>
        <v>76679.25101066941</v>
      </c>
      <c r="T117" s="3"/>
      <c r="U117" s="3"/>
      <c r="V117" s="3">
        <f t="shared" si="55"/>
        <v>1429.4246573833561</v>
      </c>
      <c r="W117" s="3">
        <f t="shared" si="62"/>
        <v>150089.58902525238</v>
      </c>
      <c r="X117" s="3">
        <f t="shared" si="56"/>
        <v>12.250000000000004</v>
      </c>
      <c r="Y117" s="3">
        <f t="shared" si="57"/>
        <v>12.25</v>
      </c>
      <c r="Z117" s="3">
        <f t="shared" si="63"/>
        <v>17510.452052946112</v>
      </c>
      <c r="AK117">
        <f t="shared" si="58"/>
        <v>105</v>
      </c>
      <c r="AL117" s="3">
        <f t="shared" si="73"/>
        <v>857.14285714285711</v>
      </c>
      <c r="AM117" s="3">
        <f t="shared" si="73"/>
        <v>1714.2857142857142</v>
      </c>
      <c r="AN117" s="3">
        <f t="shared" si="73"/>
        <v>2571.4285714285711</v>
      </c>
      <c r="AO117" s="3">
        <f t="shared" si="73"/>
        <v>3428.5714285714284</v>
      </c>
      <c r="AP117" s="3">
        <f t="shared" si="73"/>
        <v>4285.7142857142853</v>
      </c>
      <c r="AQ117" s="3">
        <f t="shared" si="73"/>
        <v>5142.8571428571422</v>
      </c>
      <c r="AR117" s="3">
        <f t="shared" si="73"/>
        <v>6000</v>
      </c>
      <c r="AS117" s="3">
        <f t="shared" si="73"/>
        <v>6857.1428571428569</v>
      </c>
      <c r="AT117" s="3">
        <f t="shared" si="73"/>
        <v>7714.2857142857147</v>
      </c>
      <c r="AU117" s="3">
        <f t="shared" si="73"/>
        <v>8571.4285714285706</v>
      </c>
      <c r="AV117" s="3">
        <f t="shared" si="74"/>
        <v>9428.5714285714294</v>
      </c>
      <c r="AW117" s="3">
        <f t="shared" si="74"/>
        <v>10285.714285714284</v>
      </c>
      <c r="AX117" s="3">
        <f t="shared" si="74"/>
        <v>11142.857142857143</v>
      </c>
      <c r="AY117" s="3">
        <f t="shared" si="74"/>
        <v>12000</v>
      </c>
      <c r="AZ117" s="3">
        <f t="shared" si="74"/>
        <v>12857.142857142857</v>
      </c>
      <c r="BA117" s="3">
        <f t="shared" si="74"/>
        <v>13714.285714285714</v>
      </c>
      <c r="BB117" s="3">
        <f t="shared" si="74"/>
        <v>14571.428571428571</v>
      </c>
      <c r="BC117" s="3">
        <f t="shared" si="74"/>
        <v>15428.571428571429</v>
      </c>
      <c r="BD117" s="3">
        <f t="shared" si="74"/>
        <v>16285.714285714286</v>
      </c>
      <c r="BE117" s="3">
        <f t="shared" si="74"/>
        <v>17142.857142857141</v>
      </c>
    </row>
    <row r="118" spans="1:57" x14ac:dyDescent="0.45">
      <c r="A118">
        <f t="shared" si="75"/>
        <v>106</v>
      </c>
      <c r="B118" s="3">
        <f t="shared" si="45"/>
        <v>80.099679601281593</v>
      </c>
      <c r="C118" s="3">
        <f t="shared" si="76"/>
        <v>8490.566037735849</v>
      </c>
      <c r="D118" s="3">
        <f t="shared" si="46"/>
        <v>3.8465829992334874E-2</v>
      </c>
      <c r="E118" s="3">
        <f t="shared" si="47"/>
        <v>12.484444444444444</v>
      </c>
      <c r="F118" s="3"/>
      <c r="G118" s="3">
        <f t="shared" si="48"/>
        <v>15296205.190818464</v>
      </c>
      <c r="H118" s="3">
        <f t="shared" si="49"/>
        <v>849056.60377358494</v>
      </c>
      <c r="I118" s="3">
        <f t="shared" si="59"/>
        <v>7695087.4216162721</v>
      </c>
      <c r="J118" s="3">
        <f t="shared" si="50"/>
        <v>0.15199013238178549</v>
      </c>
      <c r="K118" s="3">
        <f t="shared" si="60"/>
        <v>12.174360906337393</v>
      </c>
      <c r="L118" s="3">
        <f t="shared" si="66"/>
        <v>12.174360906337391</v>
      </c>
      <c r="O118" s="9">
        <f t="shared" si="51"/>
        <v>1.2174360907033771E-2</v>
      </c>
      <c r="P118" s="9">
        <f t="shared" si="61"/>
        <v>81.139835317535827</v>
      </c>
      <c r="Q118" s="3">
        <f t="shared" si="52"/>
        <v>6579.3744914366534</v>
      </c>
      <c r="R118" s="3">
        <f t="shared" si="53"/>
        <v>81163.748243889975</v>
      </c>
      <c r="S118" s="3">
        <f t="shared" si="54"/>
        <v>81163.748243890004</v>
      </c>
      <c r="T118" s="3"/>
      <c r="U118" s="3"/>
      <c r="V118" s="3">
        <f t="shared" si="55"/>
        <v>1443.0382255489117</v>
      </c>
      <c r="W118" s="3">
        <f t="shared" si="62"/>
        <v>152962.05190818463</v>
      </c>
      <c r="X118" s="3">
        <f t="shared" si="56"/>
        <v>12.484444444444446</v>
      </c>
      <c r="Y118" s="3">
        <f t="shared" si="57"/>
        <v>12.484444444444444</v>
      </c>
      <c r="Z118" s="3">
        <f t="shared" si="63"/>
        <v>18015.530558075079</v>
      </c>
      <c r="AK118">
        <f t="shared" si="58"/>
        <v>106</v>
      </c>
      <c r="AL118" s="3">
        <f t="shared" si="73"/>
        <v>849.05660377358492</v>
      </c>
      <c r="AM118" s="3">
        <f t="shared" si="73"/>
        <v>1698.1132075471698</v>
      </c>
      <c r="AN118" s="3">
        <f t="shared" si="73"/>
        <v>2547.1698113207549</v>
      </c>
      <c r="AO118" s="3">
        <f t="shared" si="73"/>
        <v>3396.2264150943397</v>
      </c>
      <c r="AP118" s="3">
        <f t="shared" si="73"/>
        <v>4245.2830188679245</v>
      </c>
      <c r="AQ118" s="3">
        <f t="shared" si="73"/>
        <v>5094.3396226415098</v>
      </c>
      <c r="AR118" s="3">
        <f t="shared" si="73"/>
        <v>5943.396226415095</v>
      </c>
      <c r="AS118" s="3">
        <f t="shared" si="73"/>
        <v>6792.4528301886794</v>
      </c>
      <c r="AT118" s="3">
        <f t="shared" si="73"/>
        <v>7641.5094339622647</v>
      </c>
      <c r="AU118" s="3">
        <f t="shared" si="73"/>
        <v>8490.566037735849</v>
      </c>
      <c r="AV118" s="3">
        <f t="shared" si="74"/>
        <v>9339.6226415094352</v>
      </c>
      <c r="AW118" s="3">
        <f t="shared" si="74"/>
        <v>10188.67924528302</v>
      </c>
      <c r="AX118" s="3">
        <f t="shared" si="74"/>
        <v>11037.735849056604</v>
      </c>
      <c r="AY118" s="3">
        <f t="shared" si="74"/>
        <v>11886.79245283019</v>
      </c>
      <c r="AZ118" s="3">
        <f t="shared" si="74"/>
        <v>12735.849056603774</v>
      </c>
      <c r="BA118" s="3">
        <f t="shared" si="74"/>
        <v>13584.905660377359</v>
      </c>
      <c r="BB118" s="3">
        <f t="shared" si="74"/>
        <v>14433.962264150945</v>
      </c>
      <c r="BC118" s="3">
        <f t="shared" si="74"/>
        <v>15283.018867924529</v>
      </c>
      <c r="BD118" s="3">
        <f t="shared" si="74"/>
        <v>16132.075471698116</v>
      </c>
      <c r="BE118" s="3">
        <f t="shared" si="74"/>
        <v>16981.132075471698</v>
      </c>
    </row>
    <row r="119" spans="1:57" x14ac:dyDescent="0.45">
      <c r="A119">
        <f t="shared" si="75"/>
        <v>107</v>
      </c>
      <c r="B119" s="3">
        <f t="shared" si="45"/>
        <v>78.609485544589049</v>
      </c>
      <c r="C119" s="3">
        <f t="shared" si="76"/>
        <v>8411.2149532710282</v>
      </c>
      <c r="D119" s="3">
        <f t="shared" si="46"/>
        <v>3.704788826188124E-2</v>
      </c>
      <c r="E119" s="3">
        <f t="shared" si="47"/>
        <v>12.72111111111111</v>
      </c>
      <c r="F119" s="3"/>
      <c r="G119" s="3">
        <f t="shared" si="48"/>
        <v>15586174.192744803</v>
      </c>
      <c r="H119" s="3">
        <f t="shared" si="49"/>
        <v>841121.49532710284</v>
      </c>
      <c r="I119" s="3">
        <f t="shared" si="59"/>
        <v>7838347.5211008172</v>
      </c>
      <c r="J119" s="3">
        <f t="shared" si="50"/>
        <v>0.14648510966300507</v>
      </c>
      <c r="K119" s="3">
        <f t="shared" si="60"/>
        <v>11.515119110551538</v>
      </c>
      <c r="L119" s="3">
        <f t="shared" si="66"/>
        <v>11.515119110551543</v>
      </c>
      <c r="O119" s="9">
        <f t="shared" si="51"/>
        <v>1.1515119111210207E-2</v>
      </c>
      <c r="P119" s="9">
        <f t="shared" si="61"/>
        <v>85.84234963982955</v>
      </c>
      <c r="Q119" s="3">
        <f t="shared" si="52"/>
        <v>6826.6324286703293</v>
      </c>
      <c r="R119" s="3">
        <f t="shared" si="53"/>
        <v>85864.989580424764</v>
      </c>
      <c r="S119" s="3">
        <f t="shared" si="54"/>
        <v>85864.989580424808</v>
      </c>
      <c r="T119" s="3"/>
      <c r="U119" s="3"/>
      <c r="V119" s="3">
        <f t="shared" si="55"/>
        <v>1456.6517937144674</v>
      </c>
      <c r="W119" s="3">
        <f t="shared" si="62"/>
        <v>155861.74192744802</v>
      </c>
      <c r="X119" s="3">
        <f t="shared" si="56"/>
        <v>12.72111111111111</v>
      </c>
      <c r="Y119" s="3">
        <f t="shared" si="57"/>
        <v>12.72111111111111</v>
      </c>
      <c r="Z119" s="3">
        <f t="shared" si="63"/>
        <v>18530.229318041042</v>
      </c>
      <c r="AK119">
        <f t="shared" si="58"/>
        <v>107</v>
      </c>
      <c r="AL119" s="3">
        <f t="shared" si="73"/>
        <v>841.12149532710282</v>
      </c>
      <c r="AM119" s="3">
        <f t="shared" si="73"/>
        <v>1682.2429906542056</v>
      </c>
      <c r="AN119" s="3">
        <f t="shared" si="73"/>
        <v>2523.3644859813085</v>
      </c>
      <c r="AO119" s="3">
        <f t="shared" si="73"/>
        <v>3364.4859813084113</v>
      </c>
      <c r="AP119" s="3">
        <f t="shared" si="73"/>
        <v>4205.6074766355141</v>
      </c>
      <c r="AQ119" s="3">
        <f t="shared" si="73"/>
        <v>5046.7289719626169</v>
      </c>
      <c r="AR119" s="3">
        <f t="shared" si="73"/>
        <v>5887.8504672897207</v>
      </c>
      <c r="AS119" s="3">
        <f t="shared" si="73"/>
        <v>6728.9719626168226</v>
      </c>
      <c r="AT119" s="3">
        <f t="shared" si="73"/>
        <v>7570.0934579439263</v>
      </c>
      <c r="AU119" s="3">
        <f t="shared" si="73"/>
        <v>8411.2149532710282</v>
      </c>
      <c r="AV119" s="3">
        <f t="shared" si="74"/>
        <v>9252.3364485981328</v>
      </c>
      <c r="AW119" s="3">
        <f t="shared" si="74"/>
        <v>10093.457943925234</v>
      </c>
      <c r="AX119" s="3">
        <f t="shared" si="74"/>
        <v>10934.579439252337</v>
      </c>
      <c r="AY119" s="3">
        <f t="shared" si="74"/>
        <v>11775.700934579441</v>
      </c>
      <c r="AZ119" s="3">
        <f t="shared" si="74"/>
        <v>12616.822429906542</v>
      </c>
      <c r="BA119" s="3">
        <f t="shared" si="74"/>
        <v>13457.943925233645</v>
      </c>
      <c r="BB119" s="3">
        <f t="shared" si="74"/>
        <v>14299.06542056075</v>
      </c>
      <c r="BC119" s="3">
        <f t="shared" si="74"/>
        <v>15140.186915887853</v>
      </c>
      <c r="BD119" s="3">
        <f t="shared" si="74"/>
        <v>15981.308411214954</v>
      </c>
      <c r="BE119" s="3">
        <f t="shared" si="74"/>
        <v>16822.429906542056</v>
      </c>
    </row>
    <row r="120" spans="1:57" x14ac:dyDescent="0.45">
      <c r="A120">
        <f t="shared" si="75"/>
        <v>108</v>
      </c>
      <c r="B120" s="3">
        <f t="shared" si="45"/>
        <v>77.160493827160494</v>
      </c>
      <c r="C120" s="3">
        <f t="shared" si="76"/>
        <v>8333.3333333333339</v>
      </c>
      <c r="D120" s="3">
        <f t="shared" si="46"/>
        <v>3.5694684440952577E-2</v>
      </c>
      <c r="E120" s="3">
        <f t="shared" si="47"/>
        <v>12.959999999999999</v>
      </c>
      <c r="F120" s="3"/>
      <c r="G120" s="3">
        <f t="shared" si="48"/>
        <v>15878865.908304252</v>
      </c>
      <c r="H120" s="3">
        <f t="shared" si="49"/>
        <v>833333.33333333337</v>
      </c>
      <c r="I120" s="3">
        <f t="shared" si="59"/>
        <v>7983047.0421964312</v>
      </c>
      <c r="J120" s="3">
        <f t="shared" si="50"/>
        <v>0.14122290229063145</v>
      </c>
      <c r="K120" s="3">
        <f t="shared" si="60"/>
        <v>10.896828880449958</v>
      </c>
      <c r="L120" s="3">
        <f t="shared" si="66"/>
        <v>10.896828880449958</v>
      </c>
      <c r="O120" s="9">
        <f t="shared" si="51"/>
        <v>1.089682888107326E-2</v>
      </c>
      <c r="P120" s="9">
        <f t="shared" si="61"/>
        <v>90.769817706957241</v>
      </c>
      <c r="Q120" s="3">
        <f t="shared" si="52"/>
        <v>7081.0044526973179</v>
      </c>
      <c r="R120" s="3">
        <f t="shared" si="53"/>
        <v>90791.261500687222</v>
      </c>
      <c r="S120" s="3">
        <f t="shared" si="54"/>
        <v>90791.261500687207</v>
      </c>
      <c r="T120" s="3"/>
      <c r="U120" s="3"/>
      <c r="V120" s="3">
        <f t="shared" si="55"/>
        <v>1470.2653618800234</v>
      </c>
      <c r="W120" s="3">
        <f t="shared" si="62"/>
        <v>158788.65908304253</v>
      </c>
      <c r="X120" s="3">
        <f t="shared" si="56"/>
        <v>12.96</v>
      </c>
      <c r="Y120" s="3">
        <f t="shared" si="57"/>
        <v>12.959999999999999</v>
      </c>
      <c r="Z120" s="3">
        <f t="shared" si="63"/>
        <v>19054.639089965101</v>
      </c>
      <c r="AK120">
        <f t="shared" si="58"/>
        <v>108</v>
      </c>
      <c r="AL120" s="3">
        <f t="shared" si="73"/>
        <v>833.33333333333337</v>
      </c>
      <c r="AM120" s="3">
        <f t="shared" si="73"/>
        <v>1666.6666666666667</v>
      </c>
      <c r="AN120" s="3">
        <f t="shared" si="73"/>
        <v>2500</v>
      </c>
      <c r="AO120" s="3">
        <f t="shared" si="73"/>
        <v>3333.3333333333335</v>
      </c>
      <c r="AP120" s="3">
        <f t="shared" si="73"/>
        <v>4166.666666666667</v>
      </c>
      <c r="AQ120" s="3">
        <f t="shared" si="73"/>
        <v>5000</v>
      </c>
      <c r="AR120" s="3">
        <f t="shared" si="73"/>
        <v>5833.3333333333339</v>
      </c>
      <c r="AS120" s="3">
        <f t="shared" si="73"/>
        <v>6666.666666666667</v>
      </c>
      <c r="AT120" s="3">
        <f t="shared" si="73"/>
        <v>7500</v>
      </c>
      <c r="AU120" s="3">
        <f t="shared" si="73"/>
        <v>8333.3333333333339</v>
      </c>
      <c r="AV120" s="3">
        <f t="shared" si="74"/>
        <v>9166.6666666666661</v>
      </c>
      <c r="AW120" s="3">
        <f t="shared" si="74"/>
        <v>10000</v>
      </c>
      <c r="AX120" s="3">
        <f t="shared" si="74"/>
        <v>10833.333333333334</v>
      </c>
      <c r="AY120" s="3">
        <f t="shared" si="74"/>
        <v>11666.666666666668</v>
      </c>
      <c r="AZ120" s="3">
        <f t="shared" si="74"/>
        <v>12500</v>
      </c>
      <c r="BA120" s="3">
        <f t="shared" si="74"/>
        <v>13333.333333333334</v>
      </c>
      <c r="BB120" s="3">
        <f t="shared" si="74"/>
        <v>14166.666666666666</v>
      </c>
      <c r="BC120" s="3">
        <f t="shared" si="74"/>
        <v>15000</v>
      </c>
      <c r="BD120" s="3">
        <f t="shared" si="74"/>
        <v>15833.333333333334</v>
      </c>
      <c r="BE120" s="3">
        <f t="shared" si="74"/>
        <v>16666.666666666668</v>
      </c>
    </row>
    <row r="121" spans="1:57" x14ac:dyDescent="0.45">
      <c r="A121">
        <f t="shared" si="75"/>
        <v>109</v>
      </c>
      <c r="B121" s="3">
        <f t="shared" si="45"/>
        <v>75.751199393990404</v>
      </c>
      <c r="C121" s="3">
        <f t="shared" si="76"/>
        <v>8256.880733944954</v>
      </c>
      <c r="D121" s="3">
        <f t="shared" si="46"/>
        <v>3.4402703866763862E-2</v>
      </c>
      <c r="E121" s="3">
        <f t="shared" si="47"/>
        <v>13.201111111111111</v>
      </c>
      <c r="F121" s="3"/>
      <c r="G121" s="3">
        <f t="shared" si="48"/>
        <v>16174280.337496812</v>
      </c>
      <c r="H121" s="3">
        <f t="shared" si="49"/>
        <v>825688.07339449541</v>
      </c>
      <c r="I121" s="3">
        <f t="shared" si="59"/>
        <v>8129181.8102149684</v>
      </c>
      <c r="J121" s="3">
        <f t="shared" si="50"/>
        <v>0.13619113398349625</v>
      </c>
      <c r="K121" s="3">
        <f t="shared" si="60"/>
        <v>10.316641746077487</v>
      </c>
      <c r="L121" s="3">
        <f t="shared" si="66"/>
        <v>10.31664174607749</v>
      </c>
      <c r="O121" s="9">
        <f t="shared" si="51"/>
        <v>1.0316641746667602E-2</v>
      </c>
      <c r="P121" s="9">
        <f t="shared" si="61"/>
        <v>95.930767255052913</v>
      </c>
      <c r="Q121" s="3">
        <f t="shared" si="52"/>
        <v>7342.6218777499889</v>
      </c>
      <c r="R121" s="3">
        <f t="shared" si="53"/>
        <v>95951.08664023038</v>
      </c>
      <c r="S121" s="3">
        <f t="shared" si="54"/>
        <v>95951.086640230395</v>
      </c>
      <c r="T121" s="3"/>
      <c r="U121" s="3"/>
      <c r="V121" s="3">
        <f t="shared" si="55"/>
        <v>1483.878930045579</v>
      </c>
      <c r="W121" s="3">
        <f t="shared" si="62"/>
        <v>161742.80337496812</v>
      </c>
      <c r="X121" s="3">
        <f t="shared" si="56"/>
        <v>13.201111111111112</v>
      </c>
      <c r="Y121" s="3">
        <f t="shared" si="57"/>
        <v>13.201111111111111</v>
      </c>
      <c r="Z121" s="3">
        <f t="shared" si="63"/>
        <v>19588.850630968358</v>
      </c>
      <c r="AK121">
        <f t="shared" si="58"/>
        <v>109</v>
      </c>
      <c r="AL121" s="3">
        <f t="shared" si="73"/>
        <v>825.68807339449552</v>
      </c>
      <c r="AM121" s="3">
        <f t="shared" si="73"/>
        <v>1651.376146788991</v>
      </c>
      <c r="AN121" s="3">
        <f t="shared" si="73"/>
        <v>2477.0642201834867</v>
      </c>
      <c r="AO121" s="3">
        <f t="shared" si="73"/>
        <v>3302.7522935779821</v>
      </c>
      <c r="AP121" s="3">
        <f t="shared" si="73"/>
        <v>4128.440366972477</v>
      </c>
      <c r="AQ121" s="3">
        <f t="shared" si="73"/>
        <v>4954.1284403669733</v>
      </c>
      <c r="AR121" s="3">
        <f t="shared" si="73"/>
        <v>5779.8165137614678</v>
      </c>
      <c r="AS121" s="3">
        <f t="shared" si="73"/>
        <v>6605.5045871559641</v>
      </c>
      <c r="AT121" s="3">
        <f t="shared" si="73"/>
        <v>7431.1926605504595</v>
      </c>
      <c r="AU121" s="3">
        <f t="shared" si="73"/>
        <v>8256.880733944954</v>
      </c>
      <c r="AV121" s="3">
        <f t="shared" si="74"/>
        <v>9082.5688073394504</v>
      </c>
      <c r="AW121" s="3">
        <f t="shared" si="74"/>
        <v>9908.2568807339467</v>
      </c>
      <c r="AX121" s="3">
        <f t="shared" si="74"/>
        <v>10733.944954128439</v>
      </c>
      <c r="AY121" s="3">
        <f t="shared" si="74"/>
        <v>11559.633027522936</v>
      </c>
      <c r="AZ121" s="3">
        <f t="shared" si="74"/>
        <v>12385.321100917432</v>
      </c>
      <c r="BA121" s="3">
        <f t="shared" si="74"/>
        <v>13211.009174311928</v>
      </c>
      <c r="BB121" s="3">
        <f t="shared" si="74"/>
        <v>14036.697247706423</v>
      </c>
      <c r="BC121" s="3">
        <f t="shared" si="74"/>
        <v>14862.385321100919</v>
      </c>
      <c r="BD121" s="3">
        <f t="shared" si="74"/>
        <v>15688.073394495414</v>
      </c>
      <c r="BE121" s="3">
        <f t="shared" si="74"/>
        <v>16513.761467889908</v>
      </c>
    </row>
    <row r="122" spans="1:57" x14ac:dyDescent="0.45">
      <c r="A122">
        <f t="shared" si="75"/>
        <v>110</v>
      </c>
      <c r="B122" s="3">
        <f t="shared" si="45"/>
        <v>74.380165289256198</v>
      </c>
      <c r="C122" s="3">
        <f t="shared" si="76"/>
        <v>8181.818181818182</v>
      </c>
      <c r="D122" s="3">
        <f t="shared" si="46"/>
        <v>3.3168652491359717E-2</v>
      </c>
      <c r="E122" s="3">
        <f t="shared" si="47"/>
        <v>13.444444444444441</v>
      </c>
      <c r="F122" s="3"/>
      <c r="G122" s="3">
        <f t="shared" si="48"/>
        <v>16472417.480322484</v>
      </c>
      <c r="H122" s="3">
        <f t="shared" si="49"/>
        <v>818181.81818181823</v>
      </c>
      <c r="I122" s="3">
        <f t="shared" si="59"/>
        <v>8276747.9059780315</v>
      </c>
      <c r="J122" s="3">
        <f t="shared" si="50"/>
        <v>0.13137812342371086</v>
      </c>
      <c r="K122" s="3">
        <f t="shared" si="60"/>
        <v>9.7719265356479141</v>
      </c>
      <c r="L122" s="3">
        <f t="shared" si="66"/>
        <v>9.7719265356479141</v>
      </c>
      <c r="O122" s="9">
        <f t="shared" si="51"/>
        <v>9.7719265362068725E-3</v>
      </c>
      <c r="P122" s="9">
        <f t="shared" si="61"/>
        <v>101.33396621380719</v>
      </c>
      <c r="Q122" s="3">
        <f t="shared" si="52"/>
        <v>7611.617321688138</v>
      </c>
      <c r="R122" s="3">
        <f t="shared" si="53"/>
        <v>101353.22818900469</v>
      </c>
      <c r="S122" s="3">
        <f t="shared" si="54"/>
        <v>101353.22818900475</v>
      </c>
      <c r="T122" s="3"/>
      <c r="U122" s="3"/>
      <c r="V122" s="3">
        <f t="shared" si="55"/>
        <v>1497.4924982111349</v>
      </c>
      <c r="W122" s="3">
        <f t="shared" si="62"/>
        <v>164724.17480322486</v>
      </c>
      <c r="X122" s="3">
        <f t="shared" si="56"/>
        <v>13.444444444444448</v>
      </c>
      <c r="Y122" s="3">
        <f t="shared" si="57"/>
        <v>13.444444444444441</v>
      </c>
      <c r="Z122" s="3">
        <f t="shared" si="63"/>
        <v>20132.954698171921</v>
      </c>
      <c r="AK122">
        <f t="shared" si="58"/>
        <v>110</v>
      </c>
      <c r="AL122" s="3">
        <f t="shared" si="73"/>
        <v>818.18181818181836</v>
      </c>
      <c r="AM122" s="3">
        <f t="shared" si="73"/>
        <v>1636.3636363636367</v>
      </c>
      <c r="AN122" s="3">
        <f t="shared" si="73"/>
        <v>2454.545454545455</v>
      </c>
      <c r="AO122" s="3">
        <f t="shared" si="73"/>
        <v>3272.7272727272734</v>
      </c>
      <c r="AP122" s="3">
        <f t="shared" si="73"/>
        <v>4090.9090909090914</v>
      </c>
      <c r="AQ122" s="3">
        <f t="shared" si="73"/>
        <v>4909.0909090909099</v>
      </c>
      <c r="AR122" s="3">
        <f t="shared" si="73"/>
        <v>5727.2727272727288</v>
      </c>
      <c r="AS122" s="3">
        <f t="shared" si="73"/>
        <v>6545.4545454545469</v>
      </c>
      <c r="AT122" s="3">
        <f t="shared" si="73"/>
        <v>7363.6363636363658</v>
      </c>
      <c r="AU122" s="3">
        <f t="shared" si="73"/>
        <v>8181.8181818181829</v>
      </c>
      <c r="AV122" s="3">
        <f t="shared" si="74"/>
        <v>9000.0000000000018</v>
      </c>
      <c r="AW122" s="3">
        <f t="shared" si="74"/>
        <v>9818.1818181818198</v>
      </c>
      <c r="AX122" s="3">
        <f t="shared" si="74"/>
        <v>10636.36363636364</v>
      </c>
      <c r="AY122" s="3">
        <f t="shared" si="74"/>
        <v>11454.545454545458</v>
      </c>
      <c r="AZ122" s="3">
        <f t="shared" si="74"/>
        <v>12272.727272727276</v>
      </c>
      <c r="BA122" s="3">
        <f t="shared" si="74"/>
        <v>13090.909090909094</v>
      </c>
      <c r="BB122" s="3">
        <f t="shared" si="74"/>
        <v>13909.090909090912</v>
      </c>
      <c r="BC122" s="3">
        <f t="shared" si="74"/>
        <v>14727.272727272732</v>
      </c>
      <c r="BD122" s="3">
        <f t="shared" si="74"/>
        <v>15545.45454545455</v>
      </c>
      <c r="BE122" s="3">
        <f t="shared" si="74"/>
        <v>16363.636363636366</v>
      </c>
    </row>
    <row r="123" spans="1:57" x14ac:dyDescent="0.45">
      <c r="A123">
        <f t="shared" si="75"/>
        <v>111</v>
      </c>
      <c r="B123" s="3">
        <f t="shared" si="45"/>
        <v>73.046018991964942</v>
      </c>
      <c r="C123" s="3">
        <f t="shared" si="76"/>
        <v>8108.1081081081084</v>
      </c>
      <c r="D123" s="3">
        <f t="shared" si="46"/>
        <v>3.1989441196340666E-2</v>
      </c>
      <c r="E123" s="3">
        <f t="shared" si="47"/>
        <v>13.690000000000003</v>
      </c>
      <c r="F123" s="3"/>
      <c r="G123" s="3">
        <f t="shared" si="48"/>
        <v>16773277.336781265</v>
      </c>
      <c r="H123" s="3">
        <f t="shared" si="49"/>
        <v>810810.81081081077</v>
      </c>
      <c r="I123" s="3">
        <f t="shared" si="59"/>
        <v>8425741.6483697556</v>
      </c>
      <c r="J123" s="3">
        <f t="shared" si="50"/>
        <v>0.12677284369589509</v>
      </c>
      <c r="K123" s="3">
        <f t="shared" si="60"/>
        <v>9.2602515482757557</v>
      </c>
      <c r="L123" s="3">
        <f t="shared" si="66"/>
        <v>9.2602515482757575</v>
      </c>
      <c r="O123" s="9">
        <f t="shared" si="51"/>
        <v>9.2602515488054461E-3</v>
      </c>
      <c r="P123" s="9">
        <f t="shared" si="61"/>
        <v>106.98842717496136</v>
      </c>
      <c r="Q123" s="3">
        <f t="shared" si="52"/>
        <v>7888.1247023346505</v>
      </c>
      <c r="R123" s="3">
        <f t="shared" si="53"/>
        <v>107006.6943337086</v>
      </c>
      <c r="S123" s="3">
        <f t="shared" si="54"/>
        <v>107006.6943337086</v>
      </c>
      <c r="T123" s="3"/>
      <c r="U123" s="3"/>
      <c r="V123" s="3">
        <f t="shared" si="55"/>
        <v>1511.1060663766907</v>
      </c>
      <c r="W123" s="3">
        <f t="shared" si="62"/>
        <v>167732.77336781268</v>
      </c>
      <c r="X123" s="3">
        <f t="shared" si="56"/>
        <v>13.690000000000005</v>
      </c>
      <c r="Y123" s="3">
        <f t="shared" si="57"/>
        <v>13.690000000000003</v>
      </c>
      <c r="Z123" s="3">
        <f t="shared" si="63"/>
        <v>20687.042048696901</v>
      </c>
      <c r="AK123">
        <f t="shared" si="58"/>
        <v>111</v>
      </c>
      <c r="AL123" s="3">
        <f t="shared" ref="AL123:AU132" si="77">AL$12/(IMPROVED_MBPS*IMPROVED_KM^2/(DIST_RINGS_EM/$AK123)^2)*$AK123</f>
        <v>810.81081081081061</v>
      </c>
      <c r="AM123" s="3">
        <f t="shared" si="77"/>
        <v>1621.6216216216212</v>
      </c>
      <c r="AN123" s="3">
        <f t="shared" si="77"/>
        <v>2432.4324324324321</v>
      </c>
      <c r="AO123" s="3">
        <f t="shared" si="77"/>
        <v>3243.2432432432424</v>
      </c>
      <c r="AP123" s="3">
        <f t="shared" si="77"/>
        <v>4054.0540540540537</v>
      </c>
      <c r="AQ123" s="3">
        <f t="shared" si="77"/>
        <v>4864.8648648648641</v>
      </c>
      <c r="AR123" s="3">
        <f t="shared" si="77"/>
        <v>5675.6756756756749</v>
      </c>
      <c r="AS123" s="3">
        <f t="shared" si="77"/>
        <v>6486.4864864864849</v>
      </c>
      <c r="AT123" s="3">
        <f t="shared" si="77"/>
        <v>7297.2972972972957</v>
      </c>
      <c r="AU123" s="3">
        <f t="shared" si="77"/>
        <v>8108.1081081081074</v>
      </c>
      <c r="AV123" s="3">
        <f t="shared" ref="AV123:BE132" si="78">AV$12/(IMPROVED_MBPS*IMPROVED_KM^2/(DIST_RINGS_EM/$AK123)^2)*$AK123</f>
        <v>8918.9189189189165</v>
      </c>
      <c r="AW123" s="3">
        <f t="shared" si="78"/>
        <v>9729.7297297297282</v>
      </c>
      <c r="AX123" s="3">
        <f t="shared" si="78"/>
        <v>10540.540540540538</v>
      </c>
      <c r="AY123" s="3">
        <f t="shared" si="78"/>
        <v>11351.35135135135</v>
      </c>
      <c r="AZ123" s="3">
        <f t="shared" si="78"/>
        <v>12162.16216216216</v>
      </c>
      <c r="BA123" s="3">
        <f t="shared" si="78"/>
        <v>12972.97297297297</v>
      </c>
      <c r="BB123" s="3">
        <f t="shared" si="78"/>
        <v>13783.78378378378</v>
      </c>
      <c r="BC123" s="3">
        <f t="shared" si="78"/>
        <v>14594.594594594591</v>
      </c>
      <c r="BD123" s="3">
        <f t="shared" si="78"/>
        <v>15405.405405405401</v>
      </c>
      <c r="BE123" s="3">
        <f t="shared" si="78"/>
        <v>16216.216216216215</v>
      </c>
    </row>
    <row r="124" spans="1:57" x14ac:dyDescent="0.45">
      <c r="A124">
        <f t="shared" si="75"/>
        <v>112</v>
      </c>
      <c r="B124" s="3">
        <f t="shared" si="45"/>
        <v>71.747448979591837</v>
      </c>
      <c r="C124" s="3">
        <f t="shared" si="76"/>
        <v>8035.7142857142862</v>
      </c>
      <c r="D124" s="3">
        <f t="shared" si="46"/>
        <v>3.0862171351104167E-2</v>
      </c>
      <c r="E124" s="3">
        <f t="shared" si="47"/>
        <v>13.93777777777778</v>
      </c>
      <c r="F124" s="3"/>
      <c r="G124" s="3">
        <f t="shared" si="48"/>
        <v>17076859.906873159</v>
      </c>
      <c r="H124" s="3">
        <f t="shared" si="49"/>
        <v>803571.42857142852</v>
      </c>
      <c r="I124" s="3">
        <f t="shared" si="59"/>
        <v>8576159.57818879</v>
      </c>
      <c r="J124" s="3">
        <f t="shared" si="50"/>
        <v>0.1223648839331878</v>
      </c>
      <c r="K124" s="3">
        <f t="shared" si="60"/>
        <v>8.779368266890069</v>
      </c>
      <c r="L124" s="3">
        <f t="shared" si="66"/>
        <v>8.7793682668900725</v>
      </c>
      <c r="O124" s="9">
        <f t="shared" si="51"/>
        <v>8.7793682673922516E-3</v>
      </c>
      <c r="P124" s="9">
        <f t="shared" si="61"/>
        <v>112.90341190198545</v>
      </c>
      <c r="Q124" s="3">
        <f t="shared" si="52"/>
        <v>8172.2792340391343</v>
      </c>
      <c r="R124" s="3">
        <f t="shared" si="53"/>
        <v>112920.74274313412</v>
      </c>
      <c r="S124" s="3">
        <f t="shared" si="54"/>
        <v>112920.74274313409</v>
      </c>
      <c r="T124" s="3"/>
      <c r="U124" s="3"/>
      <c r="V124" s="3">
        <f t="shared" si="55"/>
        <v>1524.7196345422462</v>
      </c>
      <c r="W124" s="3">
        <f t="shared" si="62"/>
        <v>170768.59906873159</v>
      </c>
      <c r="X124" s="3">
        <f t="shared" si="56"/>
        <v>13.937777777777777</v>
      </c>
      <c r="Y124" s="3">
        <f t="shared" si="57"/>
        <v>13.93777777777778</v>
      </c>
      <c r="Z124" s="3">
        <f t="shared" si="63"/>
        <v>21251.203439664379</v>
      </c>
      <c r="AK124">
        <f t="shared" si="58"/>
        <v>112</v>
      </c>
      <c r="AL124" s="3">
        <f t="shared" si="77"/>
        <v>803.57142857142844</v>
      </c>
      <c r="AM124" s="3">
        <f t="shared" si="77"/>
        <v>1607.1428571428569</v>
      </c>
      <c r="AN124" s="3">
        <f t="shared" si="77"/>
        <v>2410.7142857142853</v>
      </c>
      <c r="AO124" s="3">
        <f t="shared" si="77"/>
        <v>3214.2857142857138</v>
      </c>
      <c r="AP124" s="3">
        <f t="shared" si="77"/>
        <v>4017.8571428571422</v>
      </c>
      <c r="AQ124" s="3">
        <f t="shared" si="77"/>
        <v>4821.4285714285706</v>
      </c>
      <c r="AR124" s="3">
        <f t="shared" si="77"/>
        <v>5624.9999999999991</v>
      </c>
      <c r="AS124" s="3">
        <f t="shared" si="77"/>
        <v>6428.5714285714275</v>
      </c>
      <c r="AT124" s="3">
        <f t="shared" si="77"/>
        <v>7232.1428571428551</v>
      </c>
      <c r="AU124" s="3">
        <f t="shared" si="77"/>
        <v>8035.7142857142844</v>
      </c>
      <c r="AV124" s="3">
        <f t="shared" si="78"/>
        <v>8839.2857142857138</v>
      </c>
      <c r="AW124" s="3">
        <f t="shared" si="78"/>
        <v>9642.8571428571413</v>
      </c>
      <c r="AX124" s="3">
        <f t="shared" si="78"/>
        <v>10446.428571428569</v>
      </c>
      <c r="AY124" s="3">
        <f t="shared" si="78"/>
        <v>11249.999999999998</v>
      </c>
      <c r="AZ124" s="3">
        <f t="shared" si="78"/>
        <v>12053.571428571426</v>
      </c>
      <c r="BA124" s="3">
        <f t="shared" si="78"/>
        <v>12857.142857142855</v>
      </c>
      <c r="BB124" s="3">
        <f t="shared" si="78"/>
        <v>13660.714285714283</v>
      </c>
      <c r="BC124" s="3">
        <f t="shared" si="78"/>
        <v>14464.28571428571</v>
      </c>
      <c r="BD124" s="3">
        <f t="shared" si="78"/>
        <v>15267.857142857139</v>
      </c>
      <c r="BE124" s="3">
        <f t="shared" si="78"/>
        <v>16071.428571428569</v>
      </c>
    </row>
    <row r="125" spans="1:57" x14ac:dyDescent="0.45">
      <c r="A125">
        <f t="shared" si="75"/>
        <v>113</v>
      </c>
      <c r="B125" s="3">
        <f t="shared" si="45"/>
        <v>70.483201503641638</v>
      </c>
      <c r="C125" s="3">
        <f t="shared" si="76"/>
        <v>7964.6017699115055</v>
      </c>
      <c r="D125" s="3">
        <f t="shared" si="46"/>
        <v>2.9784121506020434E-2</v>
      </c>
      <c r="E125" s="3">
        <f t="shared" si="47"/>
        <v>14.187777777777775</v>
      </c>
      <c r="F125" s="3"/>
      <c r="G125" s="3">
        <f t="shared" si="48"/>
        <v>17383165.190598164</v>
      </c>
      <c r="H125" s="3">
        <f t="shared" si="49"/>
        <v>796460.17699115048</v>
      </c>
      <c r="I125" s="3">
        <f t="shared" si="59"/>
        <v>8727998.4431963954</v>
      </c>
      <c r="J125" s="3">
        <f t="shared" si="50"/>
        <v>0.1181444130976312</v>
      </c>
      <c r="K125" s="3">
        <f t="shared" si="60"/>
        <v>8.3271964748898188</v>
      </c>
      <c r="L125" s="3">
        <f t="shared" si="66"/>
        <v>8.3271964748898188</v>
      </c>
      <c r="O125" s="9">
        <f t="shared" si="51"/>
        <v>8.3271964753661373E-3</v>
      </c>
      <c r="P125" s="9">
        <f t="shared" si="61"/>
        <v>119.08843588094048</v>
      </c>
      <c r="Q125" s="3">
        <f t="shared" si="52"/>
        <v>8464.2174244534763</v>
      </c>
      <c r="R125" s="3">
        <f t="shared" si="53"/>
        <v>119104.88509640905</v>
      </c>
      <c r="S125" s="3">
        <f t="shared" si="54"/>
        <v>119104.88509640908</v>
      </c>
      <c r="T125" s="3"/>
      <c r="U125" s="3"/>
      <c r="V125" s="3">
        <f t="shared" si="55"/>
        <v>1538.333202707802</v>
      </c>
      <c r="W125" s="3">
        <f t="shared" si="62"/>
        <v>173831.65190598162</v>
      </c>
      <c r="X125" s="3">
        <f t="shared" si="56"/>
        <v>14.187777777777777</v>
      </c>
      <c r="Y125" s="3">
        <f t="shared" si="57"/>
        <v>14.187777777777775</v>
      </c>
      <c r="Z125" s="3">
        <f t="shared" si="63"/>
        <v>21825.529628195465</v>
      </c>
      <c r="AK125">
        <f t="shared" si="58"/>
        <v>113</v>
      </c>
      <c r="AL125" s="3">
        <f t="shared" si="77"/>
        <v>796.46017699115055</v>
      </c>
      <c r="AM125" s="3">
        <f t="shared" si="77"/>
        <v>1592.9203539823011</v>
      </c>
      <c r="AN125" s="3">
        <f t="shared" si="77"/>
        <v>2389.3805309734516</v>
      </c>
      <c r="AO125" s="3">
        <f t="shared" si="77"/>
        <v>3185.8407079646022</v>
      </c>
      <c r="AP125" s="3">
        <f t="shared" si="77"/>
        <v>3982.3008849557532</v>
      </c>
      <c r="AQ125" s="3">
        <f t="shared" si="77"/>
        <v>4778.7610619469033</v>
      </c>
      <c r="AR125" s="3">
        <f t="shared" si="77"/>
        <v>5575.2212389380538</v>
      </c>
      <c r="AS125" s="3">
        <f t="shared" si="77"/>
        <v>6371.6814159292044</v>
      </c>
      <c r="AT125" s="3">
        <f t="shared" si="77"/>
        <v>7168.1415929203558</v>
      </c>
      <c r="AU125" s="3">
        <f t="shared" si="77"/>
        <v>7964.6017699115064</v>
      </c>
      <c r="AV125" s="3">
        <f t="shared" si="78"/>
        <v>8761.0619469026569</v>
      </c>
      <c r="AW125" s="3">
        <f t="shared" si="78"/>
        <v>9557.5221238938066</v>
      </c>
      <c r="AX125" s="3">
        <f t="shared" si="78"/>
        <v>10353.982300884958</v>
      </c>
      <c r="AY125" s="3">
        <f t="shared" si="78"/>
        <v>11150.442477876108</v>
      </c>
      <c r="AZ125" s="3">
        <f t="shared" si="78"/>
        <v>11946.902654867259</v>
      </c>
      <c r="BA125" s="3">
        <f t="shared" si="78"/>
        <v>12743.362831858409</v>
      </c>
      <c r="BB125" s="3">
        <f t="shared" si="78"/>
        <v>13539.82300884956</v>
      </c>
      <c r="BC125" s="3">
        <f t="shared" si="78"/>
        <v>14336.283185840712</v>
      </c>
      <c r="BD125" s="3">
        <f t="shared" si="78"/>
        <v>15132.743362831859</v>
      </c>
      <c r="BE125" s="3">
        <f t="shared" si="78"/>
        <v>15929.203539823013</v>
      </c>
    </row>
    <row r="126" spans="1:57" x14ac:dyDescent="0.45">
      <c r="A126">
        <f t="shared" si="75"/>
        <v>114</v>
      </c>
      <c r="B126" s="3">
        <f t="shared" si="45"/>
        <v>69.252077562326875</v>
      </c>
      <c r="C126" s="3">
        <f t="shared" si="76"/>
        <v>7894.7368421052633</v>
      </c>
      <c r="D126" s="3">
        <f t="shared" si="46"/>
        <v>2.8752735122301389E-2</v>
      </c>
      <c r="E126" s="3">
        <f t="shared" si="47"/>
        <v>14.440000000000001</v>
      </c>
      <c r="F126" s="3"/>
      <c r="G126" s="3">
        <f t="shared" si="48"/>
        <v>17692193.187956277</v>
      </c>
      <c r="H126" s="3">
        <f t="shared" si="49"/>
        <v>789473.68421052629</v>
      </c>
      <c r="I126" s="3">
        <f t="shared" si="59"/>
        <v>8881255.1842660476</v>
      </c>
      <c r="J126" s="3">
        <f t="shared" si="50"/>
        <v>0.11410214581455404</v>
      </c>
      <c r="K126" s="3">
        <f t="shared" si="60"/>
        <v>7.9018106519774269</v>
      </c>
      <c r="L126" s="3">
        <f t="shared" si="66"/>
        <v>7.9018106519774252</v>
      </c>
      <c r="O126" s="9">
        <f t="shared" si="51"/>
        <v>7.901810652429413E-3</v>
      </c>
      <c r="P126" s="9">
        <f t="shared" si="61"/>
        <v>125.55327291252541</v>
      </c>
      <c r="Q126" s="3">
        <f t="shared" si="52"/>
        <v>8764.077071504531</v>
      </c>
      <c r="R126" s="3">
        <f t="shared" si="53"/>
        <v>125568.89165403644</v>
      </c>
      <c r="S126" s="3">
        <f t="shared" si="54"/>
        <v>125568.89165403642</v>
      </c>
      <c r="T126" s="3"/>
      <c r="U126" s="3"/>
      <c r="V126" s="3">
        <f t="shared" si="55"/>
        <v>1551.9467708733578</v>
      </c>
      <c r="W126" s="3">
        <f t="shared" si="62"/>
        <v>176921.93187956279</v>
      </c>
      <c r="X126" s="3">
        <f t="shared" si="56"/>
        <v>14.439999999999998</v>
      </c>
      <c r="Y126" s="3">
        <f t="shared" si="57"/>
        <v>14.440000000000001</v>
      </c>
      <c r="Z126" s="3">
        <f t="shared" si="63"/>
        <v>22410.111371411287</v>
      </c>
      <c r="AK126">
        <f t="shared" si="58"/>
        <v>114</v>
      </c>
      <c r="AL126" s="3">
        <f t="shared" si="77"/>
        <v>789.47368421052624</v>
      </c>
      <c r="AM126" s="3">
        <f t="shared" si="77"/>
        <v>1578.9473684210525</v>
      </c>
      <c r="AN126" s="3">
        <f t="shared" si="77"/>
        <v>2368.4210526315787</v>
      </c>
      <c r="AO126" s="3">
        <f t="shared" si="77"/>
        <v>3157.894736842105</v>
      </c>
      <c r="AP126" s="3">
        <f t="shared" si="77"/>
        <v>3947.3684210526312</v>
      </c>
      <c r="AQ126" s="3">
        <f t="shared" si="77"/>
        <v>4736.8421052631575</v>
      </c>
      <c r="AR126" s="3">
        <f t="shared" si="77"/>
        <v>5526.3157894736842</v>
      </c>
      <c r="AS126" s="3">
        <f t="shared" si="77"/>
        <v>6315.78947368421</v>
      </c>
      <c r="AT126" s="3">
        <f t="shared" si="77"/>
        <v>7105.2631578947367</v>
      </c>
      <c r="AU126" s="3">
        <f t="shared" si="77"/>
        <v>7894.7368421052624</v>
      </c>
      <c r="AV126" s="3">
        <f t="shared" si="78"/>
        <v>8684.21052631579</v>
      </c>
      <c r="AW126" s="3">
        <f t="shared" si="78"/>
        <v>9473.6842105263149</v>
      </c>
      <c r="AX126" s="3">
        <f t="shared" si="78"/>
        <v>10263.15789473684</v>
      </c>
      <c r="AY126" s="3">
        <f t="shared" si="78"/>
        <v>11052.631578947368</v>
      </c>
      <c r="AZ126" s="3">
        <f t="shared" si="78"/>
        <v>11842.105263157893</v>
      </c>
      <c r="BA126" s="3">
        <f t="shared" si="78"/>
        <v>12631.57894736842</v>
      </c>
      <c r="BB126" s="3">
        <f t="shared" si="78"/>
        <v>13421.052631578947</v>
      </c>
      <c r="BC126" s="3">
        <f t="shared" si="78"/>
        <v>14210.526315789473</v>
      </c>
      <c r="BD126" s="3">
        <f t="shared" si="78"/>
        <v>14999.999999999998</v>
      </c>
      <c r="BE126" s="3">
        <f t="shared" si="78"/>
        <v>15789.473684210525</v>
      </c>
    </row>
    <row r="127" spans="1:57" x14ac:dyDescent="0.45">
      <c r="A127">
        <f t="shared" si="75"/>
        <v>115</v>
      </c>
      <c r="B127" s="3">
        <f t="shared" si="45"/>
        <v>68.052930056710778</v>
      </c>
      <c r="C127" s="3">
        <f t="shared" si="76"/>
        <v>7826.0869565217399</v>
      </c>
      <c r="D127" s="3">
        <f t="shared" si="46"/>
        <v>2.7765609249595171E-2</v>
      </c>
      <c r="E127" s="3">
        <f t="shared" si="47"/>
        <v>14.694444444444445</v>
      </c>
      <c r="F127" s="3"/>
      <c r="G127" s="3">
        <f t="shared" si="48"/>
        <v>18003943.898947507</v>
      </c>
      <c r="H127" s="3">
        <f t="shared" si="49"/>
        <v>782608.69565217395</v>
      </c>
      <c r="I127" s="3">
        <f t="shared" si="59"/>
        <v>9035926.9225477185</v>
      </c>
      <c r="J127" s="3">
        <f t="shared" si="50"/>
        <v>0.11022931017531461</v>
      </c>
      <c r="K127" s="3">
        <f t="shared" si="60"/>
        <v>7.501427535560163</v>
      </c>
      <c r="L127" s="3">
        <f t="shared" si="66"/>
        <v>7.5014275355601638</v>
      </c>
      <c r="O127" s="9">
        <f t="shared" si="51"/>
        <v>7.5014275359892475E-3</v>
      </c>
      <c r="P127" s="9">
        <f t="shared" si="61"/>
        <v>132.30795974530807</v>
      </c>
      <c r="Q127" s="3">
        <f t="shared" si="52"/>
        <v>9071.9972605502662</v>
      </c>
      <c r="R127" s="3">
        <f t="shared" si="53"/>
        <v>132322.79587163148</v>
      </c>
      <c r="S127" s="3">
        <f t="shared" si="54"/>
        <v>132322.79587163153</v>
      </c>
      <c r="T127" s="3"/>
      <c r="U127" s="3"/>
      <c r="V127" s="3">
        <f t="shared" si="55"/>
        <v>1565.5603390389138</v>
      </c>
      <c r="W127" s="3">
        <f t="shared" si="62"/>
        <v>180039.43898947508</v>
      </c>
      <c r="X127" s="3">
        <f t="shared" si="56"/>
        <v>14.694444444444445</v>
      </c>
      <c r="Y127" s="3">
        <f t="shared" si="57"/>
        <v>14.694444444444445</v>
      </c>
      <c r="Z127" s="3">
        <f t="shared" si="63"/>
        <v>23005.039426432926</v>
      </c>
      <c r="AK127">
        <f t="shared" si="58"/>
        <v>115</v>
      </c>
      <c r="AL127" s="3">
        <f t="shared" si="77"/>
        <v>782.60869565217388</v>
      </c>
      <c r="AM127" s="3">
        <f t="shared" si="77"/>
        <v>1565.2173913043478</v>
      </c>
      <c r="AN127" s="3">
        <f t="shared" si="77"/>
        <v>2347.8260869565215</v>
      </c>
      <c r="AO127" s="3">
        <f t="shared" si="77"/>
        <v>3130.4347826086955</v>
      </c>
      <c r="AP127" s="3">
        <f t="shared" si="77"/>
        <v>3913.04347826087</v>
      </c>
      <c r="AQ127" s="3">
        <f t="shared" si="77"/>
        <v>4695.652173913043</v>
      </c>
      <c r="AR127" s="3">
        <f t="shared" si="77"/>
        <v>5478.260869565217</v>
      </c>
      <c r="AS127" s="3">
        <f t="shared" si="77"/>
        <v>6260.869565217391</v>
      </c>
      <c r="AT127" s="3">
        <f t="shared" si="77"/>
        <v>7043.478260869565</v>
      </c>
      <c r="AU127" s="3">
        <f t="shared" si="77"/>
        <v>7826.0869565217399</v>
      </c>
      <c r="AV127" s="3">
        <f t="shared" si="78"/>
        <v>8608.6956521739139</v>
      </c>
      <c r="AW127" s="3">
        <f t="shared" si="78"/>
        <v>9391.3043478260861</v>
      </c>
      <c r="AX127" s="3">
        <f t="shared" si="78"/>
        <v>10173.91304347826</v>
      </c>
      <c r="AY127" s="3">
        <f t="shared" si="78"/>
        <v>10956.521739130434</v>
      </c>
      <c r="AZ127" s="3">
        <f t="shared" si="78"/>
        <v>11739.13043478261</v>
      </c>
      <c r="BA127" s="3">
        <f t="shared" si="78"/>
        <v>12521.739130434782</v>
      </c>
      <c r="BB127" s="3">
        <f t="shared" si="78"/>
        <v>13304.347826086956</v>
      </c>
      <c r="BC127" s="3">
        <f t="shared" si="78"/>
        <v>14086.95652173913</v>
      </c>
      <c r="BD127" s="3">
        <f t="shared" si="78"/>
        <v>14869.565217391306</v>
      </c>
      <c r="BE127" s="3">
        <f t="shared" si="78"/>
        <v>15652.17391304348</v>
      </c>
    </row>
    <row r="128" spans="1:57" x14ac:dyDescent="0.45">
      <c r="A128">
        <f t="shared" si="75"/>
        <v>116</v>
      </c>
      <c r="B128" s="3">
        <f t="shared" si="45"/>
        <v>66.884661117717002</v>
      </c>
      <c r="C128" s="3">
        <f t="shared" si="76"/>
        <v>7758.6206896551721</v>
      </c>
      <c r="D128" s="3">
        <f t="shared" si="46"/>
        <v>2.6820484070665378E-2</v>
      </c>
      <c r="E128" s="3">
        <f t="shared" si="47"/>
        <v>14.951111111111112</v>
      </c>
      <c r="F128" s="3"/>
      <c r="G128" s="3">
        <f t="shared" si="48"/>
        <v>18318417.323571846</v>
      </c>
      <c r="H128" s="3">
        <f t="shared" si="49"/>
        <v>775862.06896551722</v>
      </c>
      <c r="I128" s="3">
        <f t="shared" si="59"/>
        <v>9192010.9475671165</v>
      </c>
      <c r="J128" s="3">
        <f t="shared" si="50"/>
        <v>0.10651761741966378</v>
      </c>
      <c r="K128" s="3">
        <f t="shared" si="60"/>
        <v>7.124394744180842</v>
      </c>
      <c r="L128" s="3">
        <f t="shared" si="66"/>
        <v>7.1243947441808384</v>
      </c>
      <c r="O128" s="9">
        <f t="shared" si="51"/>
        <v>7.1243947445883598E-3</v>
      </c>
      <c r="P128" s="9">
        <f t="shared" si="61"/>
        <v>139.36280075013994</v>
      </c>
      <c r="Q128" s="3">
        <f t="shared" si="52"/>
        <v>9388.1183617067436</v>
      </c>
      <c r="R128" s="3">
        <f t="shared" si="53"/>
        <v>139376.89905626152</v>
      </c>
      <c r="S128" s="3">
        <f t="shared" si="54"/>
        <v>139376.89905626155</v>
      </c>
      <c r="T128" s="3"/>
      <c r="U128" s="3"/>
      <c r="V128" s="3">
        <f t="shared" si="55"/>
        <v>1579.1739072044695</v>
      </c>
      <c r="W128" s="3">
        <f t="shared" si="62"/>
        <v>183184.17323571845</v>
      </c>
      <c r="X128" s="3">
        <f t="shared" si="56"/>
        <v>14.951111111111114</v>
      </c>
      <c r="Y128" s="3">
        <f t="shared" si="57"/>
        <v>14.951111111111112</v>
      </c>
      <c r="Z128" s="3">
        <f t="shared" si="63"/>
        <v>23610.404550381492</v>
      </c>
      <c r="AK128">
        <f t="shared" si="58"/>
        <v>116</v>
      </c>
      <c r="AL128" s="3">
        <f t="shared" si="77"/>
        <v>775.8620689655171</v>
      </c>
      <c r="AM128" s="3">
        <f t="shared" si="77"/>
        <v>1551.7241379310342</v>
      </c>
      <c r="AN128" s="3">
        <f t="shared" si="77"/>
        <v>2327.5862068965516</v>
      </c>
      <c r="AO128" s="3">
        <f t="shared" si="77"/>
        <v>3103.4482758620684</v>
      </c>
      <c r="AP128" s="3">
        <f t="shared" si="77"/>
        <v>3879.3103448275861</v>
      </c>
      <c r="AQ128" s="3">
        <f t="shared" si="77"/>
        <v>4655.1724137931033</v>
      </c>
      <c r="AR128" s="3">
        <f t="shared" si="77"/>
        <v>5431.0344827586205</v>
      </c>
      <c r="AS128" s="3">
        <f t="shared" si="77"/>
        <v>6206.8965517241368</v>
      </c>
      <c r="AT128" s="3">
        <f t="shared" si="77"/>
        <v>6982.7586206896549</v>
      </c>
      <c r="AU128" s="3">
        <f t="shared" si="77"/>
        <v>7758.6206896551721</v>
      </c>
      <c r="AV128" s="3">
        <f t="shared" si="78"/>
        <v>8534.4827586206902</v>
      </c>
      <c r="AW128" s="3">
        <f t="shared" si="78"/>
        <v>9310.3448275862065</v>
      </c>
      <c r="AX128" s="3">
        <f t="shared" si="78"/>
        <v>10086.206896551723</v>
      </c>
      <c r="AY128" s="3">
        <f t="shared" si="78"/>
        <v>10862.068965517241</v>
      </c>
      <c r="AZ128" s="3">
        <f t="shared" si="78"/>
        <v>11637.931034482759</v>
      </c>
      <c r="BA128" s="3">
        <f t="shared" si="78"/>
        <v>12413.793103448274</v>
      </c>
      <c r="BB128" s="3">
        <f t="shared" si="78"/>
        <v>13189.655172413792</v>
      </c>
      <c r="BC128" s="3">
        <f t="shared" si="78"/>
        <v>13965.51724137931</v>
      </c>
      <c r="BD128" s="3">
        <f t="shared" si="78"/>
        <v>14741.379310344826</v>
      </c>
      <c r="BE128" s="3">
        <f t="shared" si="78"/>
        <v>15517.241379310344</v>
      </c>
    </row>
    <row r="129" spans="1:57" x14ac:dyDescent="0.45">
      <c r="A129">
        <f t="shared" si="75"/>
        <v>117</v>
      </c>
      <c r="B129" s="3">
        <f t="shared" si="45"/>
        <v>65.746219592373436</v>
      </c>
      <c r="C129" s="3">
        <f t="shared" si="76"/>
        <v>7692.3076923076924</v>
      </c>
      <c r="D129" s="3">
        <f t="shared" si="46"/>
        <v>2.5915233239998343E-2</v>
      </c>
      <c r="E129" s="3">
        <f t="shared" si="47"/>
        <v>15.209999999999999</v>
      </c>
      <c r="F129" s="3"/>
      <c r="G129" s="3">
        <f t="shared" si="48"/>
        <v>18635613.461829297</v>
      </c>
      <c r="H129" s="3">
        <f t="shared" si="49"/>
        <v>769230.76923076925</v>
      </c>
      <c r="I129" s="3">
        <f t="shared" si="59"/>
        <v>9349504.706186831</v>
      </c>
      <c r="J129" s="3">
        <f t="shared" si="50"/>
        <v>0.10295923340760164</v>
      </c>
      <c r="K129" s="3">
        <f t="shared" si="60"/>
        <v>6.769180368678609</v>
      </c>
      <c r="L129" s="3">
        <f t="shared" si="66"/>
        <v>6.7691803686786125</v>
      </c>
      <c r="O129" s="9">
        <f t="shared" si="51"/>
        <v>6.7691803690658088E-3</v>
      </c>
      <c r="P129" s="9">
        <f t="shared" si="61"/>
        <v>146.72837263575627</v>
      </c>
      <c r="Q129" s="3">
        <f t="shared" si="52"/>
        <v>9712.5820273344034</v>
      </c>
      <c r="R129" s="3">
        <f t="shared" si="53"/>
        <v>146741.77506529525</v>
      </c>
      <c r="S129" s="3">
        <f t="shared" si="54"/>
        <v>146741.77506529525</v>
      </c>
      <c r="T129" s="3"/>
      <c r="U129" s="3"/>
      <c r="V129" s="3">
        <f t="shared" si="55"/>
        <v>1592.7874753700253</v>
      </c>
      <c r="W129" s="3">
        <f t="shared" si="62"/>
        <v>186356.13461829297</v>
      </c>
      <c r="X129" s="3">
        <f t="shared" si="56"/>
        <v>15.210000000000004</v>
      </c>
      <c r="Y129" s="3">
        <f t="shared" si="57"/>
        <v>15.209999999999999</v>
      </c>
      <c r="Z129" s="3">
        <f t="shared" si="63"/>
        <v>24226.297500378085</v>
      </c>
      <c r="AK129">
        <f t="shared" si="58"/>
        <v>117</v>
      </c>
      <c r="AL129" s="3">
        <f t="shared" si="77"/>
        <v>769.23076923076928</v>
      </c>
      <c r="AM129" s="3">
        <f t="shared" si="77"/>
        <v>1538.4615384615386</v>
      </c>
      <c r="AN129" s="3">
        <f t="shared" si="77"/>
        <v>2307.6923076923076</v>
      </c>
      <c r="AO129" s="3">
        <f t="shared" si="77"/>
        <v>3076.9230769230771</v>
      </c>
      <c r="AP129" s="3">
        <f t="shared" si="77"/>
        <v>3846.1538461538462</v>
      </c>
      <c r="AQ129" s="3">
        <f t="shared" si="77"/>
        <v>4615.3846153846152</v>
      </c>
      <c r="AR129" s="3">
        <f t="shared" si="77"/>
        <v>5384.6153846153848</v>
      </c>
      <c r="AS129" s="3">
        <f t="shared" si="77"/>
        <v>6153.8461538461543</v>
      </c>
      <c r="AT129" s="3">
        <f t="shared" si="77"/>
        <v>6923.0769230769229</v>
      </c>
      <c r="AU129" s="3">
        <f t="shared" si="77"/>
        <v>7692.3076923076924</v>
      </c>
      <c r="AV129" s="3">
        <f t="shared" si="78"/>
        <v>8461.538461538461</v>
      </c>
      <c r="AW129" s="3">
        <f t="shared" si="78"/>
        <v>9230.7692307692305</v>
      </c>
      <c r="AX129" s="3">
        <f t="shared" si="78"/>
        <v>10000.000000000002</v>
      </c>
      <c r="AY129" s="3">
        <f t="shared" si="78"/>
        <v>10769.23076923077</v>
      </c>
      <c r="AZ129" s="3">
        <f t="shared" si="78"/>
        <v>11538.461538461539</v>
      </c>
      <c r="BA129" s="3">
        <f t="shared" si="78"/>
        <v>12307.692307692309</v>
      </c>
      <c r="BB129" s="3">
        <f t="shared" si="78"/>
        <v>13076.923076923078</v>
      </c>
      <c r="BC129" s="3">
        <f t="shared" si="78"/>
        <v>13846.153846153846</v>
      </c>
      <c r="BD129" s="3">
        <f t="shared" si="78"/>
        <v>14615.384615384615</v>
      </c>
      <c r="BE129" s="3">
        <f t="shared" si="78"/>
        <v>15384.615384615385</v>
      </c>
    </row>
    <row r="130" spans="1:57" x14ac:dyDescent="0.45">
      <c r="A130">
        <f t="shared" si="75"/>
        <v>118</v>
      </c>
      <c r="B130" s="3">
        <f t="shared" si="45"/>
        <v>64.636598678540651</v>
      </c>
      <c r="C130" s="3">
        <f t="shared" si="76"/>
        <v>7627.1186440677966</v>
      </c>
      <c r="D130" s="3">
        <f t="shared" si="46"/>
        <v>2.5047854949914305E-2</v>
      </c>
      <c r="E130" s="3">
        <f t="shared" si="47"/>
        <v>15.471111111111112</v>
      </c>
      <c r="F130" s="3"/>
      <c r="G130" s="3">
        <f t="shared" si="48"/>
        <v>18955532.313719854</v>
      </c>
      <c r="H130" s="3">
        <f t="shared" si="49"/>
        <v>762711.86440677964</v>
      </c>
      <c r="I130" s="3">
        <f t="shared" si="59"/>
        <v>9508405.7923621591</v>
      </c>
      <c r="J130" s="3">
        <f t="shared" si="50"/>
        <v>9.9546751790571653E-2</v>
      </c>
      <c r="K130" s="3">
        <f t="shared" si="60"/>
        <v>6.4343634452394776</v>
      </c>
      <c r="L130" s="3">
        <f t="shared" si="66"/>
        <v>6.4343634452394793</v>
      </c>
      <c r="O130" s="9">
        <f t="shared" si="51"/>
        <v>6.4343634456075259E-3</v>
      </c>
      <c r="P130" s="9">
        <f t="shared" si="61"/>
        <v>154.41552920555935</v>
      </c>
      <c r="Q130" s="3">
        <f t="shared" si="52"/>
        <v>10045.531189672753</v>
      </c>
      <c r="R130" s="3">
        <f t="shared" si="53"/>
        <v>154428.27504767122</v>
      </c>
      <c r="S130" s="3">
        <f t="shared" si="54"/>
        <v>154428.27504767125</v>
      </c>
      <c r="T130" s="3"/>
      <c r="U130" s="3"/>
      <c r="V130" s="3">
        <f t="shared" si="55"/>
        <v>1606.401043535581</v>
      </c>
      <c r="W130" s="3">
        <f t="shared" si="62"/>
        <v>189555.32313719857</v>
      </c>
      <c r="X130" s="3">
        <f t="shared" si="56"/>
        <v>15.471111111111114</v>
      </c>
      <c r="Y130" s="3">
        <f t="shared" si="57"/>
        <v>15.471111111111112</v>
      </c>
      <c r="Z130" s="3">
        <f t="shared" si="63"/>
        <v>24852.809033543814</v>
      </c>
      <c r="AK130">
        <f t="shared" si="58"/>
        <v>118</v>
      </c>
      <c r="AL130" s="3">
        <f t="shared" si="77"/>
        <v>762.71186440677968</v>
      </c>
      <c r="AM130" s="3">
        <f t="shared" si="77"/>
        <v>1525.4237288135594</v>
      </c>
      <c r="AN130" s="3">
        <f t="shared" si="77"/>
        <v>2288.1355932203387</v>
      </c>
      <c r="AO130" s="3">
        <f t="shared" si="77"/>
        <v>3050.8474576271187</v>
      </c>
      <c r="AP130" s="3">
        <f t="shared" si="77"/>
        <v>3813.5593220338983</v>
      </c>
      <c r="AQ130" s="3">
        <f t="shared" si="77"/>
        <v>4576.2711864406774</v>
      </c>
      <c r="AR130" s="3">
        <f t="shared" si="77"/>
        <v>5338.983050847457</v>
      </c>
      <c r="AS130" s="3">
        <f t="shared" si="77"/>
        <v>6101.6949152542375</v>
      </c>
      <c r="AT130" s="3">
        <f t="shared" si="77"/>
        <v>6864.406779661017</v>
      </c>
      <c r="AU130" s="3">
        <f t="shared" si="77"/>
        <v>7627.1186440677966</v>
      </c>
      <c r="AV130" s="3">
        <f t="shared" si="78"/>
        <v>8389.8305084745753</v>
      </c>
      <c r="AW130" s="3">
        <f t="shared" si="78"/>
        <v>9152.5423728813548</v>
      </c>
      <c r="AX130" s="3">
        <f t="shared" si="78"/>
        <v>9915.2542372881344</v>
      </c>
      <c r="AY130" s="3">
        <f t="shared" si="78"/>
        <v>10677.966101694914</v>
      </c>
      <c r="AZ130" s="3">
        <f t="shared" si="78"/>
        <v>11440.677966101695</v>
      </c>
      <c r="BA130" s="3">
        <f t="shared" si="78"/>
        <v>12203.389830508475</v>
      </c>
      <c r="BB130" s="3">
        <f t="shared" si="78"/>
        <v>12966.101694915254</v>
      </c>
      <c r="BC130" s="3">
        <f t="shared" si="78"/>
        <v>13728.813559322034</v>
      </c>
      <c r="BD130" s="3">
        <f t="shared" si="78"/>
        <v>14491.525423728812</v>
      </c>
      <c r="BE130" s="3">
        <f t="shared" si="78"/>
        <v>15254.237288135593</v>
      </c>
    </row>
    <row r="131" spans="1:57" x14ac:dyDescent="0.45">
      <c r="A131">
        <f t="shared" si="75"/>
        <v>119</v>
      </c>
      <c r="B131" s="3">
        <f t="shared" si="45"/>
        <v>63.554833698185156</v>
      </c>
      <c r="C131" s="3">
        <f t="shared" si="76"/>
        <v>7563.0252100840335</v>
      </c>
      <c r="D131" s="3">
        <f t="shared" si="46"/>
        <v>2.4216463663820628E-2</v>
      </c>
      <c r="E131" s="3">
        <f t="shared" si="47"/>
        <v>15.734444444444442</v>
      </c>
      <c r="F131" s="3"/>
      <c r="G131" s="3">
        <f t="shared" si="48"/>
        <v>19278173.879243527</v>
      </c>
      <c r="H131" s="3">
        <f t="shared" si="49"/>
        <v>756302.52100840339</v>
      </c>
      <c r="I131" s="3">
        <f t="shared" si="59"/>
        <v>9668711.9376300853</v>
      </c>
      <c r="J131" s="3">
        <f t="shared" si="50"/>
        <v>9.6273168792847488E-2</v>
      </c>
      <c r="K131" s="3">
        <f t="shared" si="60"/>
        <v>6.1186252322267309</v>
      </c>
      <c r="L131" s="3">
        <f t="shared" si="66"/>
        <v>6.11862523222673</v>
      </c>
      <c r="O131" s="9">
        <f t="shared" si="51"/>
        <v>6.1186252325767191E-3</v>
      </c>
      <c r="P131" s="9">
        <f t="shared" si="61"/>
        <v>162.43540615558715</v>
      </c>
      <c r="Q131" s="3">
        <f t="shared" si="52"/>
        <v>10387.110058613687</v>
      </c>
      <c r="R131" s="3">
        <f t="shared" si="53"/>
        <v>162447.5322275018</v>
      </c>
      <c r="S131" s="3">
        <f t="shared" si="54"/>
        <v>162447.53222750183</v>
      </c>
      <c r="T131" s="3"/>
      <c r="U131" s="3"/>
      <c r="V131" s="3">
        <f t="shared" si="55"/>
        <v>1620.0146117011366</v>
      </c>
      <c r="W131" s="3">
        <f t="shared" si="62"/>
        <v>192781.73879243527</v>
      </c>
      <c r="X131" s="3">
        <f t="shared" si="56"/>
        <v>15.734444444444442</v>
      </c>
      <c r="Y131" s="3">
        <f t="shared" si="57"/>
        <v>15.734444444444442</v>
      </c>
      <c r="Z131" s="3">
        <f t="shared" si="63"/>
        <v>25490.029906999767</v>
      </c>
      <c r="AK131">
        <f t="shared" si="58"/>
        <v>119</v>
      </c>
      <c r="AL131" s="3">
        <f t="shared" si="77"/>
        <v>756.30252100840346</v>
      </c>
      <c r="AM131" s="3">
        <f t="shared" si="77"/>
        <v>1512.6050420168069</v>
      </c>
      <c r="AN131" s="3">
        <f t="shared" si="77"/>
        <v>2268.90756302521</v>
      </c>
      <c r="AO131" s="3">
        <f t="shared" si="77"/>
        <v>3025.2100840336138</v>
      </c>
      <c r="AP131" s="3">
        <f t="shared" si="77"/>
        <v>3781.5126050420172</v>
      </c>
      <c r="AQ131" s="3">
        <f t="shared" si="77"/>
        <v>4537.8151260504201</v>
      </c>
      <c r="AR131" s="3">
        <f t="shared" si="77"/>
        <v>5294.1176470588243</v>
      </c>
      <c r="AS131" s="3">
        <f t="shared" si="77"/>
        <v>6050.4201680672277</v>
      </c>
      <c r="AT131" s="3">
        <f t="shared" si="77"/>
        <v>6806.722689075631</v>
      </c>
      <c r="AU131" s="3">
        <f t="shared" si="77"/>
        <v>7563.0252100840344</v>
      </c>
      <c r="AV131" s="3">
        <f t="shared" si="78"/>
        <v>8319.3277310924386</v>
      </c>
      <c r="AW131" s="3">
        <f t="shared" si="78"/>
        <v>9075.6302521008402</v>
      </c>
      <c r="AX131" s="3">
        <f t="shared" si="78"/>
        <v>9831.9327731092453</v>
      </c>
      <c r="AY131" s="3">
        <f t="shared" si="78"/>
        <v>10588.235294117649</v>
      </c>
      <c r="AZ131" s="3">
        <f t="shared" si="78"/>
        <v>11344.537815126052</v>
      </c>
      <c r="BA131" s="3">
        <f t="shared" si="78"/>
        <v>12100.840336134455</v>
      </c>
      <c r="BB131" s="3">
        <f t="shared" si="78"/>
        <v>12857.142857142859</v>
      </c>
      <c r="BC131" s="3">
        <f t="shared" si="78"/>
        <v>13613.445378151262</v>
      </c>
      <c r="BD131" s="3">
        <f t="shared" si="78"/>
        <v>14369.747899159665</v>
      </c>
      <c r="BE131" s="3">
        <f t="shared" si="78"/>
        <v>15126.050420168069</v>
      </c>
    </row>
    <row r="132" spans="1:57" x14ac:dyDescent="0.45">
      <c r="A132">
        <f t="shared" si="75"/>
        <v>120</v>
      </c>
      <c r="B132" s="3">
        <f t="shared" si="45"/>
        <v>62.5</v>
      </c>
      <c r="C132" s="3">
        <f t="shared" si="76"/>
        <v>7500</v>
      </c>
      <c r="D132" s="3">
        <f t="shared" si="46"/>
        <v>2.341928246170899E-2</v>
      </c>
      <c r="E132" s="3">
        <f t="shared" si="47"/>
        <v>16</v>
      </c>
      <c r="F132" s="3"/>
      <c r="G132" s="3">
        <f t="shared" si="48"/>
        <v>19603538.158400312</v>
      </c>
      <c r="H132" s="3">
        <f t="shared" si="49"/>
        <v>750000</v>
      </c>
      <c r="I132" s="3">
        <f t="shared" si="59"/>
        <v>9830421.0022747386</v>
      </c>
      <c r="J132" s="3">
        <f t="shared" si="50"/>
        <v>9.3131859515789811E-2</v>
      </c>
      <c r="K132" s="3">
        <f t="shared" si="60"/>
        <v>5.8207412197368633</v>
      </c>
      <c r="L132" s="3">
        <f t="shared" si="66"/>
        <v>5.8207412197368642</v>
      </c>
      <c r="O132" s="9">
        <f t="shared" si="51"/>
        <v>5.8207412200698121E-3</v>
      </c>
      <c r="P132" s="9">
        <f t="shared" si="61"/>
        <v>170.79942591366506</v>
      </c>
      <c r="Q132" s="3">
        <f t="shared" si="52"/>
        <v>10737.464119604067</v>
      </c>
      <c r="R132" s="3">
        <f t="shared" si="53"/>
        <v>170810.96672992976</v>
      </c>
      <c r="S132" s="3">
        <f t="shared" si="54"/>
        <v>170810.96672992979</v>
      </c>
      <c r="T132" s="3"/>
      <c r="U132" s="3"/>
      <c r="V132" s="3">
        <f t="shared" si="55"/>
        <v>1633.6281798666923</v>
      </c>
      <c r="W132" s="3">
        <f t="shared" si="62"/>
        <v>196035.38158400307</v>
      </c>
      <c r="X132" s="3">
        <f t="shared" si="56"/>
        <v>16</v>
      </c>
      <c r="Y132" s="3">
        <f t="shared" si="57"/>
        <v>16</v>
      </c>
      <c r="Z132" s="3">
        <f t="shared" si="63"/>
        <v>26138.050877867077</v>
      </c>
      <c r="AK132">
        <f t="shared" si="58"/>
        <v>120</v>
      </c>
      <c r="AL132" s="3">
        <f t="shared" si="77"/>
        <v>750</v>
      </c>
      <c r="AM132" s="3">
        <f t="shared" si="77"/>
        <v>1500</v>
      </c>
      <c r="AN132" s="3">
        <f t="shared" si="77"/>
        <v>2250</v>
      </c>
      <c r="AO132" s="3">
        <f t="shared" si="77"/>
        <v>3000</v>
      </c>
      <c r="AP132" s="3">
        <f t="shared" si="77"/>
        <v>3750</v>
      </c>
      <c r="AQ132" s="3">
        <f t="shared" si="77"/>
        <v>4500</v>
      </c>
      <c r="AR132" s="3">
        <f t="shared" si="77"/>
        <v>5250</v>
      </c>
      <c r="AS132" s="3">
        <f t="shared" si="77"/>
        <v>6000</v>
      </c>
      <c r="AT132" s="3">
        <f t="shared" si="77"/>
        <v>6750</v>
      </c>
      <c r="AU132" s="3">
        <f t="shared" si="77"/>
        <v>7500</v>
      </c>
      <c r="AV132" s="3">
        <f t="shared" si="78"/>
        <v>8250</v>
      </c>
      <c r="AW132" s="3">
        <f t="shared" si="78"/>
        <v>9000</v>
      </c>
      <c r="AX132" s="3">
        <f t="shared" si="78"/>
        <v>9750</v>
      </c>
      <c r="AY132" s="3">
        <f t="shared" si="78"/>
        <v>10500</v>
      </c>
      <c r="AZ132" s="3">
        <f t="shared" si="78"/>
        <v>11250</v>
      </c>
      <c r="BA132" s="3">
        <f t="shared" si="78"/>
        <v>12000</v>
      </c>
      <c r="BB132" s="3">
        <f t="shared" si="78"/>
        <v>12750</v>
      </c>
      <c r="BC132" s="3">
        <f t="shared" si="78"/>
        <v>13500</v>
      </c>
      <c r="BD132" s="3">
        <f t="shared" si="78"/>
        <v>14250</v>
      </c>
      <c r="BE132" s="3">
        <f t="shared" si="78"/>
        <v>15000</v>
      </c>
    </row>
    <row r="133" spans="1:57" x14ac:dyDescent="0.45">
      <c r="A133">
        <f t="shared" si="75"/>
        <v>121</v>
      </c>
      <c r="B133" s="3">
        <f t="shared" si="45"/>
        <v>61.471210982856363</v>
      </c>
      <c r="C133" s="3">
        <f t="shared" si="76"/>
        <v>7438.0165289256202</v>
      </c>
      <c r="D133" s="3">
        <f t="shared" si="46"/>
        <v>2.2654635947926861E-2</v>
      </c>
      <c r="E133" s="3">
        <f t="shared" si="47"/>
        <v>16.267777777777777</v>
      </c>
      <c r="F133" s="3"/>
      <c r="G133" s="3">
        <f t="shared" si="48"/>
        <v>19931625.151190203</v>
      </c>
      <c r="H133" s="3">
        <f t="shared" si="49"/>
        <v>743801.65289256198</v>
      </c>
      <c r="I133" s="3">
        <f t="shared" si="59"/>
        <v>9993530.9671174362</v>
      </c>
      <c r="J133" s="3">
        <f t="shared" si="50"/>
        <v>9.0116555680067087E-2</v>
      </c>
      <c r="K133" s="3">
        <f t="shared" si="60"/>
        <v>5.5395738072577272</v>
      </c>
      <c r="L133" s="3">
        <f t="shared" si="66"/>
        <v>5.5395738072577263</v>
      </c>
      <c r="O133" s="9">
        <f t="shared" si="51"/>
        <v>5.539573807574593E-3</v>
      </c>
      <c r="P133" s="9">
        <f t="shared" si="61"/>
        <v>179.51930251974255</v>
      </c>
      <c r="Q133" s="3">
        <f t="shared" si="52"/>
        <v>11096.740131669168</v>
      </c>
      <c r="R133" s="3">
        <f t="shared" si="53"/>
        <v>179530.29044916207</v>
      </c>
      <c r="S133" s="3">
        <f t="shared" si="54"/>
        <v>179530.29044916207</v>
      </c>
      <c r="T133" s="3"/>
      <c r="U133" s="3"/>
      <c r="V133" s="3">
        <f t="shared" si="55"/>
        <v>1647.2417480322483</v>
      </c>
      <c r="W133" s="3">
        <f t="shared" si="62"/>
        <v>199316.25151190205</v>
      </c>
      <c r="X133" s="3">
        <f t="shared" si="56"/>
        <v>16.267777777777781</v>
      </c>
      <c r="Y133" s="3">
        <f t="shared" si="57"/>
        <v>16.267777777777777</v>
      </c>
      <c r="Z133" s="3">
        <f t="shared" si="63"/>
        <v>26796.962703266829</v>
      </c>
      <c r="AK133">
        <f t="shared" si="58"/>
        <v>121</v>
      </c>
      <c r="AL133" s="3">
        <f t="shared" ref="AL133:AU142" si="79">AL$12/(IMPROVED_MBPS*IMPROVED_KM^2/(DIST_RINGS_EM/$AK133)^2)*$AK133</f>
        <v>743.80165289256206</v>
      </c>
      <c r="AM133" s="3">
        <f t="shared" si="79"/>
        <v>1487.6033057851241</v>
      </c>
      <c r="AN133" s="3">
        <f t="shared" si="79"/>
        <v>2231.404958677686</v>
      </c>
      <c r="AO133" s="3">
        <f t="shared" si="79"/>
        <v>2975.2066115702482</v>
      </c>
      <c r="AP133" s="3">
        <f t="shared" si="79"/>
        <v>3719.0082644628101</v>
      </c>
      <c r="AQ133" s="3">
        <f t="shared" si="79"/>
        <v>4462.8099173553719</v>
      </c>
      <c r="AR133" s="3">
        <f t="shared" si="79"/>
        <v>5206.6115702479347</v>
      </c>
      <c r="AS133" s="3">
        <f t="shared" si="79"/>
        <v>5950.4132231404965</v>
      </c>
      <c r="AT133" s="3">
        <f t="shared" si="79"/>
        <v>6694.2148760330583</v>
      </c>
      <c r="AU133" s="3">
        <f t="shared" si="79"/>
        <v>7438.0165289256202</v>
      </c>
      <c r="AV133" s="3">
        <f t="shared" ref="AV133:BE142" si="80">AV$12/(IMPROVED_MBPS*IMPROVED_KM^2/(DIST_RINGS_EM/$AK133)^2)*$AK133</f>
        <v>8181.818181818182</v>
      </c>
      <c r="AW133" s="3">
        <f t="shared" si="80"/>
        <v>8925.6198347107438</v>
      </c>
      <c r="AX133" s="3">
        <f t="shared" si="80"/>
        <v>9669.4214876033056</v>
      </c>
      <c r="AY133" s="3">
        <f t="shared" si="80"/>
        <v>10413.223140495869</v>
      </c>
      <c r="AZ133" s="3">
        <f t="shared" si="80"/>
        <v>11157.024793388431</v>
      </c>
      <c r="BA133" s="3">
        <f t="shared" si="80"/>
        <v>11900.826446280993</v>
      </c>
      <c r="BB133" s="3">
        <f t="shared" si="80"/>
        <v>12644.628099173555</v>
      </c>
      <c r="BC133" s="3">
        <f t="shared" si="80"/>
        <v>13388.429752066117</v>
      </c>
      <c r="BD133" s="3">
        <f t="shared" si="80"/>
        <v>14132.231404958678</v>
      </c>
      <c r="BE133" s="3">
        <f t="shared" si="80"/>
        <v>14876.03305785124</v>
      </c>
    </row>
    <row r="134" spans="1:57" x14ac:dyDescent="0.45">
      <c r="A134">
        <f t="shared" si="75"/>
        <v>122</v>
      </c>
      <c r="B134" s="3">
        <f t="shared" si="45"/>
        <v>60.467616232195645</v>
      </c>
      <c r="C134" s="3">
        <f t="shared" si="76"/>
        <v>7377.0491803278692</v>
      </c>
      <c r="D134" s="3">
        <f t="shared" si="46"/>
        <v>2.1920943675703665E-2</v>
      </c>
      <c r="E134" s="3">
        <f t="shared" si="47"/>
        <v>16.537777777777777</v>
      </c>
      <c r="F134" s="3"/>
      <c r="G134" s="3">
        <f t="shared" si="48"/>
        <v>20262434.85761321</v>
      </c>
      <c r="H134" s="3">
        <f t="shared" si="49"/>
        <v>737704.91803278693</v>
      </c>
      <c r="I134" s="3">
        <f t="shared" si="59"/>
        <v>10158039.92588356</v>
      </c>
      <c r="J134" s="3">
        <f t="shared" si="50"/>
        <v>8.7221324723795166E-2</v>
      </c>
      <c r="K134" s="3">
        <f t="shared" si="60"/>
        <v>5.2740655906621638</v>
      </c>
      <c r="L134" s="3">
        <f t="shared" si="66"/>
        <v>5.274065590662163</v>
      </c>
      <c r="O134" s="9">
        <f t="shared" si="51"/>
        <v>5.2740655909638426E-3</v>
      </c>
      <c r="P134" s="9">
        <f t="shared" si="61"/>
        <v>188.6070465474148</v>
      </c>
      <c r="Q134" s="3">
        <f t="shared" si="52"/>
        <v>11465.086125549135</v>
      </c>
      <c r="R134" s="3">
        <f t="shared" si="53"/>
        <v>188617.51195861032</v>
      </c>
      <c r="S134" s="3">
        <f t="shared" si="54"/>
        <v>188617.5119586103</v>
      </c>
      <c r="T134" s="3"/>
      <c r="U134" s="3"/>
      <c r="V134" s="3">
        <f t="shared" si="55"/>
        <v>1660.8553161978041</v>
      </c>
      <c r="W134" s="3">
        <f t="shared" si="62"/>
        <v>202624.34857613209</v>
      </c>
      <c r="X134" s="3">
        <f t="shared" si="56"/>
        <v>16.53777777777778</v>
      </c>
      <c r="Y134" s="3">
        <f t="shared" si="57"/>
        <v>16.537777777777777</v>
      </c>
      <c r="Z134" s="3">
        <f t="shared" si="63"/>
        <v>27466.856140320127</v>
      </c>
      <c r="AK134">
        <f t="shared" si="58"/>
        <v>122</v>
      </c>
      <c r="AL134" s="3">
        <f t="shared" si="79"/>
        <v>737.70491803278696</v>
      </c>
      <c r="AM134" s="3">
        <f t="shared" si="79"/>
        <v>1475.4098360655739</v>
      </c>
      <c r="AN134" s="3">
        <f t="shared" si="79"/>
        <v>2213.1147540983611</v>
      </c>
      <c r="AO134" s="3">
        <f t="shared" si="79"/>
        <v>2950.8196721311479</v>
      </c>
      <c r="AP134" s="3">
        <f t="shared" si="79"/>
        <v>3688.5245901639346</v>
      </c>
      <c r="AQ134" s="3">
        <f t="shared" si="79"/>
        <v>4426.2295081967222</v>
      </c>
      <c r="AR134" s="3">
        <f t="shared" si="79"/>
        <v>5163.9344262295081</v>
      </c>
      <c r="AS134" s="3">
        <f t="shared" si="79"/>
        <v>5901.6393442622957</v>
      </c>
      <c r="AT134" s="3">
        <f t="shared" si="79"/>
        <v>6639.3442622950824</v>
      </c>
      <c r="AU134" s="3">
        <f t="shared" si="79"/>
        <v>7377.0491803278692</v>
      </c>
      <c r="AV134" s="3">
        <f t="shared" si="80"/>
        <v>8114.7540983606568</v>
      </c>
      <c r="AW134" s="3">
        <f t="shared" si="80"/>
        <v>8852.4590163934445</v>
      </c>
      <c r="AX134" s="3">
        <f t="shared" si="80"/>
        <v>9590.1639344262312</v>
      </c>
      <c r="AY134" s="3">
        <f t="shared" si="80"/>
        <v>10327.868852459016</v>
      </c>
      <c r="AZ134" s="3">
        <f t="shared" si="80"/>
        <v>11065.573770491803</v>
      </c>
      <c r="BA134" s="3">
        <f t="shared" si="80"/>
        <v>11803.278688524591</v>
      </c>
      <c r="BB134" s="3">
        <f t="shared" si="80"/>
        <v>12540.983606557378</v>
      </c>
      <c r="BC134" s="3">
        <f t="shared" si="80"/>
        <v>13278.688524590165</v>
      </c>
      <c r="BD134" s="3">
        <f t="shared" si="80"/>
        <v>14016.393442622952</v>
      </c>
      <c r="BE134" s="3">
        <f t="shared" si="80"/>
        <v>14754.098360655738</v>
      </c>
    </row>
    <row r="135" spans="1:57" x14ac:dyDescent="0.45">
      <c r="A135">
        <f t="shared" si="75"/>
        <v>123</v>
      </c>
      <c r="B135" s="3">
        <f t="shared" si="45"/>
        <v>59.488399762046399</v>
      </c>
      <c r="C135" s="3">
        <f t="shared" si="76"/>
        <v>7317.0731707317073</v>
      </c>
      <c r="D135" s="3">
        <f t="shared" si="46"/>
        <v>2.1216714046932848E-2</v>
      </c>
      <c r="E135" s="3">
        <f t="shared" si="47"/>
        <v>16.810000000000002</v>
      </c>
      <c r="F135" s="3"/>
      <c r="G135" s="3">
        <f t="shared" si="48"/>
        <v>20595967.277669325</v>
      </c>
      <c r="H135" s="3">
        <f t="shared" si="49"/>
        <v>731707.31707317068</v>
      </c>
      <c r="I135" s="3">
        <f t="shared" si="59"/>
        <v>10323946.078102347</v>
      </c>
      <c r="J135" s="3">
        <f t="shared" si="50"/>
        <v>8.4440550177716803E-2</v>
      </c>
      <c r="K135" s="3">
        <f t="shared" si="60"/>
        <v>5.0232332050991548</v>
      </c>
      <c r="L135" s="3">
        <f t="shared" si="66"/>
        <v>5.0232332050991557</v>
      </c>
      <c r="O135" s="9">
        <f t="shared" si="51"/>
        <v>5.0232332053864858E-3</v>
      </c>
      <c r="P135" s="9">
        <f t="shared" si="61"/>
        <v>198.07497006662672</v>
      </c>
      <c r="Q135" s="3">
        <f t="shared" si="52"/>
        <v>11842.651401940911</v>
      </c>
      <c r="R135" s="3">
        <f t="shared" si="53"/>
        <v>198084.94146306603</v>
      </c>
      <c r="S135" s="3">
        <f t="shared" si="54"/>
        <v>198084.94146306603</v>
      </c>
      <c r="T135" s="3"/>
      <c r="U135" s="3"/>
      <c r="V135" s="3">
        <f t="shared" si="55"/>
        <v>1674.4688843633598</v>
      </c>
      <c r="W135" s="3">
        <f t="shared" si="62"/>
        <v>205959.67277669327</v>
      </c>
      <c r="X135" s="3">
        <f t="shared" si="56"/>
        <v>16.810000000000002</v>
      </c>
      <c r="Y135" s="3">
        <f t="shared" si="57"/>
        <v>16.810000000000002</v>
      </c>
      <c r="Z135" s="3">
        <f t="shared" si="63"/>
        <v>28147.821946148084</v>
      </c>
      <c r="AK135">
        <f t="shared" si="58"/>
        <v>123</v>
      </c>
      <c r="AL135" s="3">
        <f t="shared" si="79"/>
        <v>731.70731707317066</v>
      </c>
      <c r="AM135" s="3">
        <f t="shared" si="79"/>
        <v>1463.4146341463413</v>
      </c>
      <c r="AN135" s="3">
        <f t="shared" si="79"/>
        <v>2195.1219512195121</v>
      </c>
      <c r="AO135" s="3">
        <f t="shared" si="79"/>
        <v>2926.8292682926826</v>
      </c>
      <c r="AP135" s="3">
        <f t="shared" si="79"/>
        <v>3658.5365853658532</v>
      </c>
      <c r="AQ135" s="3">
        <f t="shared" si="79"/>
        <v>4390.2439024390242</v>
      </c>
      <c r="AR135" s="3">
        <f t="shared" si="79"/>
        <v>5121.9512195121943</v>
      </c>
      <c r="AS135" s="3">
        <f t="shared" si="79"/>
        <v>5853.6585365853653</v>
      </c>
      <c r="AT135" s="3">
        <f t="shared" si="79"/>
        <v>6585.3658536585353</v>
      </c>
      <c r="AU135" s="3">
        <f t="shared" si="79"/>
        <v>7317.0731707317063</v>
      </c>
      <c r="AV135" s="3">
        <f t="shared" si="80"/>
        <v>8048.7804878048773</v>
      </c>
      <c r="AW135" s="3">
        <f t="shared" si="80"/>
        <v>8780.4878048780483</v>
      </c>
      <c r="AX135" s="3">
        <f t="shared" si="80"/>
        <v>9512.1951219512193</v>
      </c>
      <c r="AY135" s="3">
        <f t="shared" si="80"/>
        <v>10243.902439024389</v>
      </c>
      <c r="AZ135" s="3">
        <f t="shared" si="80"/>
        <v>10975.60975609756</v>
      </c>
      <c r="BA135" s="3">
        <f t="shared" si="80"/>
        <v>11707.317073170731</v>
      </c>
      <c r="BB135" s="3">
        <f t="shared" si="80"/>
        <v>12439.024390243902</v>
      </c>
      <c r="BC135" s="3">
        <f t="shared" si="80"/>
        <v>13170.731707317071</v>
      </c>
      <c r="BD135" s="3">
        <f t="shared" si="80"/>
        <v>13902.439024390242</v>
      </c>
      <c r="BE135" s="3">
        <f t="shared" si="80"/>
        <v>14634.146341463413</v>
      </c>
    </row>
    <row r="136" spans="1:57" x14ac:dyDescent="0.45">
      <c r="A136">
        <f t="shared" si="75"/>
        <v>124</v>
      </c>
      <c r="B136" s="3">
        <f t="shared" si="45"/>
        <v>58.532778355879294</v>
      </c>
      <c r="C136" s="3">
        <f t="shared" si="76"/>
        <v>7258.0645161290322</v>
      </c>
      <c r="D136" s="3">
        <f t="shared" si="46"/>
        <v>2.054053864934775E-2</v>
      </c>
      <c r="E136" s="3">
        <f t="shared" si="47"/>
        <v>17.084444444444443</v>
      </c>
      <c r="F136" s="3"/>
      <c r="G136" s="3">
        <f t="shared" si="48"/>
        <v>20932222.411358554</v>
      </c>
      <c r="H136" s="3">
        <f t="shared" si="49"/>
        <v>725806.45161290327</v>
      </c>
      <c r="I136" s="3">
        <f t="shared" si="59"/>
        <v>10491247.722499371</v>
      </c>
      <c r="J136" s="3">
        <f t="shared" si="50"/>
        <v>8.1768913241905952E-2</v>
      </c>
      <c r="K136" s="3">
        <f t="shared" si="60"/>
        <v>4.7861616751896046</v>
      </c>
      <c r="L136" s="3">
        <f t="shared" si="66"/>
        <v>4.7861616751896063</v>
      </c>
      <c r="O136" s="9">
        <f t="shared" si="51"/>
        <v>4.7861616754633751E-3</v>
      </c>
      <c r="P136" s="9">
        <f t="shared" si="61"/>
        <v>207.93569164756317</v>
      </c>
      <c r="Q136" s="3">
        <f t="shared" si="52"/>
        <v>12229.586529839156</v>
      </c>
      <c r="R136" s="3">
        <f t="shared" si="53"/>
        <v>207945.19579285235</v>
      </c>
      <c r="S136" s="3">
        <f t="shared" si="54"/>
        <v>207945.19579285235</v>
      </c>
      <c r="T136" s="3"/>
      <c r="U136" s="3"/>
      <c r="V136" s="3">
        <f t="shared" si="55"/>
        <v>1688.0824525289158</v>
      </c>
      <c r="W136" s="3">
        <f t="shared" si="62"/>
        <v>209322.22411358557</v>
      </c>
      <c r="X136" s="3">
        <f t="shared" si="56"/>
        <v>17.084444444444451</v>
      </c>
      <c r="Y136" s="3">
        <f t="shared" si="57"/>
        <v>17.084444444444443</v>
      </c>
      <c r="Z136" s="3">
        <f t="shared" si="63"/>
        <v>28839.950877871786</v>
      </c>
      <c r="AK136">
        <f t="shared" si="58"/>
        <v>124</v>
      </c>
      <c r="AL136" s="3">
        <f t="shared" si="79"/>
        <v>725.80645161290329</v>
      </c>
      <c r="AM136" s="3">
        <f t="shared" si="79"/>
        <v>1451.6129032258066</v>
      </c>
      <c r="AN136" s="3">
        <f t="shared" si="79"/>
        <v>2177.4193548387098</v>
      </c>
      <c r="AO136" s="3">
        <f t="shared" si="79"/>
        <v>2903.2258064516132</v>
      </c>
      <c r="AP136" s="3">
        <f t="shared" si="79"/>
        <v>3629.0322580645161</v>
      </c>
      <c r="AQ136" s="3">
        <f t="shared" si="79"/>
        <v>4354.8387096774195</v>
      </c>
      <c r="AR136" s="3">
        <f t="shared" si="79"/>
        <v>5080.6451612903229</v>
      </c>
      <c r="AS136" s="3">
        <f t="shared" si="79"/>
        <v>5806.4516129032263</v>
      </c>
      <c r="AT136" s="3">
        <f t="shared" si="79"/>
        <v>6532.2580645161288</v>
      </c>
      <c r="AU136" s="3">
        <f t="shared" si="79"/>
        <v>7258.0645161290322</v>
      </c>
      <c r="AV136" s="3">
        <f t="shared" si="80"/>
        <v>7983.8709677419356</v>
      </c>
      <c r="AW136" s="3">
        <f t="shared" si="80"/>
        <v>8709.677419354839</v>
      </c>
      <c r="AX136" s="3">
        <f t="shared" si="80"/>
        <v>9435.4838709677424</v>
      </c>
      <c r="AY136" s="3">
        <f t="shared" si="80"/>
        <v>10161.290322580646</v>
      </c>
      <c r="AZ136" s="3">
        <f t="shared" si="80"/>
        <v>10887.096774193549</v>
      </c>
      <c r="BA136" s="3">
        <f t="shared" si="80"/>
        <v>11612.903225806453</v>
      </c>
      <c r="BB136" s="3">
        <f t="shared" si="80"/>
        <v>12338.709677419356</v>
      </c>
      <c r="BC136" s="3">
        <f t="shared" si="80"/>
        <v>13064.516129032258</v>
      </c>
      <c r="BD136" s="3">
        <f t="shared" si="80"/>
        <v>13790.322580645161</v>
      </c>
      <c r="BE136" s="3">
        <f t="shared" si="80"/>
        <v>14516.129032258064</v>
      </c>
    </row>
    <row r="137" spans="1:57" x14ac:dyDescent="0.45">
      <c r="A137">
        <f t="shared" si="75"/>
        <v>125</v>
      </c>
      <c r="B137" s="3">
        <f t="shared" si="45"/>
        <v>57.6</v>
      </c>
      <c r="C137" s="3">
        <f t="shared" si="76"/>
        <v>7200</v>
      </c>
      <c r="D137" s="3">
        <f t="shared" si="46"/>
        <v>1.9891086996520861E-2</v>
      </c>
      <c r="E137" s="3">
        <f t="shared" si="47"/>
        <v>17.361111111111111</v>
      </c>
      <c r="F137" s="3"/>
      <c r="G137" s="3">
        <f t="shared" si="48"/>
        <v>21271200.258680891</v>
      </c>
      <c r="H137" s="3">
        <f t="shared" si="49"/>
        <v>720000</v>
      </c>
      <c r="I137" s="3">
        <f t="shared" si="59"/>
        <v>10659943.250844561</v>
      </c>
      <c r="J137" s="3">
        <f t="shared" si="50"/>
        <v>7.9201375491967776E-2</v>
      </c>
      <c r="K137" s="3">
        <f t="shared" si="60"/>
        <v>4.5619992283373438</v>
      </c>
      <c r="L137" s="3">
        <f t="shared" si="66"/>
        <v>4.5619992283373447</v>
      </c>
      <c r="O137" s="9">
        <f t="shared" si="51"/>
        <v>4.5619992285982919E-3</v>
      </c>
      <c r="P137" s="9">
        <f t="shared" si="61"/>
        <v>218.20214140572256</v>
      </c>
      <c r="Q137" s="3">
        <f t="shared" si="52"/>
        <v>12626.043344969619</v>
      </c>
      <c r="R137" s="3">
        <f t="shared" si="53"/>
        <v>218211.20343989052</v>
      </c>
      <c r="S137" s="3">
        <f t="shared" si="54"/>
        <v>218211.20343989058</v>
      </c>
      <c r="T137" s="3"/>
      <c r="U137" s="3"/>
      <c r="V137" s="3">
        <f t="shared" si="55"/>
        <v>1701.6960206944711</v>
      </c>
      <c r="W137" s="3">
        <f t="shared" si="62"/>
        <v>212712.0025868089</v>
      </c>
      <c r="X137" s="3">
        <f t="shared" si="56"/>
        <v>17.361111111111107</v>
      </c>
      <c r="Y137" s="3">
        <f t="shared" si="57"/>
        <v>17.361111111111111</v>
      </c>
      <c r="Z137" s="3">
        <f t="shared" si="63"/>
        <v>29543.333692612345</v>
      </c>
      <c r="AK137">
        <f t="shared" si="58"/>
        <v>125</v>
      </c>
      <c r="AL137" s="3">
        <f t="shared" si="79"/>
        <v>720</v>
      </c>
      <c r="AM137" s="3">
        <f t="shared" si="79"/>
        <v>1440</v>
      </c>
      <c r="AN137" s="3">
        <f t="shared" si="79"/>
        <v>2160</v>
      </c>
      <c r="AO137" s="3">
        <f t="shared" si="79"/>
        <v>2880</v>
      </c>
      <c r="AP137" s="3">
        <f t="shared" si="79"/>
        <v>3600</v>
      </c>
      <c r="AQ137" s="3">
        <f t="shared" si="79"/>
        <v>4320</v>
      </c>
      <c r="AR137" s="3">
        <f t="shared" si="79"/>
        <v>5040</v>
      </c>
      <c r="AS137" s="3">
        <f t="shared" si="79"/>
        <v>5760</v>
      </c>
      <c r="AT137" s="3">
        <f t="shared" si="79"/>
        <v>6480</v>
      </c>
      <c r="AU137" s="3">
        <f t="shared" si="79"/>
        <v>7200</v>
      </c>
      <c r="AV137" s="3">
        <f t="shared" si="80"/>
        <v>7920</v>
      </c>
      <c r="AW137" s="3">
        <f t="shared" si="80"/>
        <v>8640</v>
      </c>
      <c r="AX137" s="3">
        <f t="shared" si="80"/>
        <v>9360</v>
      </c>
      <c r="AY137" s="3">
        <f t="shared" si="80"/>
        <v>10080</v>
      </c>
      <c r="AZ137" s="3">
        <f t="shared" si="80"/>
        <v>10800</v>
      </c>
      <c r="BA137" s="3">
        <f t="shared" si="80"/>
        <v>11520</v>
      </c>
      <c r="BB137" s="3">
        <f t="shared" si="80"/>
        <v>12240</v>
      </c>
      <c r="BC137" s="3">
        <f t="shared" si="80"/>
        <v>12960</v>
      </c>
      <c r="BD137" s="3">
        <f t="shared" si="80"/>
        <v>13680</v>
      </c>
      <c r="BE137" s="3">
        <f t="shared" si="80"/>
        <v>14400</v>
      </c>
    </row>
    <row r="138" spans="1:57" x14ac:dyDescent="0.45">
      <c r="A138">
        <f t="shared" si="75"/>
        <v>126</v>
      </c>
      <c r="B138" s="3">
        <f t="shared" si="45"/>
        <v>56.689342403628117</v>
      </c>
      <c r="C138" s="3">
        <f t="shared" si="76"/>
        <v>7142.8571428571431</v>
      </c>
      <c r="D138" s="3">
        <f t="shared" si="46"/>
        <v>1.9267101639098103E-2</v>
      </c>
      <c r="E138" s="3">
        <f t="shared" si="47"/>
        <v>17.639999999999997</v>
      </c>
      <c r="F138" s="3"/>
      <c r="G138" s="3">
        <f t="shared" si="48"/>
        <v>21612900.819636341</v>
      </c>
      <c r="H138" s="3">
        <f t="shared" si="49"/>
        <v>714285.71428571432</v>
      </c>
      <c r="I138" s="3">
        <f t="shared" si="59"/>
        <v>10830031.142221704</v>
      </c>
      <c r="J138" s="3">
        <f t="shared" si="50"/>
        <v>7.6733162646234948E-2</v>
      </c>
      <c r="K138" s="3">
        <f t="shared" si="60"/>
        <v>4.3499525309656999</v>
      </c>
      <c r="L138" s="3">
        <f t="shared" si="66"/>
        <v>4.3499525309656999</v>
      </c>
      <c r="O138" s="9">
        <f t="shared" si="51"/>
        <v>4.3499525312145192E-3</v>
      </c>
      <c r="P138" s="9">
        <f t="shared" si="61"/>
        <v>228.88756608817457</v>
      </c>
      <c r="Q138" s="3">
        <f t="shared" si="52"/>
        <v>13032.174948309215</v>
      </c>
      <c r="R138" s="3">
        <f t="shared" si="53"/>
        <v>228896.20963562583</v>
      </c>
      <c r="S138" s="3">
        <f t="shared" si="54"/>
        <v>228896.20963562583</v>
      </c>
      <c r="T138" s="3"/>
      <c r="U138" s="3"/>
      <c r="V138" s="3">
        <f t="shared" si="55"/>
        <v>1715.3095888600271</v>
      </c>
      <c r="W138" s="3">
        <f t="shared" si="62"/>
        <v>216129.00819636343</v>
      </c>
      <c r="X138" s="3">
        <f t="shared" si="56"/>
        <v>17.64</v>
      </c>
      <c r="Y138" s="3">
        <f t="shared" si="57"/>
        <v>17.639999999999997</v>
      </c>
      <c r="Z138" s="3">
        <f t="shared" si="63"/>
        <v>30258.061147490873</v>
      </c>
      <c r="AK138">
        <f t="shared" si="58"/>
        <v>126</v>
      </c>
      <c r="AL138" s="3">
        <f t="shared" si="79"/>
        <v>714.28571428571433</v>
      </c>
      <c r="AM138" s="3">
        <f t="shared" si="79"/>
        <v>1428.5714285714287</v>
      </c>
      <c r="AN138" s="3">
        <f t="shared" si="79"/>
        <v>2142.8571428571431</v>
      </c>
      <c r="AO138" s="3">
        <f t="shared" si="79"/>
        <v>2857.1428571428573</v>
      </c>
      <c r="AP138" s="3">
        <f t="shared" si="79"/>
        <v>3571.428571428572</v>
      </c>
      <c r="AQ138" s="3">
        <f t="shared" si="79"/>
        <v>4285.7142857142862</v>
      </c>
      <c r="AR138" s="3">
        <f t="shared" si="79"/>
        <v>5000.0000000000009</v>
      </c>
      <c r="AS138" s="3">
        <f t="shared" si="79"/>
        <v>5714.2857142857147</v>
      </c>
      <c r="AT138" s="3">
        <f t="shared" si="79"/>
        <v>6428.5714285714294</v>
      </c>
      <c r="AU138" s="3">
        <f t="shared" si="79"/>
        <v>7142.857142857144</v>
      </c>
      <c r="AV138" s="3">
        <f t="shared" si="80"/>
        <v>7857.1428571428587</v>
      </c>
      <c r="AW138" s="3">
        <f t="shared" si="80"/>
        <v>8571.4285714285725</v>
      </c>
      <c r="AX138" s="3">
        <f t="shared" si="80"/>
        <v>9285.7142857142881</v>
      </c>
      <c r="AY138" s="3">
        <f t="shared" si="80"/>
        <v>10000.000000000002</v>
      </c>
      <c r="AZ138" s="3">
        <f t="shared" si="80"/>
        <v>10714.285714285717</v>
      </c>
      <c r="BA138" s="3">
        <f t="shared" si="80"/>
        <v>11428.571428571429</v>
      </c>
      <c r="BB138" s="3">
        <f t="shared" si="80"/>
        <v>12142.857142857145</v>
      </c>
      <c r="BC138" s="3">
        <f t="shared" si="80"/>
        <v>12857.142857142859</v>
      </c>
      <c r="BD138" s="3">
        <f t="shared" si="80"/>
        <v>13571.428571428574</v>
      </c>
      <c r="BE138" s="3">
        <f t="shared" si="80"/>
        <v>14285.714285714288</v>
      </c>
    </row>
    <row r="139" spans="1:57" x14ac:dyDescent="0.45">
      <c r="A139">
        <f t="shared" si="75"/>
        <v>127</v>
      </c>
      <c r="B139" s="3">
        <f t="shared" si="45"/>
        <v>55.800111600223204</v>
      </c>
      <c r="C139" s="3">
        <f t="shared" si="76"/>
        <v>7086.6141732283468</v>
      </c>
      <c r="D139" s="3">
        <f t="shared" si="46"/>
        <v>1.8667393618383158E-2</v>
      </c>
      <c r="E139" s="3">
        <f t="shared" si="47"/>
        <v>17.921111111111113</v>
      </c>
      <c r="F139" s="3"/>
      <c r="G139" s="3">
        <f t="shared" si="48"/>
        <v>21957324.094224904</v>
      </c>
      <c r="H139" s="3">
        <f t="shared" si="49"/>
        <v>708661.4173228346</v>
      </c>
      <c r="I139" s="3">
        <f t="shared" si="59"/>
        <v>11001509.957688054</v>
      </c>
      <c r="J139" s="3">
        <f t="shared" si="50"/>
        <v>7.4359749328990532E-2</v>
      </c>
      <c r="K139" s="3">
        <f t="shared" si="60"/>
        <v>4.1492823111222945</v>
      </c>
      <c r="L139" s="3">
        <f t="shared" si="66"/>
        <v>4.1492823111222954</v>
      </c>
      <c r="O139" s="9">
        <f t="shared" si="51"/>
        <v>4.1492823113596349E-3</v>
      </c>
      <c r="P139" s="9">
        <f t="shared" si="61"/>
        <v>240.00553420100269</v>
      </c>
      <c r="Q139" s="3">
        <f t="shared" si="52"/>
        <v>13448.13570468736</v>
      </c>
      <c r="R139" s="3">
        <f t="shared" si="53"/>
        <v>240013.78147076376</v>
      </c>
      <c r="S139" s="3">
        <f t="shared" si="54"/>
        <v>240013.78147076376</v>
      </c>
      <c r="T139" s="3"/>
      <c r="U139" s="3"/>
      <c r="V139" s="3">
        <f t="shared" si="55"/>
        <v>1728.9231570255829</v>
      </c>
      <c r="W139" s="3">
        <f t="shared" si="62"/>
        <v>219573.24094224902</v>
      </c>
      <c r="X139" s="3">
        <f t="shared" si="56"/>
        <v>17.921111111111113</v>
      </c>
      <c r="Y139" s="3">
        <f t="shared" si="57"/>
        <v>17.921111111111113</v>
      </c>
      <c r="Z139" s="3">
        <f t="shared" si="63"/>
        <v>30984.223999628477</v>
      </c>
      <c r="AK139">
        <f t="shared" si="58"/>
        <v>127</v>
      </c>
      <c r="AL139" s="3">
        <f t="shared" si="79"/>
        <v>708.66141732283461</v>
      </c>
      <c r="AM139" s="3">
        <f t="shared" si="79"/>
        <v>1417.3228346456692</v>
      </c>
      <c r="AN139" s="3">
        <f t="shared" si="79"/>
        <v>2125.9842519685039</v>
      </c>
      <c r="AO139" s="3">
        <f t="shared" si="79"/>
        <v>2834.6456692913384</v>
      </c>
      <c r="AP139" s="3">
        <f t="shared" si="79"/>
        <v>3543.3070866141729</v>
      </c>
      <c r="AQ139" s="3">
        <f t="shared" si="79"/>
        <v>4251.9685039370079</v>
      </c>
      <c r="AR139" s="3">
        <f t="shared" si="79"/>
        <v>4960.6299212598415</v>
      </c>
      <c r="AS139" s="3">
        <f t="shared" si="79"/>
        <v>5669.2913385826769</v>
      </c>
      <c r="AT139" s="3">
        <f t="shared" si="79"/>
        <v>6377.9527559055114</v>
      </c>
      <c r="AU139" s="3">
        <f t="shared" si="79"/>
        <v>7086.6141732283459</v>
      </c>
      <c r="AV139" s="3">
        <f t="shared" si="80"/>
        <v>7795.2755905511804</v>
      </c>
      <c r="AW139" s="3">
        <f t="shared" si="80"/>
        <v>8503.9370078740158</v>
      </c>
      <c r="AX139" s="3">
        <f t="shared" si="80"/>
        <v>9212.5984251968493</v>
      </c>
      <c r="AY139" s="3">
        <f t="shared" si="80"/>
        <v>9921.2598425196829</v>
      </c>
      <c r="AZ139" s="3">
        <f t="shared" si="80"/>
        <v>10629.921259842518</v>
      </c>
      <c r="BA139" s="3">
        <f t="shared" si="80"/>
        <v>11338.582677165354</v>
      </c>
      <c r="BB139" s="3">
        <f t="shared" si="80"/>
        <v>12047.244094488187</v>
      </c>
      <c r="BC139" s="3">
        <f t="shared" si="80"/>
        <v>12755.905511811023</v>
      </c>
      <c r="BD139" s="3">
        <f t="shared" si="80"/>
        <v>13464.566929133856</v>
      </c>
      <c r="BE139" s="3">
        <f t="shared" si="80"/>
        <v>14173.228346456692</v>
      </c>
    </row>
    <row r="140" spans="1:57" x14ac:dyDescent="0.45">
      <c r="A140">
        <f t="shared" si="75"/>
        <v>128</v>
      </c>
      <c r="B140" s="3">
        <f t="shared" si="45"/>
        <v>54.931640625</v>
      </c>
      <c r="C140" s="3">
        <f t="shared" si="76"/>
        <v>7031.25</v>
      </c>
      <c r="D140" s="3">
        <f t="shared" si="46"/>
        <v>1.8090838235840113E-2</v>
      </c>
      <c r="E140" s="3">
        <f t="shared" si="47"/>
        <v>18.204444444444444</v>
      </c>
      <c r="F140" s="3"/>
      <c r="G140" s="3">
        <f t="shared" si="48"/>
        <v>22304470.082446575</v>
      </c>
      <c r="H140" s="3">
        <f t="shared" si="49"/>
        <v>703125</v>
      </c>
      <c r="I140" s="3">
        <f t="shared" si="59"/>
        <v>11174378.335295148</v>
      </c>
      <c r="J140" s="3">
        <f t="shared" si="50"/>
        <v>7.2076844768231882E-2</v>
      </c>
      <c r="K140" s="3">
        <f t="shared" si="60"/>
        <v>3.959299334192425</v>
      </c>
      <c r="L140" s="3">
        <f t="shared" si="66"/>
        <v>3.9592993341924241</v>
      </c>
      <c r="O140" s="9">
        <f t="shared" si="51"/>
        <v>3.9592993344188983E-3</v>
      </c>
      <c r="P140" s="9">
        <f t="shared" si="61"/>
        <v>251.56994117793036</v>
      </c>
      <c r="Q140" s="3">
        <f t="shared" si="52"/>
        <v>13874.08124146346</v>
      </c>
      <c r="R140" s="3">
        <f t="shared" si="53"/>
        <v>251577.81305676638</v>
      </c>
      <c r="S140" s="3">
        <f t="shared" si="54"/>
        <v>251577.81305676638</v>
      </c>
      <c r="T140" s="3"/>
      <c r="U140" s="3"/>
      <c r="V140" s="3">
        <f t="shared" si="55"/>
        <v>1742.5367251911387</v>
      </c>
      <c r="W140" s="3">
        <f t="shared" si="62"/>
        <v>223044.70082446575</v>
      </c>
      <c r="X140" s="3">
        <f t="shared" si="56"/>
        <v>18.204444444444448</v>
      </c>
      <c r="Y140" s="3">
        <f t="shared" si="57"/>
        <v>18.204444444444444</v>
      </c>
      <c r="Z140" s="3">
        <f t="shared" si="63"/>
        <v>31721.913006146238</v>
      </c>
      <c r="AK140">
        <f t="shared" si="58"/>
        <v>128</v>
      </c>
      <c r="AL140" s="3">
        <f t="shared" si="79"/>
        <v>703.125</v>
      </c>
      <c r="AM140" s="3">
        <f t="shared" si="79"/>
        <v>1406.25</v>
      </c>
      <c r="AN140" s="3">
        <f t="shared" si="79"/>
        <v>2109.375</v>
      </c>
      <c r="AO140" s="3">
        <f t="shared" si="79"/>
        <v>2812.5</v>
      </c>
      <c r="AP140" s="3">
        <f t="shared" si="79"/>
        <v>3515.625</v>
      </c>
      <c r="AQ140" s="3">
        <f t="shared" si="79"/>
        <v>4218.75</v>
      </c>
      <c r="AR140" s="3">
        <f t="shared" si="79"/>
        <v>4921.875</v>
      </c>
      <c r="AS140" s="3">
        <f t="shared" si="79"/>
        <v>5625</v>
      </c>
      <c r="AT140" s="3">
        <f t="shared" si="79"/>
        <v>6328.125</v>
      </c>
      <c r="AU140" s="3">
        <f t="shared" si="79"/>
        <v>7031.25</v>
      </c>
      <c r="AV140" s="3">
        <f t="shared" si="80"/>
        <v>7734.375</v>
      </c>
      <c r="AW140" s="3">
        <f t="shared" si="80"/>
        <v>8437.5</v>
      </c>
      <c r="AX140" s="3">
        <f t="shared" si="80"/>
        <v>9140.625</v>
      </c>
      <c r="AY140" s="3">
        <f t="shared" si="80"/>
        <v>9843.75</v>
      </c>
      <c r="AZ140" s="3">
        <f t="shared" si="80"/>
        <v>10546.875</v>
      </c>
      <c r="BA140" s="3">
        <f t="shared" si="80"/>
        <v>11250</v>
      </c>
      <c r="BB140" s="3">
        <f t="shared" si="80"/>
        <v>11953.125</v>
      </c>
      <c r="BC140" s="3">
        <f t="shared" si="80"/>
        <v>12656.25</v>
      </c>
      <c r="BD140" s="3">
        <f t="shared" si="80"/>
        <v>13359.375</v>
      </c>
      <c r="BE140" s="3">
        <f t="shared" si="80"/>
        <v>14062.5</v>
      </c>
    </row>
    <row r="141" spans="1:57" x14ac:dyDescent="0.45">
      <c r="A141">
        <f t="shared" si="75"/>
        <v>129</v>
      </c>
      <c r="B141" s="3">
        <f t="shared" ref="B141:B204" si="81">REQD_MBPS*DIST_RINGS_EM^2/(IMPROVED_MBPS*IMPROVED_KM^2*A141^2)</f>
        <v>54.083288263926448</v>
      </c>
      <c r="C141" s="3">
        <f t="shared" si="76"/>
        <v>6976.7441860465115</v>
      </c>
      <c r="D141" s="3">
        <f t="shared" ref="D141:D204" si="82">IMPROVED_MBPS*IMPROVED_KM^2*B141^2/(4*PI()^2*AVG_SUN_DIST^2)</f>
        <v>1.7536371114310254E-2</v>
      </c>
      <c r="E141" s="3">
        <f t="shared" ref="E141:E204" si="83">IMPROVED_MBPS*IMPROVED_KM^2/(DIST_RINGS_EM/A141)^2</f>
        <v>18.490000000000002</v>
      </c>
      <c r="F141" s="3"/>
      <c r="G141" s="3">
        <f t="shared" ref="G141:G204" si="84">(2*PI()*AVG_SUN_DIST)/B141</f>
        <v>22654338.784301359</v>
      </c>
      <c r="H141" s="3">
        <f t="shared" ref="H141:H204" si="85">DIST_RINGS_EM/A141</f>
        <v>697674.41860465112</v>
      </c>
      <c r="I141" s="3">
        <f t="shared" si="59"/>
        <v>11348634.985444309</v>
      </c>
      <c r="J141" s="3">
        <f t="shared" ref="J141:J204" si="86">IMPROVED_MBPS*IMPROVED_KM^2/I141^2</f>
        <v>6.9880379369898799E-2</v>
      </c>
      <c r="K141" s="3">
        <f t="shared" si="60"/>
        <v>3.7793607014547757</v>
      </c>
      <c r="L141" s="3">
        <f t="shared" si="66"/>
        <v>3.7793607014547779</v>
      </c>
      <c r="O141" s="9">
        <f t="shared" ref="O141:O204" si="87">K141/$K$13</f>
        <v>3.7793607016709564E-3</v>
      </c>
      <c r="P141" s="9">
        <f t="shared" si="61"/>
        <v>263.59501459013245</v>
      </c>
      <c r="Q141" s="3">
        <f t="shared" ref="Q141:Q204" si="88">B141*(1+P141)</f>
        <v>14310.168447275957</v>
      </c>
      <c r="R141" s="3">
        <f t="shared" ref="R141:R204" si="89">IMPROVED_MBPS*IMPROVED_KM^2/((PI()*AVG_SUN_DIST/Q141)^2+(DIST_RINGS_EM/A141)^2)*Q141</f>
        <v>263602.53072906868</v>
      </c>
      <c r="S141" s="3">
        <f t="shared" ref="S141:S204" si="90">IMPROVED_MBPS*IMPROVED_KM^2*Q141^3*A141^2/((A141*PI()*AVG_SUN_DIST)^2+(DIST_RINGS_EM*Q141)^2)</f>
        <v>263602.53072906868</v>
      </c>
      <c r="T141" s="3"/>
      <c r="U141" s="3"/>
      <c r="V141" s="3">
        <f t="shared" ref="V141:V204" si="91">2*PI()*AVG_SUN_DIST*A141/DIST_RINGS_EM</f>
        <v>1756.1502933566946</v>
      </c>
      <c r="W141" s="3">
        <f t="shared" si="62"/>
        <v>226543.3878430136</v>
      </c>
      <c r="X141" s="3">
        <f t="shared" ref="X141:X204" si="92">IMPROVED_MBPS*IMPROVED_KM^2*V141^2/(4*PI()^2*AVG_SUN_DIST^2)</f>
        <v>18.490000000000006</v>
      </c>
      <c r="Y141" s="3">
        <f t="shared" ref="Y141:Y204" si="93">IMPROVED_MBPS*IMPROVED_KM^2/(DIST_RINGS_EM/A141)^2</f>
        <v>18.490000000000002</v>
      </c>
      <c r="Z141" s="3">
        <f t="shared" si="63"/>
        <v>32471.218924165289</v>
      </c>
      <c r="AK141">
        <f t="shared" ref="AK141:AK163" si="94">AK140+1</f>
        <v>129</v>
      </c>
      <c r="AL141" s="3">
        <f t="shared" si="79"/>
        <v>697.67441860465112</v>
      </c>
      <c r="AM141" s="3">
        <f t="shared" si="79"/>
        <v>1395.3488372093022</v>
      </c>
      <c r="AN141" s="3">
        <f t="shared" si="79"/>
        <v>2093.0232558139533</v>
      </c>
      <c r="AO141" s="3">
        <f t="shared" si="79"/>
        <v>2790.6976744186045</v>
      </c>
      <c r="AP141" s="3">
        <f t="shared" si="79"/>
        <v>3488.3720930232553</v>
      </c>
      <c r="AQ141" s="3">
        <f t="shared" si="79"/>
        <v>4186.0465116279065</v>
      </c>
      <c r="AR141" s="3">
        <f t="shared" si="79"/>
        <v>4883.7209302325573</v>
      </c>
      <c r="AS141" s="3">
        <f t="shared" si="79"/>
        <v>5581.395348837209</v>
      </c>
      <c r="AT141" s="3">
        <f t="shared" si="79"/>
        <v>6279.0697674418598</v>
      </c>
      <c r="AU141" s="3">
        <f t="shared" si="79"/>
        <v>6976.7441860465105</v>
      </c>
      <c r="AV141" s="3">
        <f t="shared" si="80"/>
        <v>7674.4186046511613</v>
      </c>
      <c r="AW141" s="3">
        <f t="shared" si="80"/>
        <v>8372.093023255813</v>
      </c>
      <c r="AX141" s="3">
        <f t="shared" si="80"/>
        <v>9069.7674418604638</v>
      </c>
      <c r="AY141" s="3">
        <f t="shared" si="80"/>
        <v>9767.4418604651146</v>
      </c>
      <c r="AZ141" s="3">
        <f t="shared" si="80"/>
        <v>10465.116279069765</v>
      </c>
      <c r="BA141" s="3">
        <f t="shared" si="80"/>
        <v>11162.790697674418</v>
      </c>
      <c r="BB141" s="3">
        <f t="shared" si="80"/>
        <v>11860.465116279069</v>
      </c>
      <c r="BC141" s="3">
        <f t="shared" si="80"/>
        <v>12558.13953488372</v>
      </c>
      <c r="BD141" s="3">
        <f t="shared" si="80"/>
        <v>13255.81395348837</v>
      </c>
      <c r="BE141" s="3">
        <f t="shared" si="80"/>
        <v>13953.488372093021</v>
      </c>
    </row>
    <row r="142" spans="1:57" x14ac:dyDescent="0.45">
      <c r="A142">
        <f t="shared" si="75"/>
        <v>130</v>
      </c>
      <c r="B142" s="3">
        <f t="shared" si="81"/>
        <v>53.254437869822482</v>
      </c>
      <c r="C142" s="3">
        <f t="shared" si="76"/>
        <v>6923.0769230769229</v>
      </c>
      <c r="D142" s="3">
        <f t="shared" si="82"/>
        <v>1.7002984528762911E-2</v>
      </c>
      <c r="E142" s="3">
        <f t="shared" si="83"/>
        <v>18.777777777777782</v>
      </c>
      <c r="F142" s="3"/>
      <c r="G142" s="3">
        <f t="shared" si="84"/>
        <v>23006930.199789256</v>
      </c>
      <c r="H142" s="3">
        <f t="shared" si="85"/>
        <v>692307.69230769225</v>
      </c>
      <c r="I142" s="3">
        <f t="shared" ref="I142:I205" si="95">SQRT((G142/2)^2+H142^2)</f>
        <v>11524278.686552236</v>
      </c>
      <c r="J142" s="3">
        <f t="shared" si="86"/>
        <v>6.7766492113801563E-2</v>
      </c>
      <c r="K142" s="3">
        <f t="shared" ref="K142:K205" si="96">J142*B142</f>
        <v>3.6088664439302605</v>
      </c>
      <c r="L142" s="3">
        <f t="shared" si="66"/>
        <v>3.6088664439302618</v>
      </c>
      <c r="O142" s="9">
        <f t="shared" si="87"/>
        <v>3.6088664441366889E-3</v>
      </c>
      <c r="P142" s="9">
        <f t="shared" ref="P142:P205" si="97">1/O142-1</f>
        <v>276.09531939722956</v>
      </c>
      <c r="Q142" s="3">
        <f t="shared" si="88"/>
        <v>14756.555470858379</v>
      </c>
      <c r="R142" s="3">
        <f t="shared" si="89"/>
        <v>276102.49829196889</v>
      </c>
      <c r="S142" s="3">
        <f t="shared" si="90"/>
        <v>276102.49829196878</v>
      </c>
      <c r="T142" s="3"/>
      <c r="U142" s="3"/>
      <c r="V142" s="3">
        <f t="shared" si="91"/>
        <v>1769.7638615222504</v>
      </c>
      <c r="W142" s="3">
        <f t="shared" ref="W142:W205" si="98">V142*A142</f>
        <v>230069.30199789256</v>
      </c>
      <c r="X142" s="3">
        <f t="shared" si="92"/>
        <v>18.777777777777786</v>
      </c>
      <c r="Y142" s="3">
        <f t="shared" si="93"/>
        <v>18.777777777777782</v>
      </c>
      <c r="Z142" s="3">
        <f t="shared" ref="Z142:Z205" si="99">Y142*V142</f>
        <v>33232.232510806709</v>
      </c>
      <c r="AK142">
        <f t="shared" si="94"/>
        <v>130</v>
      </c>
      <c r="AL142" s="3">
        <f t="shared" si="79"/>
        <v>692.30769230769215</v>
      </c>
      <c r="AM142" s="3">
        <f t="shared" si="79"/>
        <v>1384.6153846153843</v>
      </c>
      <c r="AN142" s="3">
        <f t="shared" si="79"/>
        <v>2076.9230769230762</v>
      </c>
      <c r="AO142" s="3">
        <f t="shared" si="79"/>
        <v>2769.2307692307686</v>
      </c>
      <c r="AP142" s="3">
        <f t="shared" si="79"/>
        <v>3461.538461538461</v>
      </c>
      <c r="AQ142" s="3">
        <f t="shared" si="79"/>
        <v>4153.8461538461524</v>
      </c>
      <c r="AR142" s="3">
        <f t="shared" si="79"/>
        <v>4846.1538461538448</v>
      </c>
      <c r="AS142" s="3">
        <f t="shared" si="79"/>
        <v>5538.4615384615372</v>
      </c>
      <c r="AT142" s="3">
        <f t="shared" si="79"/>
        <v>6230.7692307692296</v>
      </c>
      <c r="AU142" s="3">
        <f t="shared" si="79"/>
        <v>6923.076923076922</v>
      </c>
      <c r="AV142" s="3">
        <f t="shared" si="80"/>
        <v>7615.3846153846143</v>
      </c>
      <c r="AW142" s="3">
        <f t="shared" si="80"/>
        <v>8307.6923076923049</v>
      </c>
      <c r="AX142" s="3">
        <f t="shared" si="80"/>
        <v>8999.9999999999982</v>
      </c>
      <c r="AY142" s="3">
        <f t="shared" si="80"/>
        <v>9692.3076923076896</v>
      </c>
      <c r="AZ142" s="3">
        <f t="shared" si="80"/>
        <v>10384.615384615383</v>
      </c>
      <c r="BA142" s="3">
        <f t="shared" si="80"/>
        <v>11076.923076923074</v>
      </c>
      <c r="BB142" s="3">
        <f t="shared" si="80"/>
        <v>11769.230769230766</v>
      </c>
      <c r="BC142" s="3">
        <f t="shared" si="80"/>
        <v>12461.538461538459</v>
      </c>
      <c r="BD142" s="3">
        <f t="shared" si="80"/>
        <v>13153.846153846151</v>
      </c>
      <c r="BE142" s="3">
        <f t="shared" si="80"/>
        <v>13846.153846153844</v>
      </c>
    </row>
    <row r="143" spans="1:57" x14ac:dyDescent="0.45">
      <c r="A143">
        <f t="shared" si="75"/>
        <v>131</v>
      </c>
      <c r="B143" s="3">
        <f t="shared" si="81"/>
        <v>52.444496241477772</v>
      </c>
      <c r="C143" s="3">
        <f t="shared" si="76"/>
        <v>6870.2290076335885</v>
      </c>
      <c r="D143" s="3">
        <f t="shared" si="82"/>
        <v>1.6489723986241669E-2</v>
      </c>
      <c r="E143" s="3">
        <f t="shared" si="83"/>
        <v>19.067777777777774</v>
      </c>
      <c r="F143" s="3"/>
      <c r="G143" s="3">
        <f t="shared" si="84"/>
        <v>23362244.328910258</v>
      </c>
      <c r="H143" s="3">
        <f t="shared" si="85"/>
        <v>687022.9007633588</v>
      </c>
      <c r="I143" s="3">
        <f t="shared" si="95"/>
        <v>11701308.28100423</v>
      </c>
      <c r="J143" s="3">
        <f t="shared" si="86"/>
        <v>6.5731518719677806E-2</v>
      </c>
      <c r="K143" s="3">
        <f t="shared" si="96"/>
        <v>3.4472563864407686</v>
      </c>
      <c r="L143" s="3">
        <f t="shared" si="66"/>
        <v>3.4472563864407686</v>
      </c>
      <c r="O143" s="9">
        <f t="shared" si="87"/>
        <v>3.4472563866379531E-3</v>
      </c>
      <c r="P143" s="9">
        <f t="shared" si="97"/>
        <v>289.08576323946767</v>
      </c>
      <c r="Q143" s="3">
        <f t="shared" si="88"/>
        <v>15213.401719918473</v>
      </c>
      <c r="R143" s="3">
        <f t="shared" si="89"/>
        <v>289092.62230515957</v>
      </c>
      <c r="S143" s="3">
        <f t="shared" si="90"/>
        <v>289092.62230515952</v>
      </c>
      <c r="T143" s="3"/>
      <c r="U143" s="3"/>
      <c r="V143" s="3">
        <f t="shared" si="91"/>
        <v>1783.3774296878062</v>
      </c>
      <c r="W143" s="3">
        <f t="shared" si="98"/>
        <v>233622.44328910261</v>
      </c>
      <c r="X143" s="3">
        <f t="shared" si="92"/>
        <v>19.067777777777785</v>
      </c>
      <c r="Y143" s="3">
        <f t="shared" si="93"/>
        <v>19.067777777777774</v>
      </c>
      <c r="Z143" s="3">
        <f t="shared" si="99"/>
        <v>34005.044523191595</v>
      </c>
      <c r="AK143">
        <f t="shared" si="94"/>
        <v>131</v>
      </c>
      <c r="AL143" s="3">
        <f t="shared" ref="AL143:AU152" si="100">AL$12/(IMPROVED_MBPS*IMPROVED_KM^2/(DIST_RINGS_EM/$AK143)^2)*$AK143</f>
        <v>687.02290076335896</v>
      </c>
      <c r="AM143" s="3">
        <f t="shared" si="100"/>
        <v>1374.0458015267179</v>
      </c>
      <c r="AN143" s="3">
        <f t="shared" si="100"/>
        <v>2061.0687022900765</v>
      </c>
      <c r="AO143" s="3">
        <f t="shared" si="100"/>
        <v>2748.0916030534358</v>
      </c>
      <c r="AP143" s="3">
        <f t="shared" si="100"/>
        <v>3435.1145038167947</v>
      </c>
      <c r="AQ143" s="3">
        <f t="shared" si="100"/>
        <v>4122.1374045801531</v>
      </c>
      <c r="AR143" s="3">
        <f t="shared" si="100"/>
        <v>4809.1603053435119</v>
      </c>
      <c r="AS143" s="3">
        <f t="shared" si="100"/>
        <v>5496.1832061068717</v>
      </c>
      <c r="AT143" s="3">
        <f t="shared" si="100"/>
        <v>6183.2061068702305</v>
      </c>
      <c r="AU143" s="3">
        <f t="shared" si="100"/>
        <v>6870.2290076335894</v>
      </c>
      <c r="AV143" s="3">
        <f t="shared" ref="AV143:BE152" si="101">AV$12/(IMPROVED_MBPS*IMPROVED_KM^2/(DIST_RINGS_EM/$AK143)^2)*$AK143</f>
        <v>7557.2519083969473</v>
      </c>
      <c r="AW143" s="3">
        <f t="shared" si="101"/>
        <v>8244.2748091603062</v>
      </c>
      <c r="AX143" s="3">
        <f t="shared" si="101"/>
        <v>8931.297709923665</v>
      </c>
      <c r="AY143" s="3">
        <f t="shared" si="101"/>
        <v>9618.3206106870239</v>
      </c>
      <c r="AZ143" s="3">
        <f t="shared" si="101"/>
        <v>10305.343511450385</v>
      </c>
      <c r="BA143" s="3">
        <f t="shared" si="101"/>
        <v>10992.366412213743</v>
      </c>
      <c r="BB143" s="3">
        <f t="shared" si="101"/>
        <v>11679.389312977102</v>
      </c>
      <c r="BC143" s="3">
        <f t="shared" si="101"/>
        <v>12366.412213740461</v>
      </c>
      <c r="BD143" s="3">
        <f t="shared" si="101"/>
        <v>13053.43511450382</v>
      </c>
      <c r="BE143" s="3">
        <f t="shared" si="101"/>
        <v>13740.458015267179</v>
      </c>
    </row>
    <row r="144" spans="1:57" x14ac:dyDescent="0.45">
      <c r="A144">
        <f t="shared" si="75"/>
        <v>132</v>
      </c>
      <c r="B144" s="3">
        <f t="shared" si="81"/>
        <v>51.652892561983471</v>
      </c>
      <c r="C144" s="3">
        <f t="shared" si="76"/>
        <v>6818.181818181818</v>
      </c>
      <c r="D144" s="3">
        <f t="shared" si="82"/>
        <v>1.5995685036342456E-2</v>
      </c>
      <c r="E144" s="3">
        <f t="shared" si="83"/>
        <v>19.360000000000003</v>
      </c>
      <c r="F144" s="3"/>
      <c r="G144" s="3">
        <f t="shared" si="84"/>
        <v>23720281.171664376</v>
      </c>
      <c r="H144" s="3">
        <f t="shared" si="85"/>
        <v>681818.18181818177</v>
      </c>
      <c r="I144" s="3">
        <f t="shared" si="95"/>
        <v>11879722.671374181</v>
      </c>
      <c r="J144" s="3">
        <f t="shared" si="86"/>
        <v>6.3771980534878148E-2</v>
      </c>
      <c r="K144" s="3">
        <f t="shared" si="96"/>
        <v>3.2940072590329623</v>
      </c>
      <c r="L144" s="3">
        <f t="shared" si="66"/>
        <v>3.2940072590329623</v>
      </c>
      <c r="O144" s="9">
        <f t="shared" si="87"/>
        <v>3.2940072592213807E-3</v>
      </c>
      <c r="P144" s="9">
        <f t="shared" si="97"/>
        <v>302.58160177108243</v>
      </c>
      <c r="Q144" s="3">
        <f t="shared" si="88"/>
        <v>15680.867860076572</v>
      </c>
      <c r="R144" s="3">
        <f t="shared" si="89"/>
        <v>302588.15741186368</v>
      </c>
      <c r="S144" s="3">
        <f t="shared" si="90"/>
        <v>302588.15741186362</v>
      </c>
      <c r="T144" s="3"/>
      <c r="U144" s="3"/>
      <c r="V144" s="3">
        <f t="shared" si="91"/>
        <v>1796.9909978533617</v>
      </c>
      <c r="W144" s="3">
        <f t="shared" si="98"/>
        <v>237202.81171664374</v>
      </c>
      <c r="X144" s="3">
        <f t="shared" si="92"/>
        <v>19.36</v>
      </c>
      <c r="Y144" s="3">
        <f t="shared" si="93"/>
        <v>19.360000000000003</v>
      </c>
      <c r="Z144" s="3">
        <f t="shared" si="99"/>
        <v>34789.745718441089</v>
      </c>
      <c r="AK144">
        <f t="shared" si="94"/>
        <v>132</v>
      </c>
      <c r="AL144" s="3">
        <f t="shared" si="100"/>
        <v>681.81818181818176</v>
      </c>
      <c r="AM144" s="3">
        <f t="shared" si="100"/>
        <v>1363.6363636363635</v>
      </c>
      <c r="AN144" s="3">
        <f t="shared" si="100"/>
        <v>2045.454545454545</v>
      </c>
      <c r="AO144" s="3">
        <f t="shared" si="100"/>
        <v>2727.272727272727</v>
      </c>
      <c r="AP144" s="3">
        <f t="shared" si="100"/>
        <v>3409.0909090909086</v>
      </c>
      <c r="AQ144" s="3">
        <f t="shared" si="100"/>
        <v>4090.9090909090901</v>
      </c>
      <c r="AR144" s="3">
        <f t="shared" si="100"/>
        <v>4772.7272727272721</v>
      </c>
      <c r="AS144" s="3">
        <f t="shared" si="100"/>
        <v>5454.545454545454</v>
      </c>
      <c r="AT144" s="3">
        <f t="shared" si="100"/>
        <v>6136.3636363636351</v>
      </c>
      <c r="AU144" s="3">
        <f t="shared" si="100"/>
        <v>6818.1818181818171</v>
      </c>
      <c r="AV144" s="3">
        <f t="shared" si="101"/>
        <v>7499.9999999999982</v>
      </c>
      <c r="AW144" s="3">
        <f t="shared" si="101"/>
        <v>8181.8181818181802</v>
      </c>
      <c r="AX144" s="3">
        <f t="shared" si="101"/>
        <v>8863.6363636363621</v>
      </c>
      <c r="AY144" s="3">
        <f t="shared" si="101"/>
        <v>9545.4545454545441</v>
      </c>
      <c r="AZ144" s="3">
        <f t="shared" si="101"/>
        <v>10227.272727272726</v>
      </c>
      <c r="BA144" s="3">
        <f t="shared" si="101"/>
        <v>10909.090909090908</v>
      </c>
      <c r="BB144" s="3">
        <f t="shared" si="101"/>
        <v>11590.90909090909</v>
      </c>
      <c r="BC144" s="3">
        <f t="shared" si="101"/>
        <v>12272.72727272727</v>
      </c>
      <c r="BD144" s="3">
        <f t="shared" si="101"/>
        <v>12954.545454545452</v>
      </c>
      <c r="BE144" s="3">
        <f t="shared" si="101"/>
        <v>13636.363636363634</v>
      </c>
    </row>
    <row r="145" spans="1:57" x14ac:dyDescent="0.45">
      <c r="A145">
        <f t="shared" si="75"/>
        <v>133</v>
      </c>
      <c r="B145" s="3">
        <f t="shared" si="81"/>
        <v>50.879077392729947</v>
      </c>
      <c r="C145" s="3">
        <f t="shared" si="76"/>
        <v>6766.917293233083</v>
      </c>
      <c r="D145" s="3">
        <f t="shared" si="82"/>
        <v>1.5520010295086461E-2</v>
      </c>
      <c r="E145" s="3">
        <f t="shared" si="83"/>
        <v>19.654444444444447</v>
      </c>
      <c r="F145" s="3"/>
      <c r="G145" s="3">
        <f t="shared" si="84"/>
        <v>24081040.728051603</v>
      </c>
      <c r="H145" s="3">
        <f t="shared" si="85"/>
        <v>676691.72932330822</v>
      </c>
      <c r="I145" s="3">
        <f t="shared" si="95"/>
        <v>12059520.816892128</v>
      </c>
      <c r="J145" s="3">
        <f t="shared" si="86"/>
        <v>6.1884574098114216E-2</v>
      </c>
      <c r="K145" s="3">
        <f t="shared" si="96"/>
        <v>3.1486300349540843</v>
      </c>
      <c r="L145" s="3">
        <f t="shared" si="66"/>
        <v>3.1486300349540843</v>
      </c>
      <c r="O145" s="9">
        <f t="shared" si="87"/>
        <v>3.1486300351341871E-3</v>
      </c>
      <c r="P145" s="9">
        <f t="shared" si="97"/>
        <v>316.5984440348459</v>
      </c>
      <c r="Q145" s="3">
        <f t="shared" si="88"/>
        <v>16159.115813859535</v>
      </c>
      <c r="R145" s="3">
        <f t="shared" si="89"/>
        <v>316604.71170853934</v>
      </c>
      <c r="S145" s="3">
        <f t="shared" si="90"/>
        <v>316604.71170853928</v>
      </c>
      <c r="T145" s="3"/>
      <c r="U145" s="3"/>
      <c r="V145" s="3">
        <f t="shared" si="91"/>
        <v>1810.6045660189175</v>
      </c>
      <c r="W145" s="3">
        <f t="shared" si="98"/>
        <v>240810.40728051602</v>
      </c>
      <c r="X145" s="3">
        <f t="shared" si="92"/>
        <v>19.654444444444447</v>
      </c>
      <c r="Y145" s="3">
        <f t="shared" si="93"/>
        <v>19.654444444444447</v>
      </c>
      <c r="Z145" s="3">
        <f t="shared" si="99"/>
        <v>35586.426853676261</v>
      </c>
      <c r="AK145">
        <f t="shared" si="94"/>
        <v>133</v>
      </c>
      <c r="AL145" s="3">
        <f t="shared" si="100"/>
        <v>676.6917293233081</v>
      </c>
      <c r="AM145" s="3">
        <f t="shared" si="100"/>
        <v>1353.3834586466162</v>
      </c>
      <c r="AN145" s="3">
        <f t="shared" si="100"/>
        <v>2030.0751879699244</v>
      </c>
      <c r="AO145" s="3">
        <f t="shared" si="100"/>
        <v>2706.7669172932324</v>
      </c>
      <c r="AP145" s="3">
        <f t="shared" si="100"/>
        <v>3383.458646616541</v>
      </c>
      <c r="AQ145" s="3">
        <f t="shared" si="100"/>
        <v>4060.1503759398488</v>
      </c>
      <c r="AR145" s="3">
        <f t="shared" si="100"/>
        <v>4736.8421052631575</v>
      </c>
      <c r="AS145" s="3">
        <f t="shared" si="100"/>
        <v>5413.5338345864648</v>
      </c>
      <c r="AT145" s="3">
        <f t="shared" si="100"/>
        <v>6090.2255639097739</v>
      </c>
      <c r="AU145" s="3">
        <f t="shared" si="100"/>
        <v>6766.9172932330821</v>
      </c>
      <c r="AV145" s="3">
        <f t="shared" si="101"/>
        <v>7443.6090225563903</v>
      </c>
      <c r="AW145" s="3">
        <f t="shared" si="101"/>
        <v>8120.3007518796976</v>
      </c>
      <c r="AX145" s="3">
        <f t="shared" si="101"/>
        <v>8796.9924812030058</v>
      </c>
      <c r="AY145" s="3">
        <f t="shared" si="101"/>
        <v>9473.6842105263149</v>
      </c>
      <c r="AZ145" s="3">
        <f t="shared" si="101"/>
        <v>10150.375939849622</v>
      </c>
      <c r="BA145" s="3">
        <f t="shared" si="101"/>
        <v>10827.06766917293</v>
      </c>
      <c r="BB145" s="3">
        <f t="shared" si="101"/>
        <v>11503.759398496239</v>
      </c>
      <c r="BC145" s="3">
        <f t="shared" si="101"/>
        <v>12180.451127819548</v>
      </c>
      <c r="BD145" s="3">
        <f t="shared" si="101"/>
        <v>12857.142857142855</v>
      </c>
      <c r="BE145" s="3">
        <f t="shared" si="101"/>
        <v>13533.834586466164</v>
      </c>
    </row>
    <row r="146" spans="1:57" x14ac:dyDescent="0.45">
      <c r="A146">
        <f t="shared" ref="A146:A209" si="102">A145+1</f>
        <v>134</v>
      </c>
      <c r="B146" s="3">
        <f t="shared" si="81"/>
        <v>50.122521719759412</v>
      </c>
      <c r="C146" s="3">
        <f t="shared" ref="C146:C209" si="103">B146*A146</f>
        <v>6716.4179104477616</v>
      </c>
      <c r="D146" s="3">
        <f t="shared" si="82"/>
        <v>1.5061886666441463E-2</v>
      </c>
      <c r="E146" s="3">
        <f t="shared" si="83"/>
        <v>19.951111111111114</v>
      </c>
      <c r="F146" s="3"/>
      <c r="G146" s="3">
        <f t="shared" si="84"/>
        <v>24444522.998071942</v>
      </c>
      <c r="H146" s="3">
        <f t="shared" si="85"/>
        <v>671641.7910447761</v>
      </c>
      <c r="I146" s="3">
        <f t="shared" si="95"/>
        <v>12240701.730141735</v>
      </c>
      <c r="J146" s="3">
        <f t="shared" si="86"/>
        <v>6.0066161336497705E-2</v>
      </c>
      <c r="K146" s="3">
        <f t="shared" si="96"/>
        <v>3.0106674762111791</v>
      </c>
      <c r="L146" s="3">
        <f t="shared" si="66"/>
        <v>3.0106674762111796</v>
      </c>
      <c r="O146" s="9">
        <f t="shared" si="87"/>
        <v>3.0106674763833905E-3</v>
      </c>
      <c r="P146" s="9">
        <f t="shared" si="97"/>
        <v>331.15225787779957</v>
      </c>
      <c r="Q146" s="3">
        <f t="shared" si="88"/>
        <v>16648.308759747139</v>
      </c>
      <c r="R146" s="3">
        <f t="shared" si="89"/>
        <v>331158.25215613074</v>
      </c>
      <c r="S146" s="3">
        <f t="shared" si="90"/>
        <v>331158.25215613062</v>
      </c>
      <c r="T146" s="3"/>
      <c r="U146" s="3"/>
      <c r="V146" s="3">
        <f t="shared" si="91"/>
        <v>1824.2181341844732</v>
      </c>
      <c r="W146" s="3">
        <f t="shared" si="98"/>
        <v>244445.22998071942</v>
      </c>
      <c r="X146" s="3">
        <f t="shared" si="92"/>
        <v>19.951111111111114</v>
      </c>
      <c r="Y146" s="3">
        <f t="shared" si="93"/>
        <v>19.951111111111114</v>
      </c>
      <c r="Z146" s="3">
        <f t="shared" si="99"/>
        <v>36395.178686018226</v>
      </c>
      <c r="AK146">
        <f t="shared" si="94"/>
        <v>134</v>
      </c>
      <c r="AL146" s="3">
        <f t="shared" si="100"/>
        <v>671.64179104477603</v>
      </c>
      <c r="AM146" s="3">
        <f t="shared" si="100"/>
        <v>1343.2835820895521</v>
      </c>
      <c r="AN146" s="3">
        <f t="shared" si="100"/>
        <v>2014.9253731343281</v>
      </c>
      <c r="AO146" s="3">
        <f t="shared" si="100"/>
        <v>2686.5671641791041</v>
      </c>
      <c r="AP146" s="3">
        <f t="shared" si="100"/>
        <v>3358.2089552238799</v>
      </c>
      <c r="AQ146" s="3">
        <f t="shared" si="100"/>
        <v>4029.8507462686562</v>
      </c>
      <c r="AR146" s="3">
        <f t="shared" si="100"/>
        <v>4701.492537313432</v>
      </c>
      <c r="AS146" s="3">
        <f t="shared" si="100"/>
        <v>5373.1343283582082</v>
      </c>
      <c r="AT146" s="3">
        <f t="shared" si="100"/>
        <v>6044.7761194029845</v>
      </c>
      <c r="AU146" s="3">
        <f t="shared" si="100"/>
        <v>6716.4179104477598</v>
      </c>
      <c r="AV146" s="3">
        <f t="shared" si="101"/>
        <v>7388.0597014925361</v>
      </c>
      <c r="AW146" s="3">
        <f t="shared" si="101"/>
        <v>8059.7014925373123</v>
      </c>
      <c r="AX146" s="3">
        <f t="shared" si="101"/>
        <v>8731.3432835820877</v>
      </c>
      <c r="AY146" s="3">
        <f t="shared" si="101"/>
        <v>9402.9850746268639</v>
      </c>
      <c r="AZ146" s="3">
        <f t="shared" si="101"/>
        <v>10074.62686567164</v>
      </c>
      <c r="BA146" s="3">
        <f t="shared" si="101"/>
        <v>10746.268656716416</v>
      </c>
      <c r="BB146" s="3">
        <f t="shared" si="101"/>
        <v>11417.910447761193</v>
      </c>
      <c r="BC146" s="3">
        <f t="shared" si="101"/>
        <v>12089.552238805969</v>
      </c>
      <c r="BD146" s="3">
        <f t="shared" si="101"/>
        <v>12761.194029850743</v>
      </c>
      <c r="BE146" s="3">
        <f t="shared" si="101"/>
        <v>13432.83582089552</v>
      </c>
    </row>
    <row r="147" spans="1:57" x14ac:dyDescent="0.45">
      <c r="A147">
        <f t="shared" si="102"/>
        <v>135</v>
      </c>
      <c r="B147" s="3">
        <f t="shared" si="81"/>
        <v>49.382716049382715</v>
      </c>
      <c r="C147" s="3">
        <f t="shared" si="103"/>
        <v>6666.666666666667</v>
      </c>
      <c r="D147" s="3">
        <f t="shared" si="82"/>
        <v>1.4620542747014178E-2</v>
      </c>
      <c r="E147" s="3">
        <f t="shared" si="83"/>
        <v>20.250000000000004</v>
      </c>
      <c r="F147" s="3"/>
      <c r="G147" s="3">
        <f t="shared" si="84"/>
        <v>24810727.981725395</v>
      </c>
      <c r="H147" s="3">
        <f t="shared" si="85"/>
        <v>666666.66666666663</v>
      </c>
      <c r="I147" s="3">
        <f t="shared" si="95"/>
        <v>12423264.473971296</v>
      </c>
      <c r="J147" s="3">
        <f t="shared" si="86"/>
        <v>5.8313760355756361E-2</v>
      </c>
      <c r="K147" s="3">
        <f t="shared" si="96"/>
        <v>2.8796918694200673</v>
      </c>
      <c r="L147" s="3">
        <f t="shared" si="66"/>
        <v>2.8796918694200677</v>
      </c>
      <c r="O147" s="9">
        <f t="shared" si="87"/>
        <v>2.8796918695847868E-3</v>
      </c>
      <c r="P147" s="9">
        <f t="shared" si="97"/>
        <v>346.25937540817057</v>
      </c>
      <c r="Q147" s="3">
        <f t="shared" si="88"/>
        <v>17148.61113126768</v>
      </c>
      <c r="R147" s="3">
        <f t="shared" si="89"/>
        <v>346265.1100328305</v>
      </c>
      <c r="S147" s="3">
        <f t="shared" si="90"/>
        <v>346265.11003283045</v>
      </c>
      <c r="T147" s="3"/>
      <c r="U147" s="3"/>
      <c r="V147" s="3">
        <f t="shared" si="91"/>
        <v>1837.8317023500292</v>
      </c>
      <c r="W147" s="3">
        <f t="shared" si="98"/>
        <v>248107.27981725393</v>
      </c>
      <c r="X147" s="3">
        <f t="shared" si="92"/>
        <v>20.250000000000004</v>
      </c>
      <c r="Y147" s="3">
        <f t="shared" si="93"/>
        <v>20.250000000000004</v>
      </c>
      <c r="Z147" s="3">
        <f t="shared" si="99"/>
        <v>37216.091972588096</v>
      </c>
      <c r="AK147">
        <f t="shared" si="94"/>
        <v>135</v>
      </c>
      <c r="AL147" s="3">
        <f t="shared" si="100"/>
        <v>666.66666666666652</v>
      </c>
      <c r="AM147" s="3">
        <f t="shared" si="100"/>
        <v>1333.333333333333</v>
      </c>
      <c r="AN147" s="3">
        <f t="shared" si="100"/>
        <v>1999.9999999999998</v>
      </c>
      <c r="AO147" s="3">
        <f t="shared" si="100"/>
        <v>2666.6666666666661</v>
      </c>
      <c r="AP147" s="3">
        <f t="shared" si="100"/>
        <v>3333.3333333333326</v>
      </c>
      <c r="AQ147" s="3">
        <f t="shared" si="100"/>
        <v>3999.9999999999995</v>
      </c>
      <c r="AR147" s="3">
        <f t="shared" si="100"/>
        <v>4666.6666666666661</v>
      </c>
      <c r="AS147" s="3">
        <f t="shared" si="100"/>
        <v>5333.3333333333321</v>
      </c>
      <c r="AT147" s="3">
        <f t="shared" si="100"/>
        <v>5999.9999999999991</v>
      </c>
      <c r="AU147" s="3">
        <f t="shared" si="100"/>
        <v>6666.6666666666652</v>
      </c>
      <c r="AV147" s="3">
        <f t="shared" si="101"/>
        <v>7333.3333333333321</v>
      </c>
      <c r="AW147" s="3">
        <f t="shared" si="101"/>
        <v>7999.9999999999991</v>
      </c>
      <c r="AX147" s="3">
        <f t="shared" si="101"/>
        <v>8666.6666666666642</v>
      </c>
      <c r="AY147" s="3">
        <f t="shared" si="101"/>
        <v>9333.3333333333321</v>
      </c>
      <c r="AZ147" s="3">
        <f t="shared" si="101"/>
        <v>9999.9999999999982</v>
      </c>
      <c r="BA147" s="3">
        <f t="shared" si="101"/>
        <v>10666.666666666664</v>
      </c>
      <c r="BB147" s="3">
        <f t="shared" si="101"/>
        <v>11333.333333333332</v>
      </c>
      <c r="BC147" s="3">
        <f t="shared" si="101"/>
        <v>11999.999999999998</v>
      </c>
      <c r="BD147" s="3">
        <f t="shared" si="101"/>
        <v>12666.666666666666</v>
      </c>
      <c r="BE147" s="3">
        <f t="shared" si="101"/>
        <v>13333.33333333333</v>
      </c>
    </row>
    <row r="148" spans="1:57" x14ac:dyDescent="0.45">
      <c r="A148">
        <f t="shared" si="102"/>
        <v>136</v>
      </c>
      <c r="B148" s="3">
        <f t="shared" si="81"/>
        <v>48.659169550173011</v>
      </c>
      <c r="C148" s="3">
        <f t="shared" si="103"/>
        <v>6617.6470588235297</v>
      </c>
      <c r="D148" s="3">
        <f t="shared" si="82"/>
        <v>1.4195246400594075E-2</v>
      </c>
      <c r="E148" s="3">
        <f t="shared" si="83"/>
        <v>20.551111111111116</v>
      </c>
      <c r="F148" s="3"/>
      <c r="G148" s="3">
        <f t="shared" si="84"/>
        <v>25179655.679011952</v>
      </c>
      <c r="H148" s="3">
        <f t="shared" si="85"/>
        <v>661764.70588235289</v>
      </c>
      <c r="I148" s="3">
        <f t="shared" si="95"/>
        <v>12607208.158603208</v>
      </c>
      <c r="J148" s="3">
        <f t="shared" si="86"/>
        <v>5.6624536786027364E-2</v>
      </c>
      <c r="K148" s="3">
        <f t="shared" si="96"/>
        <v>2.7553029361713142</v>
      </c>
      <c r="L148" s="3">
        <f t="shared" si="66"/>
        <v>2.7553029361713137</v>
      </c>
      <c r="O148" s="9">
        <f t="shared" si="87"/>
        <v>2.7553029363289188E-3</v>
      </c>
      <c r="P148" s="9">
        <f t="shared" si="97"/>
        <v>361.93649849347213</v>
      </c>
      <c r="Q148" s="3">
        <f t="shared" si="88"/>
        <v>17660.188616139971</v>
      </c>
      <c r="R148" s="3">
        <f t="shared" si="89"/>
        <v>361941.98642833321</v>
      </c>
      <c r="S148" s="3">
        <f t="shared" si="90"/>
        <v>361941.98642833316</v>
      </c>
      <c r="T148" s="3"/>
      <c r="U148" s="3"/>
      <c r="V148" s="3">
        <f t="shared" si="91"/>
        <v>1851.445270515585</v>
      </c>
      <c r="W148" s="3">
        <f t="shared" si="98"/>
        <v>251796.55679011956</v>
      </c>
      <c r="X148" s="3">
        <f t="shared" si="92"/>
        <v>20.551111111111116</v>
      </c>
      <c r="Y148" s="3">
        <f t="shared" si="93"/>
        <v>20.551111111111116</v>
      </c>
      <c r="Z148" s="3">
        <f t="shared" si="99"/>
        <v>38049.257470506964</v>
      </c>
      <c r="AK148">
        <f t="shared" si="94"/>
        <v>136</v>
      </c>
      <c r="AL148" s="3">
        <f t="shared" si="100"/>
        <v>661.76470588235281</v>
      </c>
      <c r="AM148" s="3">
        <f t="shared" si="100"/>
        <v>1323.5294117647056</v>
      </c>
      <c r="AN148" s="3">
        <f t="shared" si="100"/>
        <v>1985.2941176470583</v>
      </c>
      <c r="AO148" s="3">
        <f t="shared" si="100"/>
        <v>2647.0588235294113</v>
      </c>
      <c r="AP148" s="3">
        <f t="shared" si="100"/>
        <v>3308.823529411764</v>
      </c>
      <c r="AQ148" s="3">
        <f t="shared" si="100"/>
        <v>3970.5882352941167</v>
      </c>
      <c r="AR148" s="3">
        <f t="shared" si="100"/>
        <v>4632.3529411764694</v>
      </c>
      <c r="AS148" s="3">
        <f t="shared" si="100"/>
        <v>5294.1176470588225</v>
      </c>
      <c r="AT148" s="3">
        <f t="shared" si="100"/>
        <v>5955.8823529411748</v>
      </c>
      <c r="AU148" s="3">
        <f t="shared" si="100"/>
        <v>6617.6470588235279</v>
      </c>
      <c r="AV148" s="3">
        <f t="shared" si="101"/>
        <v>7279.4117647058811</v>
      </c>
      <c r="AW148" s="3">
        <f t="shared" si="101"/>
        <v>7941.1764705882333</v>
      </c>
      <c r="AX148" s="3">
        <f t="shared" si="101"/>
        <v>8602.9411764705856</v>
      </c>
      <c r="AY148" s="3">
        <f t="shared" si="101"/>
        <v>9264.7058823529387</v>
      </c>
      <c r="AZ148" s="3">
        <f t="shared" si="101"/>
        <v>9926.4705882352937</v>
      </c>
      <c r="BA148" s="3">
        <f t="shared" si="101"/>
        <v>10588.235294117645</v>
      </c>
      <c r="BB148" s="3">
        <f t="shared" si="101"/>
        <v>11249.999999999998</v>
      </c>
      <c r="BC148" s="3">
        <f t="shared" si="101"/>
        <v>11911.76470588235</v>
      </c>
      <c r="BD148" s="3">
        <f t="shared" si="101"/>
        <v>12573.529411764703</v>
      </c>
      <c r="BE148" s="3">
        <f t="shared" si="101"/>
        <v>13235.294117647056</v>
      </c>
    </row>
    <row r="149" spans="1:57" x14ac:dyDescent="0.45">
      <c r="A149">
        <f t="shared" si="102"/>
        <v>137</v>
      </c>
      <c r="B149" s="3">
        <f t="shared" si="81"/>
        <v>47.951409238638178</v>
      </c>
      <c r="C149" s="3">
        <f t="shared" si="103"/>
        <v>6569.3430656934306</v>
      </c>
      <c r="D149" s="3">
        <f t="shared" si="82"/>
        <v>1.3785302490286783E-2</v>
      </c>
      <c r="E149" s="3">
        <f t="shared" si="83"/>
        <v>20.854444444444443</v>
      </c>
      <c r="F149" s="3"/>
      <c r="G149" s="3">
        <f t="shared" si="84"/>
        <v>25551306.08993163</v>
      </c>
      <c r="H149" s="3">
        <f t="shared" si="85"/>
        <v>656934.30656934308</v>
      </c>
      <c r="I149" s="3">
        <f t="shared" si="95"/>
        <v>12792531.938927963</v>
      </c>
      <c r="J149" s="3">
        <f t="shared" si="86"/>
        <v>5.499579564800703E-2</v>
      </c>
      <c r="K149" s="3">
        <f t="shared" si="96"/>
        <v>2.6371259035221017</v>
      </c>
      <c r="L149" s="3">
        <f t="shared" si="66"/>
        <v>2.6371259035221026</v>
      </c>
      <c r="O149" s="9">
        <f t="shared" si="87"/>
        <v>2.6371259036729465E-3</v>
      </c>
      <c r="P149" s="9">
        <f t="shared" si="97"/>
        <v>378.20070429978944</v>
      </c>
      <c r="Q149" s="3">
        <f t="shared" si="88"/>
        <v>18183.208155459026</v>
      </c>
      <c r="R149" s="3">
        <f t="shared" si="89"/>
        <v>378205.95777955407</v>
      </c>
      <c r="S149" s="3">
        <f t="shared" si="90"/>
        <v>378205.95777955407</v>
      </c>
      <c r="T149" s="3"/>
      <c r="U149" s="3"/>
      <c r="V149" s="3">
        <f t="shared" si="91"/>
        <v>1865.0588386811407</v>
      </c>
      <c r="W149" s="3">
        <f t="shared" si="98"/>
        <v>255513.06089931628</v>
      </c>
      <c r="X149" s="3">
        <f t="shared" si="92"/>
        <v>20.85444444444445</v>
      </c>
      <c r="Y149" s="3">
        <f t="shared" si="93"/>
        <v>20.854444444444443</v>
      </c>
      <c r="Z149" s="3">
        <f t="shared" si="99"/>
        <v>38894.765936895921</v>
      </c>
      <c r="AK149">
        <f t="shared" si="94"/>
        <v>137</v>
      </c>
      <c r="AL149" s="3">
        <f t="shared" si="100"/>
        <v>656.93430656934311</v>
      </c>
      <c r="AM149" s="3">
        <f t="shared" si="100"/>
        <v>1313.8686131386862</v>
      </c>
      <c r="AN149" s="3">
        <f t="shared" si="100"/>
        <v>1970.8029197080295</v>
      </c>
      <c r="AO149" s="3">
        <f t="shared" si="100"/>
        <v>2627.7372262773724</v>
      </c>
      <c r="AP149" s="3">
        <f t="shared" si="100"/>
        <v>3284.6715328467158</v>
      </c>
      <c r="AQ149" s="3">
        <f t="shared" si="100"/>
        <v>3941.6058394160591</v>
      </c>
      <c r="AR149" s="3">
        <f t="shared" si="100"/>
        <v>4598.540145985402</v>
      </c>
      <c r="AS149" s="3">
        <f t="shared" si="100"/>
        <v>5255.4744525547449</v>
      </c>
      <c r="AT149" s="3">
        <f t="shared" si="100"/>
        <v>5912.4087591240877</v>
      </c>
      <c r="AU149" s="3">
        <f t="shared" si="100"/>
        <v>6569.3430656934315</v>
      </c>
      <c r="AV149" s="3">
        <f t="shared" si="101"/>
        <v>7226.2773722627744</v>
      </c>
      <c r="AW149" s="3">
        <f t="shared" si="101"/>
        <v>7883.2116788321182</v>
      </c>
      <c r="AX149" s="3">
        <f t="shared" si="101"/>
        <v>8540.1459854014593</v>
      </c>
      <c r="AY149" s="3">
        <f t="shared" si="101"/>
        <v>9197.080291970804</v>
      </c>
      <c r="AZ149" s="3">
        <f t="shared" si="101"/>
        <v>9854.0145985401468</v>
      </c>
      <c r="BA149" s="3">
        <f t="shared" si="101"/>
        <v>10510.94890510949</v>
      </c>
      <c r="BB149" s="3">
        <f t="shared" si="101"/>
        <v>11167.883211678833</v>
      </c>
      <c r="BC149" s="3">
        <f t="shared" si="101"/>
        <v>11824.817518248175</v>
      </c>
      <c r="BD149" s="3">
        <f t="shared" si="101"/>
        <v>12481.751824817518</v>
      </c>
      <c r="BE149" s="3">
        <f t="shared" si="101"/>
        <v>13138.686131386863</v>
      </c>
    </row>
    <row r="150" spans="1:57" x14ac:dyDescent="0.45">
      <c r="A150">
        <f t="shared" si="102"/>
        <v>138</v>
      </c>
      <c r="B150" s="3">
        <f t="shared" si="81"/>
        <v>47.258979206049148</v>
      </c>
      <c r="C150" s="3">
        <f t="shared" si="103"/>
        <v>6521.7391304347821</v>
      </c>
      <c r="D150" s="3">
        <f t="shared" si="82"/>
        <v>1.3390050756942114E-2</v>
      </c>
      <c r="E150" s="3">
        <f t="shared" si="83"/>
        <v>21.159999999999997</v>
      </c>
      <c r="F150" s="3"/>
      <c r="G150" s="3">
        <f t="shared" si="84"/>
        <v>25925679.214484412</v>
      </c>
      <c r="H150" s="3">
        <f t="shared" si="85"/>
        <v>652173.91304347827</v>
      </c>
      <c r="I150" s="3">
        <f t="shared" si="95"/>
        <v>12979235.011969762</v>
      </c>
      <c r="J150" s="3">
        <f t="shared" si="86"/>
        <v>5.3424973706479591E-2</v>
      </c>
      <c r="K150" s="3">
        <f t="shared" si="96"/>
        <v>2.5248097214782415</v>
      </c>
      <c r="L150" s="3">
        <f t="shared" ref="L150:L213" si="104">IMPROVED_MBPS*IMPROVED_KM^2*B150^3*A150^2/((A150*PI()*AVG_SUN_DIST)^2+(DIST_RINGS_EM*B150)^2)</f>
        <v>2.5248097214782419</v>
      </c>
      <c r="O150" s="9">
        <f t="shared" si="87"/>
        <v>2.5248097216226616E-3</v>
      </c>
      <c r="P150" s="9">
        <f t="shared" si="97"/>
        <v>395.06945087224761</v>
      </c>
      <c r="Q150" s="3">
        <f t="shared" si="88"/>
        <v>18717.837942922855</v>
      </c>
      <c r="R150" s="3">
        <f t="shared" si="89"/>
        <v>395074.4814477918</v>
      </c>
      <c r="S150" s="3">
        <f t="shared" si="90"/>
        <v>395074.48144779186</v>
      </c>
      <c r="T150" s="3"/>
      <c r="U150" s="3"/>
      <c r="V150" s="3">
        <f t="shared" si="91"/>
        <v>1878.6724068466963</v>
      </c>
      <c r="W150" s="3">
        <f t="shared" si="98"/>
        <v>259256.79214484408</v>
      </c>
      <c r="X150" s="3">
        <f t="shared" si="92"/>
        <v>21.16</v>
      </c>
      <c r="Y150" s="3">
        <f t="shared" si="93"/>
        <v>21.159999999999997</v>
      </c>
      <c r="Z150" s="3">
        <f t="shared" si="99"/>
        <v>39752.708128876089</v>
      </c>
      <c r="AK150">
        <f t="shared" si="94"/>
        <v>138</v>
      </c>
      <c r="AL150" s="3">
        <f t="shared" si="100"/>
        <v>652.17391304347836</v>
      </c>
      <c r="AM150" s="3">
        <f t="shared" si="100"/>
        <v>1304.3478260869567</v>
      </c>
      <c r="AN150" s="3">
        <f t="shared" si="100"/>
        <v>1956.5217391304352</v>
      </c>
      <c r="AO150" s="3">
        <f t="shared" si="100"/>
        <v>2608.6956521739135</v>
      </c>
      <c r="AP150" s="3">
        <f t="shared" si="100"/>
        <v>3260.8695652173915</v>
      </c>
      <c r="AQ150" s="3">
        <f t="shared" si="100"/>
        <v>3913.0434782608704</v>
      </c>
      <c r="AR150" s="3">
        <f t="shared" si="100"/>
        <v>4565.2173913043489</v>
      </c>
      <c r="AS150" s="3">
        <f t="shared" si="100"/>
        <v>5217.3913043478269</v>
      </c>
      <c r="AT150" s="3">
        <f t="shared" si="100"/>
        <v>5869.5652173913049</v>
      </c>
      <c r="AU150" s="3">
        <f t="shared" si="100"/>
        <v>6521.739130434783</v>
      </c>
      <c r="AV150" s="3">
        <f t="shared" si="101"/>
        <v>7173.9130434782619</v>
      </c>
      <c r="AW150" s="3">
        <f t="shared" si="101"/>
        <v>7826.0869565217408</v>
      </c>
      <c r="AX150" s="3">
        <f t="shared" si="101"/>
        <v>8478.2608695652198</v>
      </c>
      <c r="AY150" s="3">
        <f t="shared" si="101"/>
        <v>9130.4347826086978</v>
      </c>
      <c r="AZ150" s="3">
        <f t="shared" si="101"/>
        <v>9782.608695652174</v>
      </c>
      <c r="BA150" s="3">
        <f t="shared" si="101"/>
        <v>10434.782608695654</v>
      </c>
      <c r="BB150" s="3">
        <f t="shared" si="101"/>
        <v>11086.956521739134</v>
      </c>
      <c r="BC150" s="3">
        <f t="shared" si="101"/>
        <v>11739.13043478261</v>
      </c>
      <c r="BD150" s="3">
        <f t="shared" si="101"/>
        <v>12391.30434782609</v>
      </c>
      <c r="BE150" s="3">
        <f t="shared" si="101"/>
        <v>13043.478260869566</v>
      </c>
    </row>
    <row r="151" spans="1:57" x14ac:dyDescent="0.45">
      <c r="A151">
        <f t="shared" si="102"/>
        <v>139</v>
      </c>
      <c r="B151" s="3">
        <f t="shared" si="81"/>
        <v>46.581439884063968</v>
      </c>
      <c r="C151" s="3">
        <f t="shared" si="103"/>
        <v>6474.8201438848919</v>
      </c>
      <c r="D151" s="3">
        <f t="shared" si="82"/>
        <v>1.3008863833465643E-2</v>
      </c>
      <c r="E151" s="3">
        <f t="shared" si="83"/>
        <v>21.467777777777776</v>
      </c>
      <c r="F151" s="3"/>
      <c r="G151" s="3">
        <f t="shared" si="84"/>
        <v>26302775.052670307</v>
      </c>
      <c r="H151" s="3">
        <f t="shared" si="85"/>
        <v>647482.01438848919</v>
      </c>
      <c r="I151" s="3">
        <f t="shared" si="95"/>
        <v>13167316.614511874</v>
      </c>
      <c r="J151" s="3">
        <f t="shared" si="86"/>
        <v>5.1909632280359663E-2</v>
      </c>
      <c r="K151" s="3">
        <f t="shared" si="96"/>
        <v>2.41802541547144</v>
      </c>
      <c r="L151" s="3">
        <f t="shared" si="104"/>
        <v>2.41802541547144</v>
      </c>
      <c r="O151" s="9">
        <f t="shared" si="87"/>
        <v>2.4180254156097522E-3</v>
      </c>
      <c r="P151" s="9">
        <f t="shared" si="97"/>
        <v>412.56058275666658</v>
      </c>
      <c r="Q151" s="3">
        <f t="shared" si="88"/>
        <v>19264.247424098125</v>
      </c>
      <c r="R151" s="3">
        <f t="shared" si="89"/>
        <v>412565.40133731684</v>
      </c>
      <c r="S151" s="3">
        <f t="shared" si="90"/>
        <v>412565.40133731673</v>
      </c>
      <c r="T151" s="3"/>
      <c r="U151" s="3"/>
      <c r="V151" s="3">
        <f t="shared" si="91"/>
        <v>1892.285975012252</v>
      </c>
      <c r="W151" s="3">
        <f t="shared" si="98"/>
        <v>263027.75052670302</v>
      </c>
      <c r="X151" s="3">
        <f t="shared" si="92"/>
        <v>21.467777777777776</v>
      </c>
      <c r="Y151" s="3">
        <f t="shared" si="93"/>
        <v>21.467777777777776</v>
      </c>
      <c r="Z151" s="3">
        <f t="shared" si="99"/>
        <v>40623.174803568574</v>
      </c>
      <c r="AK151">
        <f t="shared" si="94"/>
        <v>139</v>
      </c>
      <c r="AL151" s="3">
        <f t="shared" si="100"/>
        <v>647.48201438848923</v>
      </c>
      <c r="AM151" s="3">
        <f t="shared" si="100"/>
        <v>1294.9640287769785</v>
      </c>
      <c r="AN151" s="3">
        <f t="shared" si="100"/>
        <v>1942.4460431654677</v>
      </c>
      <c r="AO151" s="3">
        <f t="shared" si="100"/>
        <v>2589.9280575539569</v>
      </c>
      <c r="AP151" s="3">
        <f t="shared" si="100"/>
        <v>3237.4100719424464</v>
      </c>
      <c r="AQ151" s="3">
        <f t="shared" si="100"/>
        <v>3884.8920863309354</v>
      </c>
      <c r="AR151" s="3">
        <f t="shared" si="100"/>
        <v>4532.374100719424</v>
      </c>
      <c r="AS151" s="3">
        <f t="shared" si="100"/>
        <v>5179.8561151079139</v>
      </c>
      <c r="AT151" s="3">
        <f t="shared" si="100"/>
        <v>5827.3381294964029</v>
      </c>
      <c r="AU151" s="3">
        <f t="shared" si="100"/>
        <v>6474.8201438848928</v>
      </c>
      <c r="AV151" s="3">
        <f t="shared" si="101"/>
        <v>7122.3021582733818</v>
      </c>
      <c r="AW151" s="3">
        <f t="shared" si="101"/>
        <v>7769.7841726618708</v>
      </c>
      <c r="AX151" s="3">
        <f t="shared" si="101"/>
        <v>8417.2661870503598</v>
      </c>
      <c r="AY151" s="3">
        <f t="shared" si="101"/>
        <v>9064.7482014388479</v>
      </c>
      <c r="AZ151" s="3">
        <f t="shared" si="101"/>
        <v>9712.2302158273396</v>
      </c>
      <c r="BA151" s="3">
        <f t="shared" si="101"/>
        <v>10359.712230215828</v>
      </c>
      <c r="BB151" s="3">
        <f t="shared" si="101"/>
        <v>11007.194244604318</v>
      </c>
      <c r="BC151" s="3">
        <f t="shared" si="101"/>
        <v>11654.676258992806</v>
      </c>
      <c r="BD151" s="3">
        <f t="shared" si="101"/>
        <v>12302.158273381296</v>
      </c>
      <c r="BE151" s="3">
        <f t="shared" si="101"/>
        <v>12949.640287769786</v>
      </c>
    </row>
    <row r="152" spans="1:57" x14ac:dyDescent="0.45">
      <c r="A152">
        <f t="shared" si="102"/>
        <v>140</v>
      </c>
      <c r="B152" s="3">
        <f t="shared" si="81"/>
        <v>45.918367346938773</v>
      </c>
      <c r="C152" s="3">
        <f t="shared" si="103"/>
        <v>6428.5714285714284</v>
      </c>
      <c r="D152" s="3">
        <f t="shared" si="82"/>
        <v>1.2641145385412264E-2</v>
      </c>
      <c r="E152" s="3">
        <f t="shared" si="83"/>
        <v>21.777777777777779</v>
      </c>
      <c r="F152" s="3"/>
      <c r="G152" s="3">
        <f t="shared" si="84"/>
        <v>26682593.604489312</v>
      </c>
      <c r="H152" s="3">
        <f t="shared" si="85"/>
        <v>642857.14285714284</v>
      </c>
      <c r="I152" s="3">
        <f t="shared" si="95"/>
        <v>13356776.020870676</v>
      </c>
      <c r="J152" s="3">
        <f t="shared" si="86"/>
        <v>5.0447450480371275E-2</v>
      </c>
      <c r="K152" s="3">
        <f t="shared" si="96"/>
        <v>2.3164645628741911</v>
      </c>
      <c r="L152" s="3">
        <f t="shared" si="104"/>
        <v>2.3164645628741916</v>
      </c>
      <c r="O152" s="9">
        <f t="shared" si="87"/>
        <v>2.3164645630066936E-3</v>
      </c>
      <c r="P152" s="9">
        <f t="shared" si="97"/>
        <v>430.69233666239791</v>
      </c>
      <c r="Q152" s="3">
        <f t="shared" si="88"/>
        <v>19822.607295722351</v>
      </c>
      <c r="R152" s="3">
        <f t="shared" si="89"/>
        <v>430696.9535553641</v>
      </c>
      <c r="S152" s="3">
        <f t="shared" si="90"/>
        <v>430696.95355536393</v>
      </c>
      <c r="T152" s="3"/>
      <c r="U152" s="3"/>
      <c r="V152" s="3">
        <f t="shared" si="91"/>
        <v>1905.899543177808</v>
      </c>
      <c r="W152" s="3">
        <f t="shared" si="98"/>
        <v>266825.93604489311</v>
      </c>
      <c r="X152" s="3">
        <f t="shared" si="92"/>
        <v>21.777777777777782</v>
      </c>
      <c r="Y152" s="3">
        <f t="shared" si="93"/>
        <v>21.777777777777779</v>
      </c>
      <c r="Z152" s="3">
        <f t="shared" si="99"/>
        <v>41506.25671809449</v>
      </c>
      <c r="AK152">
        <f t="shared" si="94"/>
        <v>140</v>
      </c>
      <c r="AL152" s="3">
        <f t="shared" si="100"/>
        <v>642.85714285714278</v>
      </c>
      <c r="AM152" s="3">
        <f t="shared" si="100"/>
        <v>1285.7142857142856</v>
      </c>
      <c r="AN152" s="3">
        <f t="shared" si="100"/>
        <v>1928.5714285714284</v>
      </c>
      <c r="AO152" s="3">
        <f t="shared" si="100"/>
        <v>2571.4285714285711</v>
      </c>
      <c r="AP152" s="3">
        <f t="shared" si="100"/>
        <v>3214.2857142857142</v>
      </c>
      <c r="AQ152" s="3">
        <f t="shared" si="100"/>
        <v>3857.1428571428569</v>
      </c>
      <c r="AR152" s="3">
        <f t="shared" si="100"/>
        <v>4499.9999999999991</v>
      </c>
      <c r="AS152" s="3">
        <f t="shared" si="100"/>
        <v>5142.8571428571422</v>
      </c>
      <c r="AT152" s="3">
        <f t="shared" si="100"/>
        <v>5785.7142857142853</v>
      </c>
      <c r="AU152" s="3">
        <f t="shared" si="100"/>
        <v>6428.5714285714284</v>
      </c>
      <c r="AV152" s="3">
        <f t="shared" si="101"/>
        <v>7071.4285714285706</v>
      </c>
      <c r="AW152" s="3">
        <f t="shared" si="101"/>
        <v>7714.2857142857138</v>
      </c>
      <c r="AX152" s="3">
        <f t="shared" si="101"/>
        <v>8357.1428571428569</v>
      </c>
      <c r="AY152" s="3">
        <f t="shared" si="101"/>
        <v>8999.9999999999982</v>
      </c>
      <c r="AZ152" s="3">
        <f t="shared" si="101"/>
        <v>9642.8571428571431</v>
      </c>
      <c r="BA152" s="3">
        <f t="shared" si="101"/>
        <v>10285.714285714284</v>
      </c>
      <c r="BB152" s="3">
        <f t="shared" si="101"/>
        <v>10928.571428571429</v>
      </c>
      <c r="BC152" s="3">
        <f t="shared" si="101"/>
        <v>11571.428571428571</v>
      </c>
      <c r="BD152" s="3">
        <f t="shared" si="101"/>
        <v>12214.285714285714</v>
      </c>
      <c r="BE152" s="3">
        <f t="shared" si="101"/>
        <v>12857.142857142857</v>
      </c>
    </row>
    <row r="153" spans="1:57" x14ac:dyDescent="0.45">
      <c r="A153">
        <f t="shared" si="102"/>
        <v>141</v>
      </c>
      <c r="B153" s="3">
        <f t="shared" si="81"/>
        <v>45.269352648257133</v>
      </c>
      <c r="C153" s="3">
        <f t="shared" si="103"/>
        <v>6382.978723404256</v>
      </c>
      <c r="D153" s="3">
        <f t="shared" si="82"/>
        <v>1.2286328369000971E-2</v>
      </c>
      <c r="E153" s="3">
        <f t="shared" si="83"/>
        <v>22.09</v>
      </c>
      <c r="F153" s="3"/>
      <c r="G153" s="3">
        <f t="shared" si="84"/>
        <v>27065134.869941428</v>
      </c>
      <c r="H153" s="3">
        <f t="shared" si="85"/>
        <v>638297.8723404255</v>
      </c>
      <c r="I153" s="3">
        <f t="shared" si="95"/>
        <v>13547612.540808219</v>
      </c>
      <c r="J153" s="3">
        <f t="shared" si="86"/>
        <v>4.9036218847351501E-2</v>
      </c>
      <c r="K153" s="3">
        <f t="shared" si="96"/>
        <v>2.2198378835378678</v>
      </c>
      <c r="L153" s="3">
        <f t="shared" si="104"/>
        <v>2.2198378835378687</v>
      </c>
      <c r="O153" s="9">
        <f t="shared" si="87"/>
        <v>2.2198378836648432E-3</v>
      </c>
      <c r="P153" s="9">
        <f t="shared" si="97"/>
        <v>449.48334716634764</v>
      </c>
      <c r="Q153" s="3">
        <f t="shared" si="88"/>
        <v>20393.089505040636</v>
      </c>
      <c r="R153" s="3">
        <f t="shared" si="89"/>
        <v>449487.77211351704</v>
      </c>
      <c r="S153" s="3">
        <f t="shared" si="90"/>
        <v>449487.77211351704</v>
      </c>
      <c r="T153" s="3"/>
      <c r="U153" s="3"/>
      <c r="V153" s="3">
        <f t="shared" si="91"/>
        <v>1919.5131113433638</v>
      </c>
      <c r="W153" s="3">
        <f t="shared" si="98"/>
        <v>270651.34869941429</v>
      </c>
      <c r="X153" s="3">
        <f t="shared" si="92"/>
        <v>22.090000000000007</v>
      </c>
      <c r="Y153" s="3">
        <f t="shared" si="93"/>
        <v>22.09</v>
      </c>
      <c r="Z153" s="3">
        <f t="shared" si="99"/>
        <v>42402.044629574906</v>
      </c>
      <c r="AK153">
        <f t="shared" si="94"/>
        <v>141</v>
      </c>
      <c r="AL153" s="3">
        <f t="shared" ref="AL153:AU163" si="105">AL$12/(IMPROVED_MBPS*IMPROVED_KM^2/(DIST_RINGS_EM/$AK153)^2)*$AK153</f>
        <v>638.29787234042556</v>
      </c>
      <c r="AM153" s="3">
        <f t="shared" si="105"/>
        <v>1276.5957446808511</v>
      </c>
      <c r="AN153" s="3">
        <f t="shared" si="105"/>
        <v>1914.8936170212767</v>
      </c>
      <c r="AO153" s="3">
        <f t="shared" si="105"/>
        <v>2553.1914893617022</v>
      </c>
      <c r="AP153" s="3">
        <f t="shared" si="105"/>
        <v>3191.489361702128</v>
      </c>
      <c r="AQ153" s="3">
        <f t="shared" si="105"/>
        <v>3829.7872340425533</v>
      </c>
      <c r="AR153" s="3">
        <f t="shared" si="105"/>
        <v>4468.0851063829787</v>
      </c>
      <c r="AS153" s="3">
        <f t="shared" si="105"/>
        <v>5106.3829787234044</v>
      </c>
      <c r="AT153" s="3">
        <f t="shared" si="105"/>
        <v>5744.6808510638293</v>
      </c>
      <c r="AU153" s="3">
        <f t="shared" si="105"/>
        <v>6382.978723404256</v>
      </c>
      <c r="AV153" s="3">
        <f t="shared" ref="AV153:BE163" si="106">AV$12/(IMPROVED_MBPS*IMPROVED_KM^2/(DIST_RINGS_EM/$AK153)^2)*$AK153</f>
        <v>7021.2765957446809</v>
      </c>
      <c r="AW153" s="3">
        <f t="shared" si="106"/>
        <v>7659.5744680851067</v>
      </c>
      <c r="AX153" s="3">
        <f t="shared" si="106"/>
        <v>8297.8723404255325</v>
      </c>
      <c r="AY153" s="3">
        <f t="shared" si="106"/>
        <v>8936.1702127659573</v>
      </c>
      <c r="AZ153" s="3">
        <f t="shared" si="106"/>
        <v>9574.4680851063822</v>
      </c>
      <c r="BA153" s="3">
        <f t="shared" si="106"/>
        <v>10212.765957446809</v>
      </c>
      <c r="BB153" s="3">
        <f t="shared" si="106"/>
        <v>10851.063829787234</v>
      </c>
      <c r="BC153" s="3">
        <f t="shared" si="106"/>
        <v>11489.361702127659</v>
      </c>
      <c r="BD153" s="3">
        <f t="shared" si="106"/>
        <v>12127.659574468084</v>
      </c>
      <c r="BE153" s="3">
        <f t="shared" si="106"/>
        <v>12765.957446808512</v>
      </c>
    </row>
    <row r="154" spans="1:57" x14ac:dyDescent="0.45">
      <c r="A154">
        <f t="shared" si="102"/>
        <v>142</v>
      </c>
      <c r="B154" s="3">
        <f t="shared" si="81"/>
        <v>44.634001190240035</v>
      </c>
      <c r="C154" s="3">
        <f t="shared" si="103"/>
        <v>6338.0281690140846</v>
      </c>
      <c r="D154" s="3">
        <f t="shared" si="82"/>
        <v>1.1943873398369378E-2</v>
      </c>
      <c r="E154" s="3">
        <f t="shared" si="83"/>
        <v>22.40444444444444</v>
      </c>
      <c r="F154" s="3"/>
      <c r="G154" s="3">
        <f t="shared" si="84"/>
        <v>27450398.849026654</v>
      </c>
      <c r="H154" s="3">
        <f t="shared" si="85"/>
        <v>633802.81690140849</v>
      </c>
      <c r="I154" s="3">
        <f t="shared" si="95"/>
        <v>13739825.517573835</v>
      </c>
      <c r="J154" s="3">
        <f t="shared" si="86"/>
        <v>4.7673833365918745E-2</v>
      </c>
      <c r="K154" s="3">
        <f t="shared" si="96"/>
        <v>2.1278739351977225</v>
      </c>
      <c r="L154" s="3">
        <f t="shared" si="104"/>
        <v>2.1278739351977225</v>
      </c>
      <c r="O154" s="9">
        <f t="shared" si="87"/>
        <v>2.1278739353194375E-3</v>
      </c>
      <c r="P154" s="9">
        <f t="shared" si="97"/>
        <v>468.95265245818217</v>
      </c>
      <c r="Q154" s="3">
        <f t="shared" si="88"/>
        <v>20975.867249174964</v>
      </c>
      <c r="R154" s="3">
        <f t="shared" si="89"/>
        <v>468956.8946704634</v>
      </c>
      <c r="S154" s="3">
        <f t="shared" si="90"/>
        <v>468956.89467046334</v>
      </c>
      <c r="T154" s="3"/>
      <c r="U154" s="3"/>
      <c r="V154" s="3">
        <f t="shared" si="91"/>
        <v>1933.1266795089196</v>
      </c>
      <c r="W154" s="3">
        <f t="shared" si="98"/>
        <v>274503.98849026655</v>
      </c>
      <c r="X154" s="3">
        <f t="shared" si="92"/>
        <v>22.404444444444447</v>
      </c>
      <c r="Y154" s="3">
        <f t="shared" si="93"/>
        <v>22.40444444444444</v>
      </c>
      <c r="Z154" s="3">
        <f t="shared" si="99"/>
        <v>43310.629295130937</v>
      </c>
      <c r="AK154">
        <f t="shared" si="94"/>
        <v>142</v>
      </c>
      <c r="AL154" s="3">
        <f t="shared" si="105"/>
        <v>633.80281690140862</v>
      </c>
      <c r="AM154" s="3">
        <f t="shared" si="105"/>
        <v>1267.6056338028172</v>
      </c>
      <c r="AN154" s="3">
        <f t="shared" si="105"/>
        <v>1901.4084507042257</v>
      </c>
      <c r="AO154" s="3">
        <f t="shared" si="105"/>
        <v>2535.2112676056345</v>
      </c>
      <c r="AP154" s="3">
        <f t="shared" si="105"/>
        <v>3169.0140845070428</v>
      </c>
      <c r="AQ154" s="3">
        <f t="shared" si="105"/>
        <v>3802.8169014084515</v>
      </c>
      <c r="AR154" s="3">
        <f t="shared" si="105"/>
        <v>4436.6197183098602</v>
      </c>
      <c r="AS154" s="3">
        <f t="shared" si="105"/>
        <v>5070.422535211269</v>
      </c>
      <c r="AT154" s="3">
        <f t="shared" si="105"/>
        <v>5704.2253521126768</v>
      </c>
      <c r="AU154" s="3">
        <f t="shared" si="105"/>
        <v>6338.0281690140855</v>
      </c>
      <c r="AV154" s="3">
        <f t="shared" si="106"/>
        <v>6971.8309859154942</v>
      </c>
      <c r="AW154" s="3">
        <f t="shared" si="106"/>
        <v>7605.633802816903</v>
      </c>
      <c r="AX154" s="3">
        <f t="shared" si="106"/>
        <v>8239.4366197183117</v>
      </c>
      <c r="AY154" s="3">
        <f t="shared" si="106"/>
        <v>8873.2394366197204</v>
      </c>
      <c r="AZ154" s="3">
        <f t="shared" si="106"/>
        <v>9507.0422535211292</v>
      </c>
      <c r="BA154" s="3">
        <f t="shared" si="106"/>
        <v>10140.845070422538</v>
      </c>
      <c r="BB154" s="3">
        <f t="shared" si="106"/>
        <v>10774.647887323945</v>
      </c>
      <c r="BC154" s="3">
        <f t="shared" si="106"/>
        <v>11408.450704225354</v>
      </c>
      <c r="BD154" s="3">
        <f t="shared" si="106"/>
        <v>12042.253521126764</v>
      </c>
      <c r="BE154" s="3">
        <f t="shared" si="106"/>
        <v>12676.056338028171</v>
      </c>
    </row>
    <row r="155" spans="1:57" x14ac:dyDescent="0.45">
      <c r="A155">
        <f t="shared" si="102"/>
        <v>143</v>
      </c>
      <c r="B155" s="3">
        <f t="shared" si="81"/>
        <v>44.011932123820237</v>
      </c>
      <c r="C155" s="3">
        <f t="shared" si="103"/>
        <v>6293.7062937062938</v>
      </c>
      <c r="D155" s="3">
        <f t="shared" si="82"/>
        <v>1.1613267214509199E-2</v>
      </c>
      <c r="E155" s="3">
        <f t="shared" si="83"/>
        <v>22.721111111111114</v>
      </c>
      <c r="F155" s="3"/>
      <c r="G155" s="3">
        <f t="shared" si="84"/>
        <v>27838385.541744996</v>
      </c>
      <c r="H155" s="3">
        <f t="shared" si="85"/>
        <v>629370.62937062932</v>
      </c>
      <c r="I155" s="3">
        <f t="shared" si="95"/>
        <v>13933414.326066084</v>
      </c>
      <c r="J155" s="3">
        <f t="shared" si="86"/>
        <v>4.6358289829886379E-2</v>
      </c>
      <c r="K155" s="3">
        <f t="shared" si="96"/>
        <v>2.0403179053693452</v>
      </c>
      <c r="L155" s="3">
        <f t="shared" si="104"/>
        <v>2.0403179053693457</v>
      </c>
      <c r="O155" s="9">
        <f t="shared" si="87"/>
        <v>2.0403179054860523E-3</v>
      </c>
      <c r="P155" s="9">
        <f t="shared" si="97"/>
        <v>489.11970012671929</v>
      </c>
      <c r="Q155" s="3">
        <f t="shared" si="88"/>
        <v>21571.114974524298</v>
      </c>
      <c r="R155" s="3">
        <f t="shared" si="89"/>
        <v>489123.76831611188</v>
      </c>
      <c r="S155" s="3">
        <f t="shared" si="90"/>
        <v>489123.76831611176</v>
      </c>
      <c r="T155" s="3"/>
      <c r="U155" s="3"/>
      <c r="V155" s="3">
        <f t="shared" si="91"/>
        <v>1946.7402476744755</v>
      </c>
      <c r="W155" s="3">
        <f t="shared" si="98"/>
        <v>278383.85541745002</v>
      </c>
      <c r="X155" s="3">
        <f t="shared" si="92"/>
        <v>22.721111111111121</v>
      </c>
      <c r="Y155" s="3">
        <f t="shared" si="93"/>
        <v>22.721111111111114</v>
      </c>
      <c r="Z155" s="3">
        <f t="shared" si="99"/>
        <v>44232.101471883725</v>
      </c>
      <c r="AK155">
        <f t="shared" si="94"/>
        <v>143</v>
      </c>
      <c r="AL155" s="3">
        <f t="shared" si="105"/>
        <v>629.37062937062933</v>
      </c>
      <c r="AM155" s="3">
        <f t="shared" si="105"/>
        <v>1258.7412587412587</v>
      </c>
      <c r="AN155" s="3">
        <f t="shared" si="105"/>
        <v>1888.1118881118878</v>
      </c>
      <c r="AO155" s="3">
        <f t="shared" si="105"/>
        <v>2517.4825174825173</v>
      </c>
      <c r="AP155" s="3">
        <f t="shared" si="105"/>
        <v>3146.8531468531464</v>
      </c>
      <c r="AQ155" s="3">
        <f t="shared" si="105"/>
        <v>3776.2237762237755</v>
      </c>
      <c r="AR155" s="3">
        <f t="shared" si="105"/>
        <v>4405.5944055944046</v>
      </c>
      <c r="AS155" s="3">
        <f t="shared" si="105"/>
        <v>5034.9650349650346</v>
      </c>
      <c r="AT155" s="3">
        <f t="shared" si="105"/>
        <v>5664.3356643356628</v>
      </c>
      <c r="AU155" s="3">
        <f t="shared" si="105"/>
        <v>6293.7062937062929</v>
      </c>
      <c r="AV155" s="3">
        <f t="shared" si="106"/>
        <v>6923.0769230769229</v>
      </c>
      <c r="AW155" s="3">
        <f t="shared" si="106"/>
        <v>7552.4475524475511</v>
      </c>
      <c r="AX155" s="3">
        <f t="shared" si="106"/>
        <v>8181.8181818181811</v>
      </c>
      <c r="AY155" s="3">
        <f t="shared" si="106"/>
        <v>8811.1888111888093</v>
      </c>
      <c r="AZ155" s="3">
        <f t="shared" si="106"/>
        <v>9440.5594405594402</v>
      </c>
      <c r="BA155" s="3">
        <f t="shared" si="106"/>
        <v>10069.930069930069</v>
      </c>
      <c r="BB155" s="3">
        <f t="shared" si="106"/>
        <v>10699.300699300698</v>
      </c>
      <c r="BC155" s="3">
        <f t="shared" si="106"/>
        <v>11328.671328671326</v>
      </c>
      <c r="BD155" s="3">
        <f t="shared" si="106"/>
        <v>11958.041958041957</v>
      </c>
      <c r="BE155" s="3">
        <f t="shared" si="106"/>
        <v>12587.412587412586</v>
      </c>
    </row>
    <row r="156" spans="1:57" x14ac:dyDescent="0.45">
      <c r="A156">
        <f t="shared" si="102"/>
        <v>144</v>
      </c>
      <c r="B156" s="3">
        <f t="shared" si="81"/>
        <v>43.402777777777779</v>
      </c>
      <c r="C156" s="3">
        <f t="shared" si="103"/>
        <v>6250</v>
      </c>
      <c r="D156" s="3">
        <f t="shared" si="82"/>
        <v>1.1294021248895152E-2</v>
      </c>
      <c r="E156" s="3">
        <f t="shared" si="83"/>
        <v>23.04</v>
      </c>
      <c r="F156" s="3"/>
      <c r="G156" s="3">
        <f t="shared" si="84"/>
        <v>28229094.948096447</v>
      </c>
      <c r="H156" s="3">
        <f t="shared" si="85"/>
        <v>625000</v>
      </c>
      <c r="I156" s="3">
        <f t="shared" si="95"/>
        <v>14128378.371106895</v>
      </c>
      <c r="J156" s="3">
        <f t="shared" si="86"/>
        <v>4.508767853734031E-2</v>
      </c>
      <c r="K156" s="3">
        <f t="shared" si="96"/>
        <v>1.956930492072062</v>
      </c>
      <c r="L156" s="3">
        <f t="shared" si="104"/>
        <v>1.9569304920720627</v>
      </c>
      <c r="O156" s="9">
        <f t="shared" si="87"/>
        <v>1.9569304921839992E-3</v>
      </c>
      <c r="P156" s="9">
        <f t="shared" si="97"/>
        <v>510.00435298750284</v>
      </c>
      <c r="Q156" s="3">
        <f t="shared" si="88"/>
        <v>22179.008376193698</v>
      </c>
      <c r="R156" s="3">
        <f t="shared" si="89"/>
        <v>510008.25539705349</v>
      </c>
      <c r="S156" s="3">
        <f t="shared" si="90"/>
        <v>510008.25539705349</v>
      </c>
      <c r="T156" s="3"/>
      <c r="U156" s="3"/>
      <c r="V156" s="3">
        <f t="shared" si="91"/>
        <v>1960.3538158400308</v>
      </c>
      <c r="W156" s="3">
        <f t="shared" si="98"/>
        <v>282290.94948096445</v>
      </c>
      <c r="X156" s="3">
        <f t="shared" si="92"/>
        <v>23.039999999999996</v>
      </c>
      <c r="Y156" s="3">
        <f t="shared" si="93"/>
        <v>23.04</v>
      </c>
      <c r="Z156" s="3">
        <f t="shared" si="99"/>
        <v>45166.551916954311</v>
      </c>
      <c r="AK156">
        <f t="shared" si="94"/>
        <v>144</v>
      </c>
      <c r="AL156" s="3">
        <f t="shared" si="105"/>
        <v>625</v>
      </c>
      <c r="AM156" s="3">
        <f t="shared" si="105"/>
        <v>1250</v>
      </c>
      <c r="AN156" s="3">
        <f t="shared" si="105"/>
        <v>1875</v>
      </c>
      <c r="AO156" s="3">
        <f t="shared" si="105"/>
        <v>2500</v>
      </c>
      <c r="AP156" s="3">
        <f t="shared" si="105"/>
        <v>3125</v>
      </c>
      <c r="AQ156" s="3">
        <f t="shared" si="105"/>
        <v>3750</v>
      </c>
      <c r="AR156" s="3">
        <f t="shared" si="105"/>
        <v>4375</v>
      </c>
      <c r="AS156" s="3">
        <f t="shared" si="105"/>
        <v>5000</v>
      </c>
      <c r="AT156" s="3">
        <f t="shared" si="105"/>
        <v>5625</v>
      </c>
      <c r="AU156" s="3">
        <f t="shared" si="105"/>
        <v>6250</v>
      </c>
      <c r="AV156" s="3">
        <f t="shared" si="106"/>
        <v>6875</v>
      </c>
      <c r="AW156" s="3">
        <f t="shared" si="106"/>
        <v>7500</v>
      </c>
      <c r="AX156" s="3">
        <f t="shared" si="106"/>
        <v>8125</v>
      </c>
      <c r="AY156" s="3">
        <f t="shared" si="106"/>
        <v>8750</v>
      </c>
      <c r="AZ156" s="3">
        <f t="shared" si="106"/>
        <v>9375</v>
      </c>
      <c r="BA156" s="3">
        <f t="shared" si="106"/>
        <v>10000</v>
      </c>
      <c r="BB156" s="3">
        <f t="shared" si="106"/>
        <v>10625</v>
      </c>
      <c r="BC156" s="3">
        <f t="shared" si="106"/>
        <v>11250</v>
      </c>
      <c r="BD156" s="3">
        <f t="shared" si="106"/>
        <v>11875.000000000002</v>
      </c>
      <c r="BE156" s="3">
        <f t="shared" si="106"/>
        <v>12500</v>
      </c>
    </row>
    <row r="157" spans="1:57" x14ac:dyDescent="0.45">
      <c r="A157">
        <f t="shared" si="102"/>
        <v>145</v>
      </c>
      <c r="B157" s="3">
        <f t="shared" si="81"/>
        <v>42.806183115338882</v>
      </c>
      <c r="C157" s="3">
        <f t="shared" si="103"/>
        <v>6206.8965517241377</v>
      </c>
      <c r="D157" s="3">
        <f t="shared" si="82"/>
        <v>1.098567027534454E-2</v>
      </c>
      <c r="E157" s="3">
        <f t="shared" si="83"/>
        <v>23.361111111111111</v>
      </c>
      <c r="F157" s="3"/>
      <c r="G157" s="3">
        <f t="shared" si="84"/>
        <v>28622527.06808101</v>
      </c>
      <c r="H157" s="3">
        <f t="shared" si="85"/>
        <v>620689.6551724138</v>
      </c>
      <c r="I157" s="3">
        <f t="shared" si="95"/>
        <v>14324717.085820425</v>
      </c>
      <c r="J157" s="3">
        <f t="shared" si="86"/>
        <v>4.3860179294737567E-2</v>
      </c>
      <c r="K157" s="3">
        <f t="shared" si="96"/>
        <v>1.8774868663621314</v>
      </c>
      <c r="L157" s="3">
        <f t="shared" si="104"/>
        <v>1.877486866362132</v>
      </c>
      <c r="O157" s="9">
        <f t="shared" si="87"/>
        <v>1.8774868664695244E-3</v>
      </c>
      <c r="P157" s="9">
        <f t="shared" si="97"/>
        <v>531.62689495156167</v>
      </c>
      <c r="Q157" s="3">
        <f t="shared" si="88"/>
        <v>22799.724397450915</v>
      </c>
      <c r="R157" s="3">
        <f t="shared" si="89"/>
        <v>531630.63938335807</v>
      </c>
      <c r="S157" s="3">
        <f t="shared" si="90"/>
        <v>531630.63938335807</v>
      </c>
      <c r="T157" s="3"/>
      <c r="U157" s="3"/>
      <c r="V157" s="3">
        <f t="shared" si="91"/>
        <v>1973.9673840055868</v>
      </c>
      <c r="W157" s="3">
        <f t="shared" si="98"/>
        <v>286225.27068081009</v>
      </c>
      <c r="X157" s="3">
        <f t="shared" si="92"/>
        <v>23.361111111111114</v>
      </c>
      <c r="Y157" s="3">
        <f t="shared" si="93"/>
        <v>23.361111111111111</v>
      </c>
      <c r="Z157" s="3">
        <f t="shared" si="99"/>
        <v>46114.071387463846</v>
      </c>
      <c r="AK157">
        <f t="shared" si="94"/>
        <v>145</v>
      </c>
      <c r="AL157" s="3">
        <f t="shared" si="105"/>
        <v>620.68965517241372</v>
      </c>
      <c r="AM157" s="3">
        <f t="shared" si="105"/>
        <v>1241.3793103448274</v>
      </c>
      <c r="AN157" s="3">
        <f t="shared" si="105"/>
        <v>1862.0689655172414</v>
      </c>
      <c r="AO157" s="3">
        <f t="shared" si="105"/>
        <v>2482.7586206896549</v>
      </c>
      <c r="AP157" s="3">
        <f t="shared" si="105"/>
        <v>3103.4482758620688</v>
      </c>
      <c r="AQ157" s="3">
        <f t="shared" si="105"/>
        <v>3724.1379310344828</v>
      </c>
      <c r="AR157" s="3">
        <f t="shared" si="105"/>
        <v>4344.8275862068967</v>
      </c>
      <c r="AS157" s="3">
        <f t="shared" si="105"/>
        <v>4965.5172413793098</v>
      </c>
      <c r="AT157" s="3">
        <f t="shared" si="105"/>
        <v>5586.2068965517246</v>
      </c>
      <c r="AU157" s="3">
        <f t="shared" si="105"/>
        <v>6206.8965517241377</v>
      </c>
      <c r="AV157" s="3">
        <f t="shared" si="106"/>
        <v>6827.5862068965525</v>
      </c>
      <c r="AW157" s="3">
        <f t="shared" si="106"/>
        <v>7448.2758620689656</v>
      </c>
      <c r="AX157" s="3">
        <f t="shared" si="106"/>
        <v>8068.9655172413795</v>
      </c>
      <c r="AY157" s="3">
        <f t="shared" si="106"/>
        <v>8689.6551724137935</v>
      </c>
      <c r="AZ157" s="3">
        <f t="shared" si="106"/>
        <v>9310.3448275862065</v>
      </c>
      <c r="BA157" s="3">
        <f t="shared" si="106"/>
        <v>9931.0344827586196</v>
      </c>
      <c r="BB157" s="3">
        <f t="shared" si="106"/>
        <v>10551.724137931034</v>
      </c>
      <c r="BC157" s="3">
        <f t="shared" si="106"/>
        <v>11172.413793103449</v>
      </c>
      <c r="BD157" s="3">
        <f t="shared" si="106"/>
        <v>11793.103448275862</v>
      </c>
      <c r="BE157" s="3">
        <f t="shared" si="106"/>
        <v>12413.793103448275</v>
      </c>
    </row>
    <row r="158" spans="1:57" x14ac:dyDescent="0.45">
      <c r="A158">
        <f t="shared" si="102"/>
        <v>146</v>
      </c>
      <c r="B158" s="3">
        <f t="shared" si="81"/>
        <v>42.221805216738602</v>
      </c>
      <c r="C158" s="3">
        <f t="shared" si="103"/>
        <v>6164.3835616438355</v>
      </c>
      <c r="D158" s="3">
        <f t="shared" si="82"/>
        <v>1.0687771144126446E-2</v>
      </c>
      <c r="E158" s="3">
        <f t="shared" si="83"/>
        <v>23.684444444444441</v>
      </c>
      <c r="F158" s="3"/>
      <c r="G158" s="3">
        <f t="shared" si="84"/>
        <v>29018681.901698679</v>
      </c>
      <c r="H158" s="3">
        <f t="shared" si="85"/>
        <v>616438.35616438359</v>
      </c>
      <c r="I158" s="3">
        <f t="shared" si="95"/>
        <v>14522429.930109641</v>
      </c>
      <c r="J158" s="3">
        <f t="shared" si="86"/>
        <v>4.2674056710729047E-2</v>
      </c>
      <c r="K158" s="3">
        <f t="shared" si="96"/>
        <v>1.8017757102484586</v>
      </c>
      <c r="L158" s="3">
        <f t="shared" si="104"/>
        <v>1.8017757102484591</v>
      </c>
      <c r="O158" s="9">
        <f t="shared" si="87"/>
        <v>1.8017757103515209E-3</v>
      </c>
      <c r="P158" s="9">
        <f t="shared" si="97"/>
        <v>554.00803693535363</v>
      </c>
      <c r="Q158" s="3">
        <f t="shared" si="88"/>
        <v>23433.441229208966</v>
      </c>
      <c r="R158" s="3">
        <f t="shared" si="89"/>
        <v>554011.63077669253</v>
      </c>
      <c r="S158" s="3">
        <f t="shared" si="90"/>
        <v>554011.63077669253</v>
      </c>
      <c r="T158" s="3"/>
      <c r="U158" s="3"/>
      <c r="V158" s="3">
        <f t="shared" si="91"/>
        <v>1987.5809521711426</v>
      </c>
      <c r="W158" s="3">
        <f t="shared" si="98"/>
        <v>290186.81901698682</v>
      </c>
      <c r="X158" s="3">
        <f t="shared" si="92"/>
        <v>23.684444444444448</v>
      </c>
      <c r="Y158" s="3">
        <f t="shared" si="93"/>
        <v>23.684444444444441</v>
      </c>
      <c r="Z158" s="3">
        <f t="shared" si="99"/>
        <v>47074.750640533413</v>
      </c>
      <c r="AK158">
        <f t="shared" si="94"/>
        <v>146</v>
      </c>
      <c r="AL158" s="3">
        <f t="shared" si="105"/>
        <v>616.43835616438366</v>
      </c>
      <c r="AM158" s="3">
        <f t="shared" si="105"/>
        <v>1232.8767123287673</v>
      </c>
      <c r="AN158" s="3">
        <f t="shared" si="105"/>
        <v>1849.3150684931509</v>
      </c>
      <c r="AO158" s="3">
        <f t="shared" si="105"/>
        <v>2465.7534246575347</v>
      </c>
      <c r="AP158" s="3">
        <f t="shared" si="105"/>
        <v>3082.1917808219187</v>
      </c>
      <c r="AQ158" s="3">
        <f t="shared" si="105"/>
        <v>3698.6301369863017</v>
      </c>
      <c r="AR158" s="3">
        <f t="shared" si="105"/>
        <v>4315.0684931506858</v>
      </c>
      <c r="AS158" s="3">
        <f t="shared" si="105"/>
        <v>4931.5068493150693</v>
      </c>
      <c r="AT158" s="3">
        <f t="shared" si="105"/>
        <v>5547.9452054794529</v>
      </c>
      <c r="AU158" s="3">
        <f t="shared" si="105"/>
        <v>6164.3835616438373</v>
      </c>
      <c r="AV158" s="3">
        <f t="shared" si="106"/>
        <v>6780.82191780822</v>
      </c>
      <c r="AW158" s="3">
        <f t="shared" si="106"/>
        <v>7397.2602739726035</v>
      </c>
      <c r="AX158" s="3">
        <f t="shared" si="106"/>
        <v>8013.698630136987</v>
      </c>
      <c r="AY158" s="3">
        <f t="shared" si="106"/>
        <v>8630.1369863013715</v>
      </c>
      <c r="AZ158" s="3">
        <f t="shared" si="106"/>
        <v>9246.5753424657541</v>
      </c>
      <c r="BA158" s="3">
        <f t="shared" si="106"/>
        <v>9863.0136986301386</v>
      </c>
      <c r="BB158" s="3">
        <f t="shared" si="106"/>
        <v>10479.452054794521</v>
      </c>
      <c r="BC158" s="3">
        <f t="shared" si="106"/>
        <v>11095.890410958906</v>
      </c>
      <c r="BD158" s="3">
        <f t="shared" si="106"/>
        <v>11712.32876712329</v>
      </c>
      <c r="BE158" s="3">
        <f t="shared" si="106"/>
        <v>12328.767123287675</v>
      </c>
    </row>
    <row r="159" spans="1:57" x14ac:dyDescent="0.45">
      <c r="A159">
        <f t="shared" si="102"/>
        <v>147</v>
      </c>
      <c r="B159" s="3">
        <f t="shared" si="81"/>
        <v>41.649312786339024</v>
      </c>
      <c r="C159" s="3">
        <f t="shared" si="103"/>
        <v>6122.4489795918362</v>
      </c>
      <c r="D159" s="3">
        <f t="shared" si="82"/>
        <v>1.0399901592782649E-2</v>
      </c>
      <c r="E159" s="3">
        <f t="shared" si="83"/>
        <v>24.01</v>
      </c>
      <c r="F159" s="3"/>
      <c r="G159" s="3">
        <f t="shared" si="84"/>
        <v>29417559.448949467</v>
      </c>
      <c r="H159" s="3">
        <f t="shared" si="85"/>
        <v>612244.89795918367</v>
      </c>
      <c r="I159" s="3">
        <f t="shared" si="95"/>
        <v>14721516.389224179</v>
      </c>
      <c r="J159" s="3">
        <f t="shared" si="86"/>
        <v>4.1527655761667809E-2</v>
      </c>
      <c r="K159" s="3">
        <f t="shared" si="96"/>
        <v>1.7295983241011166</v>
      </c>
      <c r="L159" s="3">
        <f t="shared" si="104"/>
        <v>1.729598324101117</v>
      </c>
      <c r="O159" s="9">
        <f t="shared" si="87"/>
        <v>1.7295983242000502E-3</v>
      </c>
      <c r="P159" s="9">
        <f t="shared" si="97"/>
        <v>577.16892281189394</v>
      </c>
      <c r="Q159" s="3">
        <f t="shared" si="88"/>
        <v>24080.338309533276</v>
      </c>
      <c r="R159" s="3">
        <f t="shared" si="89"/>
        <v>577172.37305975344</v>
      </c>
      <c r="S159" s="3">
        <f t="shared" si="90"/>
        <v>577172.37305975344</v>
      </c>
      <c r="T159" s="3"/>
      <c r="U159" s="3"/>
      <c r="V159" s="3">
        <f t="shared" si="91"/>
        <v>2001.1945203366984</v>
      </c>
      <c r="W159" s="3">
        <f t="shared" si="98"/>
        <v>294175.59448949469</v>
      </c>
      <c r="X159" s="3">
        <f t="shared" si="92"/>
        <v>24.010000000000005</v>
      </c>
      <c r="Y159" s="3">
        <f t="shared" si="93"/>
        <v>24.01</v>
      </c>
      <c r="Z159" s="3">
        <f t="shared" si="99"/>
        <v>48048.680433284128</v>
      </c>
      <c r="AK159">
        <f t="shared" si="94"/>
        <v>147</v>
      </c>
      <c r="AL159" s="3">
        <f t="shared" si="105"/>
        <v>612.24489795918362</v>
      </c>
      <c r="AM159" s="3">
        <f t="shared" si="105"/>
        <v>1224.4897959183672</v>
      </c>
      <c r="AN159" s="3">
        <f t="shared" si="105"/>
        <v>1836.7346938775509</v>
      </c>
      <c r="AO159" s="3">
        <f t="shared" si="105"/>
        <v>2448.9795918367345</v>
      </c>
      <c r="AP159" s="3">
        <f t="shared" si="105"/>
        <v>3061.2244897959181</v>
      </c>
      <c r="AQ159" s="3">
        <f t="shared" si="105"/>
        <v>3673.4693877551017</v>
      </c>
      <c r="AR159" s="3">
        <f t="shared" si="105"/>
        <v>4285.7142857142853</v>
      </c>
      <c r="AS159" s="3">
        <f t="shared" si="105"/>
        <v>4897.9591836734689</v>
      </c>
      <c r="AT159" s="3">
        <f t="shared" si="105"/>
        <v>5510.2040816326535</v>
      </c>
      <c r="AU159" s="3">
        <f t="shared" si="105"/>
        <v>6122.4489795918362</v>
      </c>
      <c r="AV159" s="3">
        <f t="shared" si="106"/>
        <v>6734.6938775510198</v>
      </c>
      <c r="AW159" s="3">
        <f t="shared" si="106"/>
        <v>7346.9387755102034</v>
      </c>
      <c r="AX159" s="3">
        <f t="shared" si="106"/>
        <v>7959.183673469387</v>
      </c>
      <c r="AY159" s="3">
        <f t="shared" si="106"/>
        <v>8571.4285714285706</v>
      </c>
      <c r="AZ159" s="3">
        <f t="shared" si="106"/>
        <v>9183.6734693877552</v>
      </c>
      <c r="BA159" s="3">
        <f t="shared" si="106"/>
        <v>9795.9183673469379</v>
      </c>
      <c r="BB159" s="3">
        <f t="shared" si="106"/>
        <v>10408.163265306122</v>
      </c>
      <c r="BC159" s="3">
        <f t="shared" si="106"/>
        <v>11020.408163265307</v>
      </c>
      <c r="BD159" s="3">
        <f t="shared" si="106"/>
        <v>11632.65306122449</v>
      </c>
      <c r="BE159" s="3">
        <f t="shared" si="106"/>
        <v>12244.897959183672</v>
      </c>
    </row>
    <row r="160" spans="1:57" x14ac:dyDescent="0.45">
      <c r="A160">
        <f t="shared" si="102"/>
        <v>148</v>
      </c>
      <c r="B160" s="3">
        <f t="shared" si="81"/>
        <v>41.088385682980281</v>
      </c>
      <c r="C160" s="3">
        <f t="shared" si="103"/>
        <v>6081.0810810810817</v>
      </c>
      <c r="D160" s="3">
        <f t="shared" si="82"/>
        <v>1.0121659128529666E-2</v>
      </c>
      <c r="E160" s="3">
        <f t="shared" si="83"/>
        <v>24.337777777777774</v>
      </c>
      <c r="F160" s="3"/>
      <c r="G160" s="3">
        <f t="shared" si="84"/>
        <v>29819159.709833357</v>
      </c>
      <c r="H160" s="3">
        <f t="shared" si="85"/>
        <v>608108.10810810816</v>
      </c>
      <c r="I160" s="3">
        <f t="shared" si="95"/>
        <v>14921975.972413441</v>
      </c>
      <c r="J160" s="3">
        <f t="shared" si="86"/>
        <v>4.041939761194048E-2</v>
      </c>
      <c r="K160" s="3">
        <f t="shared" si="96"/>
        <v>1.6607677981531426</v>
      </c>
      <c r="L160" s="3">
        <f t="shared" si="104"/>
        <v>1.6607677981531432</v>
      </c>
      <c r="O160" s="9">
        <f t="shared" si="87"/>
        <v>1.6607677982481391E-3</v>
      </c>
      <c r="P160" s="9">
        <f t="shared" si="97"/>
        <v>601.13113540306472</v>
      </c>
      <c r="Q160" s="3">
        <f t="shared" si="88"/>
        <v>24740.596323171947</v>
      </c>
      <c r="R160" s="3">
        <f t="shared" si="89"/>
        <v>601134.44868699764</v>
      </c>
      <c r="S160" s="3">
        <f t="shared" si="90"/>
        <v>601134.44868699799</v>
      </c>
      <c r="T160" s="3"/>
      <c r="U160" s="3"/>
      <c r="V160" s="3">
        <f t="shared" si="91"/>
        <v>2014.8080885022541</v>
      </c>
      <c r="W160" s="3">
        <f t="shared" si="98"/>
        <v>298191.59709833359</v>
      </c>
      <c r="X160" s="3">
        <f t="shared" si="92"/>
        <v>24.337777777777781</v>
      </c>
      <c r="Y160" s="3">
        <f t="shared" si="93"/>
        <v>24.337777777777774</v>
      </c>
      <c r="Z160" s="3">
        <f t="shared" si="99"/>
        <v>49035.951522837073</v>
      </c>
      <c r="AK160">
        <f t="shared" si="94"/>
        <v>148</v>
      </c>
      <c r="AL160" s="3">
        <f t="shared" si="105"/>
        <v>608.10810810810824</v>
      </c>
      <c r="AM160" s="3">
        <f t="shared" si="105"/>
        <v>1216.2162162162165</v>
      </c>
      <c r="AN160" s="3">
        <f t="shared" si="105"/>
        <v>1824.3243243243246</v>
      </c>
      <c r="AO160" s="3">
        <f t="shared" si="105"/>
        <v>2432.432432432433</v>
      </c>
      <c r="AP160" s="3">
        <f t="shared" si="105"/>
        <v>3040.5405405405409</v>
      </c>
      <c r="AQ160" s="3">
        <f t="shared" si="105"/>
        <v>3648.6486486486492</v>
      </c>
      <c r="AR160" s="3">
        <f t="shared" si="105"/>
        <v>4256.7567567567576</v>
      </c>
      <c r="AS160" s="3">
        <f t="shared" si="105"/>
        <v>4864.8648648648659</v>
      </c>
      <c r="AT160" s="3">
        <f t="shared" si="105"/>
        <v>5472.9729729729734</v>
      </c>
      <c r="AU160" s="3">
        <f t="shared" si="105"/>
        <v>6081.0810810810817</v>
      </c>
      <c r="AV160" s="3">
        <f t="shared" si="106"/>
        <v>6689.1891891891901</v>
      </c>
      <c r="AW160" s="3">
        <f t="shared" si="106"/>
        <v>7297.2972972972984</v>
      </c>
      <c r="AX160" s="3">
        <f t="shared" si="106"/>
        <v>7905.4054054054068</v>
      </c>
      <c r="AY160" s="3">
        <f t="shared" si="106"/>
        <v>8513.5135135135151</v>
      </c>
      <c r="AZ160" s="3">
        <f t="shared" si="106"/>
        <v>9121.6216216216235</v>
      </c>
      <c r="BA160" s="3">
        <f t="shared" si="106"/>
        <v>9729.7297297297318</v>
      </c>
      <c r="BB160" s="3">
        <f t="shared" si="106"/>
        <v>10337.83783783784</v>
      </c>
      <c r="BC160" s="3">
        <f t="shared" si="106"/>
        <v>10945.945945945947</v>
      </c>
      <c r="BD160" s="3">
        <f t="shared" si="106"/>
        <v>11554.054054054055</v>
      </c>
      <c r="BE160" s="3">
        <f t="shared" si="106"/>
        <v>12162.162162162163</v>
      </c>
    </row>
    <row r="161" spans="1:57" x14ac:dyDescent="0.45">
      <c r="A161">
        <f t="shared" si="102"/>
        <v>149</v>
      </c>
      <c r="B161" s="3">
        <f t="shared" si="81"/>
        <v>40.538714472321068</v>
      </c>
      <c r="C161" s="3">
        <f t="shared" si="103"/>
        <v>6040.2684563758394</v>
      </c>
      <c r="D161" s="3">
        <f t="shared" si="82"/>
        <v>9.8526599774862358E-3</v>
      </c>
      <c r="E161" s="3">
        <f t="shared" si="83"/>
        <v>24.667777777777779</v>
      </c>
      <c r="F161" s="3"/>
      <c r="G161" s="3">
        <f t="shared" si="84"/>
        <v>30223482.684350368</v>
      </c>
      <c r="H161" s="3">
        <f t="shared" si="85"/>
        <v>604026.84563758387</v>
      </c>
      <c r="I161" s="3">
        <f t="shared" si="95"/>
        <v>15123808.211659439</v>
      </c>
      <c r="J161" s="3">
        <f t="shared" si="86"/>
        <v>3.9347775673357045E-2</v>
      </c>
      <c r="K161" s="3">
        <f t="shared" si="96"/>
        <v>1.595108243143162</v>
      </c>
      <c r="L161" s="3">
        <f t="shared" si="104"/>
        <v>1.595108243143162</v>
      </c>
      <c r="O161" s="9">
        <f t="shared" si="87"/>
        <v>1.5951082432344029E-3</v>
      </c>
      <c r="P161" s="9">
        <f t="shared" si="97"/>
        <v>625.91670251311518</v>
      </c>
      <c r="Q161" s="3">
        <f t="shared" si="88"/>
        <v>25414.397201108226</v>
      </c>
      <c r="R161" s="3">
        <f t="shared" si="89"/>
        <v>625919.88511667482</v>
      </c>
      <c r="S161" s="3">
        <f t="shared" si="90"/>
        <v>625919.88511667482</v>
      </c>
      <c r="T161" s="3"/>
      <c r="U161" s="3"/>
      <c r="V161" s="3">
        <f t="shared" si="91"/>
        <v>2028.4216566678101</v>
      </c>
      <c r="W161" s="3">
        <f t="shared" si="98"/>
        <v>302234.82684350369</v>
      </c>
      <c r="X161" s="3">
        <f t="shared" si="92"/>
        <v>24.667777777777786</v>
      </c>
      <c r="Y161" s="3">
        <f t="shared" si="93"/>
        <v>24.667777777777779</v>
      </c>
      <c r="Z161" s="3">
        <f t="shared" si="99"/>
        <v>50036.654666313392</v>
      </c>
      <c r="AK161">
        <f t="shared" si="94"/>
        <v>149</v>
      </c>
      <c r="AL161" s="3">
        <f t="shared" si="105"/>
        <v>604.02684563758385</v>
      </c>
      <c r="AM161" s="3">
        <f t="shared" si="105"/>
        <v>1208.0536912751677</v>
      </c>
      <c r="AN161" s="3">
        <f t="shared" si="105"/>
        <v>1812.0805369127515</v>
      </c>
      <c r="AO161" s="3">
        <f t="shared" si="105"/>
        <v>2416.1073825503354</v>
      </c>
      <c r="AP161" s="3">
        <f t="shared" si="105"/>
        <v>3020.1342281879192</v>
      </c>
      <c r="AQ161" s="3">
        <f t="shared" si="105"/>
        <v>3624.1610738255031</v>
      </c>
      <c r="AR161" s="3">
        <f t="shared" si="105"/>
        <v>4228.1879194630865</v>
      </c>
      <c r="AS161" s="3">
        <f t="shared" si="105"/>
        <v>4832.2147651006708</v>
      </c>
      <c r="AT161" s="3">
        <f t="shared" si="105"/>
        <v>5436.2416107382542</v>
      </c>
      <c r="AU161" s="3">
        <f t="shared" si="105"/>
        <v>6040.2684563758385</v>
      </c>
      <c r="AV161" s="3">
        <f t="shared" si="106"/>
        <v>6644.2953020134228</v>
      </c>
      <c r="AW161" s="3">
        <f t="shared" si="106"/>
        <v>7248.3221476510062</v>
      </c>
      <c r="AX161" s="3">
        <f t="shared" si="106"/>
        <v>7852.3489932885896</v>
      </c>
      <c r="AY161" s="3">
        <f t="shared" si="106"/>
        <v>8456.3758389261729</v>
      </c>
      <c r="AZ161" s="3">
        <f t="shared" si="106"/>
        <v>9060.4026845637582</v>
      </c>
      <c r="BA161" s="3">
        <f t="shared" si="106"/>
        <v>9664.4295302013415</v>
      </c>
      <c r="BB161" s="3">
        <f t="shared" si="106"/>
        <v>10268.456375838927</v>
      </c>
      <c r="BC161" s="3">
        <f t="shared" si="106"/>
        <v>10872.483221476508</v>
      </c>
      <c r="BD161" s="3">
        <f t="shared" si="106"/>
        <v>11476.510067114094</v>
      </c>
      <c r="BE161" s="3">
        <f t="shared" si="106"/>
        <v>12080.536912751677</v>
      </c>
    </row>
    <row r="162" spans="1:57" x14ac:dyDescent="0.45">
      <c r="A162">
        <f t="shared" si="102"/>
        <v>150</v>
      </c>
      <c r="B162" s="3">
        <f t="shared" si="81"/>
        <v>40</v>
      </c>
      <c r="C162" s="3">
        <f t="shared" si="103"/>
        <v>6000</v>
      </c>
      <c r="D162" s="3">
        <f t="shared" si="82"/>
        <v>9.5925380963160032E-3</v>
      </c>
      <c r="E162" s="3">
        <f t="shared" si="83"/>
        <v>25</v>
      </c>
      <c r="F162" s="3"/>
      <c r="G162" s="3">
        <f t="shared" si="84"/>
        <v>30630528.372500487</v>
      </c>
      <c r="H162" s="3">
        <f t="shared" si="85"/>
        <v>600000</v>
      </c>
      <c r="I162" s="3">
        <f t="shared" si="95"/>
        <v>15327012.660484083</v>
      </c>
      <c r="J162" s="3">
        <f t="shared" si="86"/>
        <v>3.8311351888861547E-2</v>
      </c>
      <c r="K162" s="3">
        <f t="shared" si="96"/>
        <v>1.5324540755544618</v>
      </c>
      <c r="L162" s="3">
        <f t="shared" si="104"/>
        <v>1.5324540755544627</v>
      </c>
      <c r="O162" s="9">
        <f t="shared" si="87"/>
        <v>1.5324540756421188E-3</v>
      </c>
      <c r="P162" s="9">
        <f t="shared" si="97"/>
        <v>651.54810300333895</v>
      </c>
      <c r="Q162" s="3">
        <f t="shared" si="88"/>
        <v>26101.924120133557</v>
      </c>
      <c r="R162" s="3">
        <f t="shared" si="89"/>
        <v>651551.16088413692</v>
      </c>
      <c r="S162" s="3">
        <f t="shared" si="90"/>
        <v>651551.16088413692</v>
      </c>
      <c r="T162" s="3"/>
      <c r="U162" s="3"/>
      <c r="V162" s="3">
        <f t="shared" si="91"/>
        <v>2042.0352248333656</v>
      </c>
      <c r="W162" s="3">
        <f t="shared" si="98"/>
        <v>306305.28372500488</v>
      </c>
      <c r="X162" s="3">
        <f t="shared" si="92"/>
        <v>25.000000000000004</v>
      </c>
      <c r="Y162" s="3">
        <f t="shared" si="93"/>
        <v>25</v>
      </c>
      <c r="Z162" s="3">
        <f t="shared" si="99"/>
        <v>51050.880620834141</v>
      </c>
      <c r="AK162">
        <f t="shared" si="94"/>
        <v>150</v>
      </c>
      <c r="AL162" s="3">
        <f t="shared" si="105"/>
        <v>600</v>
      </c>
      <c r="AM162" s="3">
        <f t="shared" si="105"/>
        <v>1200</v>
      </c>
      <c r="AN162" s="3">
        <f t="shared" si="105"/>
        <v>1800</v>
      </c>
      <c r="AO162" s="3">
        <f t="shared" si="105"/>
        <v>2400</v>
      </c>
      <c r="AP162" s="3">
        <f t="shared" si="105"/>
        <v>3000</v>
      </c>
      <c r="AQ162" s="3">
        <f t="shared" si="105"/>
        <v>3600</v>
      </c>
      <c r="AR162" s="3">
        <f t="shared" si="105"/>
        <v>4200</v>
      </c>
      <c r="AS162" s="3">
        <f t="shared" si="105"/>
        <v>4800</v>
      </c>
      <c r="AT162" s="3">
        <f t="shared" si="105"/>
        <v>5400</v>
      </c>
      <c r="AU162" s="3">
        <f t="shared" si="105"/>
        <v>6000</v>
      </c>
      <c r="AV162" s="3">
        <f t="shared" si="106"/>
        <v>6600</v>
      </c>
      <c r="AW162" s="3">
        <f t="shared" si="106"/>
        <v>7200</v>
      </c>
      <c r="AX162" s="3">
        <f t="shared" si="106"/>
        <v>7800</v>
      </c>
      <c r="AY162" s="3">
        <f t="shared" si="106"/>
        <v>8400</v>
      </c>
      <c r="AZ162" s="3">
        <f t="shared" si="106"/>
        <v>9000</v>
      </c>
      <c r="BA162" s="3">
        <f t="shared" si="106"/>
        <v>9600</v>
      </c>
      <c r="BB162" s="3">
        <f t="shared" si="106"/>
        <v>10200</v>
      </c>
      <c r="BC162" s="3">
        <f t="shared" si="106"/>
        <v>10800</v>
      </c>
      <c r="BD162" s="3">
        <f t="shared" si="106"/>
        <v>11400</v>
      </c>
      <c r="BE162" s="3">
        <f t="shared" si="106"/>
        <v>12000</v>
      </c>
    </row>
    <row r="163" spans="1:57" x14ac:dyDescent="0.45">
      <c r="A163">
        <f t="shared" si="102"/>
        <v>151</v>
      </c>
      <c r="B163" s="3">
        <f t="shared" si="81"/>
        <v>39.471952984518225</v>
      </c>
      <c r="C163" s="3">
        <f t="shared" si="103"/>
        <v>5960.2649006622523</v>
      </c>
      <c r="D163" s="3">
        <f t="shared" si="82"/>
        <v>9.3409442421929605E-3</v>
      </c>
      <c r="E163" s="3">
        <f t="shared" si="83"/>
        <v>25.334444444444443</v>
      </c>
      <c r="F163" s="3"/>
      <c r="G163" s="3">
        <f t="shared" si="84"/>
        <v>31040296.774283711</v>
      </c>
      <c r="H163" s="3">
        <f t="shared" si="85"/>
        <v>596026.49006622517</v>
      </c>
      <c r="I163" s="3">
        <f t="shared" si="95"/>
        <v>15531588.892826213</v>
      </c>
      <c r="J163" s="3">
        <f t="shared" si="86"/>
        <v>3.7308753226782738E-2</v>
      </c>
      <c r="K163" s="3">
        <f t="shared" si="96"/>
        <v>1.4726493532785609</v>
      </c>
      <c r="L163" s="3">
        <f t="shared" si="104"/>
        <v>1.4726493532785607</v>
      </c>
      <c r="O163" s="9">
        <f t="shared" si="87"/>
        <v>1.4726493533627971E-3</v>
      </c>
      <c r="P163" s="9">
        <f t="shared" si="97"/>
        <v>678.04827290793867</v>
      </c>
      <c r="Q163" s="3">
        <f t="shared" si="88"/>
        <v>26803.361502440457</v>
      </c>
      <c r="R163" s="3">
        <f t="shared" si="89"/>
        <v>678051.21171643119</v>
      </c>
      <c r="S163" s="3">
        <f t="shared" si="90"/>
        <v>678051.21171643119</v>
      </c>
      <c r="T163" s="3"/>
      <c r="U163" s="3"/>
      <c r="V163" s="3">
        <f t="shared" si="91"/>
        <v>2055.6487929989212</v>
      </c>
      <c r="W163" s="3">
        <f t="shared" si="98"/>
        <v>310402.96774283709</v>
      </c>
      <c r="X163" s="3">
        <f t="shared" si="92"/>
        <v>25.33444444444444</v>
      </c>
      <c r="Y163" s="3">
        <f t="shared" si="93"/>
        <v>25.334444444444443</v>
      </c>
      <c r="Z163" s="3">
        <f t="shared" si="99"/>
        <v>52078.720143520448</v>
      </c>
      <c r="AK163">
        <f t="shared" si="94"/>
        <v>151</v>
      </c>
      <c r="AL163" s="3">
        <f t="shared" si="105"/>
        <v>596.02649006622516</v>
      </c>
      <c r="AM163" s="3">
        <f t="shared" si="105"/>
        <v>1192.0529801324503</v>
      </c>
      <c r="AN163" s="3">
        <f t="shared" si="105"/>
        <v>1788.0794701986754</v>
      </c>
      <c r="AO163" s="3">
        <f t="shared" si="105"/>
        <v>2384.1059602649007</v>
      </c>
      <c r="AP163" s="3">
        <f t="shared" si="105"/>
        <v>2980.1324503311262</v>
      </c>
      <c r="AQ163" s="3">
        <f t="shared" si="105"/>
        <v>3576.1589403973508</v>
      </c>
      <c r="AR163" s="3">
        <f t="shared" si="105"/>
        <v>4172.1854304635763</v>
      </c>
      <c r="AS163" s="3">
        <f t="shared" si="105"/>
        <v>4768.2119205298013</v>
      </c>
      <c r="AT163" s="3">
        <f t="shared" si="105"/>
        <v>5364.2384105960264</v>
      </c>
      <c r="AU163" s="3">
        <f t="shared" si="105"/>
        <v>5960.2649006622523</v>
      </c>
      <c r="AV163" s="3">
        <f t="shared" si="106"/>
        <v>6556.2913907284774</v>
      </c>
      <c r="AW163" s="3">
        <f t="shared" si="106"/>
        <v>7152.3178807947015</v>
      </c>
      <c r="AX163" s="3">
        <f t="shared" si="106"/>
        <v>7748.3443708609275</v>
      </c>
      <c r="AY163" s="3">
        <f t="shared" si="106"/>
        <v>8344.3708609271525</v>
      </c>
      <c r="AZ163" s="3">
        <f t="shared" si="106"/>
        <v>8940.3973509933785</v>
      </c>
      <c r="BA163" s="3">
        <f t="shared" si="106"/>
        <v>9536.4238410596026</v>
      </c>
      <c r="BB163" s="3">
        <f t="shared" si="106"/>
        <v>10132.450331125829</v>
      </c>
      <c r="BC163" s="3">
        <f t="shared" si="106"/>
        <v>10728.476821192053</v>
      </c>
      <c r="BD163" s="3">
        <f t="shared" si="106"/>
        <v>11324.503311258281</v>
      </c>
      <c r="BE163" s="3">
        <f t="shared" si="106"/>
        <v>11920.529801324505</v>
      </c>
    </row>
    <row r="164" spans="1:57" x14ac:dyDescent="0.45">
      <c r="A164">
        <f t="shared" si="102"/>
        <v>152</v>
      </c>
      <c r="B164" s="3">
        <f t="shared" si="81"/>
        <v>38.954293628808863</v>
      </c>
      <c r="C164" s="3">
        <f t="shared" si="103"/>
        <v>5921.0526315789475</v>
      </c>
      <c r="D164" s="3">
        <f t="shared" si="82"/>
        <v>9.0975450972906706E-3</v>
      </c>
      <c r="E164" s="3">
        <f t="shared" si="83"/>
        <v>25.671111111111109</v>
      </c>
      <c r="F164" s="3"/>
      <c r="G164" s="3">
        <f t="shared" si="84"/>
        <v>31452787.889700055</v>
      </c>
      <c r="H164" s="3">
        <f t="shared" si="85"/>
        <v>592105.26315789472</v>
      </c>
      <c r="I164" s="3">
        <f t="shared" si="95"/>
        <v>15737536.501983877</v>
      </c>
      <c r="J164" s="3">
        <f t="shared" si="86"/>
        <v>3.6338668372738359E-2</v>
      </c>
      <c r="K164" s="3">
        <f t="shared" si="96"/>
        <v>1.4155471578715599</v>
      </c>
      <c r="L164" s="3">
        <f t="shared" si="104"/>
        <v>1.4155471578715604</v>
      </c>
      <c r="O164" s="9">
        <f t="shared" si="87"/>
        <v>1.4155471579525298E-3</v>
      </c>
      <c r="P164" s="9">
        <f t="shared" si="97"/>
        <v>705.4406115910798</v>
      </c>
      <c r="Q164" s="3">
        <f t="shared" si="88"/>
        <v>27518.895015234237</v>
      </c>
      <c r="R164" s="3">
        <f t="shared" si="89"/>
        <v>705443.43668816751</v>
      </c>
      <c r="S164" s="3">
        <f t="shared" si="90"/>
        <v>705443.43668816728</v>
      </c>
      <c r="T164" s="3"/>
      <c r="U164" s="3"/>
      <c r="V164" s="3">
        <f t="shared" si="91"/>
        <v>2069.2623611644772</v>
      </c>
      <c r="W164" s="3">
        <f t="shared" si="98"/>
        <v>314527.87889700051</v>
      </c>
      <c r="X164" s="3">
        <f t="shared" si="92"/>
        <v>25.671111111111113</v>
      </c>
      <c r="Y164" s="3">
        <f t="shared" si="93"/>
        <v>25.671111111111109</v>
      </c>
      <c r="Z164" s="3">
        <f t="shared" si="99"/>
        <v>53120.263991493419</v>
      </c>
    </row>
    <row r="165" spans="1:57" x14ac:dyDescent="0.45">
      <c r="A165">
        <f t="shared" si="102"/>
        <v>153</v>
      </c>
      <c r="B165" s="3">
        <f t="shared" si="81"/>
        <v>38.446751249519416</v>
      </c>
      <c r="C165" s="3">
        <f t="shared" si="103"/>
        <v>5882.3529411764703</v>
      </c>
      <c r="D165" s="3">
        <f t="shared" si="82"/>
        <v>8.8620224442666241E-3</v>
      </c>
      <c r="E165" s="3">
        <f t="shared" si="83"/>
        <v>26.009999999999994</v>
      </c>
      <c r="F165" s="3"/>
      <c r="G165" s="3">
        <f t="shared" si="84"/>
        <v>31868001.718749505</v>
      </c>
      <c r="H165" s="3">
        <f t="shared" si="85"/>
        <v>588235.29411764711</v>
      </c>
      <c r="I165" s="3">
        <f t="shared" si="95"/>
        <v>15944855.099617589</v>
      </c>
      <c r="J165" s="3">
        <f t="shared" si="86"/>
        <v>3.5399844607142301E-2</v>
      </c>
      <c r="K165" s="3">
        <f t="shared" si="96"/>
        <v>1.3610090198824414</v>
      </c>
      <c r="L165" s="3">
        <f t="shared" si="104"/>
        <v>1.3610090198824414</v>
      </c>
      <c r="O165" s="9">
        <f t="shared" si="87"/>
        <v>1.3610090199602917E-3</v>
      </c>
      <c r="P165" s="9">
        <f t="shared" si="97"/>
        <v>733.74898794511705</v>
      </c>
      <c r="Q165" s="3">
        <f t="shared" si="88"/>
        <v>28248.711570362055</v>
      </c>
      <c r="R165" s="3">
        <f t="shared" si="89"/>
        <v>733751.70441864093</v>
      </c>
      <c r="S165" s="3">
        <f t="shared" si="90"/>
        <v>733751.70441864117</v>
      </c>
      <c r="T165" s="3"/>
      <c r="U165" s="3"/>
      <c r="V165" s="3">
        <f t="shared" si="91"/>
        <v>2082.8759293300332</v>
      </c>
      <c r="W165" s="3">
        <f t="shared" si="98"/>
        <v>318680.01718749508</v>
      </c>
      <c r="X165" s="3">
        <f t="shared" si="92"/>
        <v>26.010000000000009</v>
      </c>
      <c r="Y165" s="3">
        <f t="shared" si="93"/>
        <v>26.009999999999994</v>
      </c>
      <c r="Z165" s="3">
        <f t="shared" si="99"/>
        <v>54175.602921874153</v>
      </c>
    </row>
    <row r="166" spans="1:57" x14ac:dyDescent="0.45">
      <c r="A166">
        <f t="shared" si="102"/>
        <v>154</v>
      </c>
      <c r="B166" s="3">
        <f t="shared" si="81"/>
        <v>37.949063923089895</v>
      </c>
      <c r="C166" s="3">
        <f t="shared" si="103"/>
        <v>5844.1558441558436</v>
      </c>
      <c r="D166" s="3">
        <f t="shared" si="82"/>
        <v>8.6340723894626492E-3</v>
      </c>
      <c r="E166" s="3">
        <f t="shared" si="83"/>
        <v>26.351111111111106</v>
      </c>
      <c r="F166" s="3"/>
      <c r="G166" s="3">
        <f t="shared" si="84"/>
        <v>32285938.26143207</v>
      </c>
      <c r="H166" s="3">
        <f t="shared" si="85"/>
        <v>584415.58441558445</v>
      </c>
      <c r="I166" s="3">
        <f t="shared" si="95"/>
        <v>16153544.314810872</v>
      </c>
      <c r="J166" s="3">
        <f t="shared" si="86"/>
        <v>3.4491084857040652E-2</v>
      </c>
      <c r="K166" s="3">
        <f t="shared" si="96"/>
        <v>1.3089043840165535</v>
      </c>
      <c r="L166" s="3">
        <f t="shared" si="104"/>
        <v>1.3089043840165542</v>
      </c>
      <c r="O166" s="9">
        <f t="shared" si="87"/>
        <v>1.3089043840914234E-3</v>
      </c>
      <c r="P166" s="9">
        <f t="shared" si="97"/>
        <v>762.9977466300187</v>
      </c>
      <c r="Q166" s="3">
        <f t="shared" si="88"/>
        <v>28992.999323959219</v>
      </c>
      <c r="R166" s="3">
        <f t="shared" si="89"/>
        <v>763000.35931022651</v>
      </c>
      <c r="S166" s="3">
        <f t="shared" si="90"/>
        <v>763000.35931022651</v>
      </c>
      <c r="T166" s="3"/>
      <c r="U166" s="3"/>
      <c r="V166" s="3">
        <f t="shared" si="91"/>
        <v>2096.4894974955887</v>
      </c>
      <c r="W166" s="3">
        <f t="shared" si="98"/>
        <v>322859.38261432067</v>
      </c>
      <c r="X166" s="3">
        <f t="shared" si="92"/>
        <v>26.351111111111113</v>
      </c>
      <c r="Y166" s="3">
        <f t="shared" si="93"/>
        <v>26.351111111111106</v>
      </c>
      <c r="Z166" s="3">
        <f t="shared" si="99"/>
        <v>55244.827691783743</v>
      </c>
    </row>
    <row r="167" spans="1:57" x14ac:dyDescent="0.45">
      <c r="A167">
        <f t="shared" si="102"/>
        <v>155</v>
      </c>
      <c r="B167" s="3">
        <f t="shared" si="81"/>
        <v>37.460978147762745</v>
      </c>
      <c r="C167" s="3">
        <f t="shared" si="103"/>
        <v>5806.4516129032254</v>
      </c>
      <c r="D167" s="3">
        <f t="shared" si="82"/>
        <v>8.4134046307728361E-3</v>
      </c>
      <c r="E167" s="3">
        <f t="shared" si="83"/>
        <v>26.694444444444446</v>
      </c>
      <c r="F167" s="3"/>
      <c r="G167" s="3">
        <f t="shared" si="84"/>
        <v>32706597.517747741</v>
      </c>
      <c r="H167" s="3">
        <f t="shared" si="85"/>
        <v>580645.16129032255</v>
      </c>
      <c r="I167" s="3">
        <f t="shared" si="95"/>
        <v>16363603.793184299</v>
      </c>
      <c r="J167" s="3">
        <f t="shared" si="86"/>
        <v>3.3611244911731876E-2</v>
      </c>
      <c r="K167" s="3">
        <f t="shared" si="96"/>
        <v>1.2591101111574896</v>
      </c>
      <c r="L167" s="3">
        <f t="shared" si="104"/>
        <v>1.2591101111574898</v>
      </c>
      <c r="O167" s="9">
        <f t="shared" si="87"/>
        <v>1.2591101112295112E-3</v>
      </c>
      <c r="P167" s="9">
        <f t="shared" si="97"/>
        <v>793.21171435396366</v>
      </c>
      <c r="Q167" s="3">
        <f t="shared" si="88"/>
        <v>29751.94767611102</v>
      </c>
      <c r="R167" s="3">
        <f t="shared" si="89"/>
        <v>793214.22782801487</v>
      </c>
      <c r="S167" s="3">
        <f t="shared" si="90"/>
        <v>793214.22782801476</v>
      </c>
      <c r="T167" s="3"/>
      <c r="U167" s="3"/>
      <c r="V167" s="3">
        <f t="shared" si="91"/>
        <v>2110.1030656611447</v>
      </c>
      <c r="W167" s="3">
        <f t="shared" si="98"/>
        <v>327065.9751774774</v>
      </c>
      <c r="X167" s="3">
        <f t="shared" si="92"/>
        <v>26.69444444444445</v>
      </c>
      <c r="Y167" s="3">
        <f t="shared" si="93"/>
        <v>26.694444444444446</v>
      </c>
      <c r="Z167" s="3">
        <f t="shared" si="99"/>
        <v>56328.029058343338</v>
      </c>
    </row>
    <row r="168" spans="1:57" x14ac:dyDescent="0.45">
      <c r="A168">
        <f t="shared" si="102"/>
        <v>156</v>
      </c>
      <c r="B168" s="3">
        <f t="shared" si="81"/>
        <v>36.982248520710058</v>
      </c>
      <c r="C168" s="3">
        <f t="shared" si="103"/>
        <v>5769.2307692307695</v>
      </c>
      <c r="D168" s="3">
        <f t="shared" si="82"/>
        <v>8.1997417673432254E-3</v>
      </c>
      <c r="E168" s="3">
        <f t="shared" si="83"/>
        <v>27.040000000000003</v>
      </c>
      <c r="F168" s="3"/>
      <c r="G168" s="3">
        <f t="shared" si="84"/>
        <v>33129979.487696525</v>
      </c>
      <c r="H168" s="3">
        <f t="shared" si="85"/>
        <v>576923.07692307688</v>
      </c>
      <c r="I168" s="3">
        <f t="shared" si="95"/>
        <v>16575033.196059804</v>
      </c>
      <c r="J168" s="3">
        <f t="shared" si="86"/>
        <v>3.2759230792302835E-2</v>
      </c>
      <c r="K168" s="3">
        <f t="shared" si="96"/>
        <v>1.2115100145082409</v>
      </c>
      <c r="L168" s="3">
        <f t="shared" si="104"/>
        <v>1.2115100145082411</v>
      </c>
      <c r="O168" s="9">
        <f t="shared" si="87"/>
        <v>1.2115100145775398E-3</v>
      </c>
      <c r="P168" s="9">
        <f t="shared" si="97"/>
        <v>824.41620619513037</v>
      </c>
      <c r="Q168" s="3">
        <f t="shared" si="88"/>
        <v>30525.74727052997</v>
      </c>
      <c r="R168" s="3">
        <f t="shared" si="89"/>
        <v>824418.62482070678</v>
      </c>
      <c r="S168" s="3">
        <f t="shared" si="90"/>
        <v>824418.62482070667</v>
      </c>
      <c r="T168" s="3"/>
      <c r="U168" s="3"/>
      <c r="V168" s="3">
        <f t="shared" si="91"/>
        <v>2123.7166338267002</v>
      </c>
      <c r="W168" s="3">
        <f t="shared" si="98"/>
        <v>331299.79487696523</v>
      </c>
      <c r="X168" s="3">
        <f t="shared" si="92"/>
        <v>27.040000000000003</v>
      </c>
      <c r="Y168" s="3">
        <f t="shared" si="93"/>
        <v>27.040000000000003</v>
      </c>
      <c r="Z168" s="3">
        <f t="shared" si="99"/>
        <v>57425.297778673979</v>
      </c>
    </row>
    <row r="169" spans="1:57" x14ac:dyDescent="0.45">
      <c r="A169">
        <f t="shared" si="102"/>
        <v>157</v>
      </c>
      <c r="B169" s="3">
        <f t="shared" si="81"/>
        <v>36.512637429510328</v>
      </c>
      <c r="C169" s="3">
        <f t="shared" si="103"/>
        <v>5732.4840764331211</v>
      </c>
      <c r="D169" s="3">
        <f t="shared" si="82"/>
        <v>7.9928186484643469E-3</v>
      </c>
      <c r="E169" s="3">
        <f t="shared" si="83"/>
        <v>27.387777777777774</v>
      </c>
      <c r="F169" s="3"/>
      <c r="G169" s="3">
        <f t="shared" si="84"/>
        <v>33556084.171278417</v>
      </c>
      <c r="H169" s="3">
        <f t="shared" si="85"/>
        <v>573248.40764331212</v>
      </c>
      <c r="I169" s="3">
        <f t="shared" si="95"/>
        <v>16787832.199672062</v>
      </c>
      <c r="J169" s="3">
        <f t="shared" si="86"/>
        <v>3.1933996265846296E-2</v>
      </c>
      <c r="K169" s="3">
        <f t="shared" si="96"/>
        <v>1.1659944273301825</v>
      </c>
      <c r="L169" s="3">
        <f t="shared" si="104"/>
        <v>1.1659944273301832</v>
      </c>
      <c r="O169" s="9">
        <f t="shared" si="87"/>
        <v>1.1659944273968779E-3</v>
      </c>
      <c r="P169" s="9">
        <f t="shared" si="97"/>
        <v>856.63703196466713</v>
      </c>
      <c r="Q169" s="3">
        <f t="shared" si="88"/>
        <v>31314.58999424725</v>
      </c>
      <c r="R169" s="3">
        <f t="shared" si="89"/>
        <v>856639.35988274706</v>
      </c>
      <c r="S169" s="3">
        <f t="shared" si="90"/>
        <v>856639.35988274741</v>
      </c>
      <c r="T169" s="3"/>
      <c r="U169" s="3"/>
      <c r="V169" s="3">
        <f t="shared" si="91"/>
        <v>2137.3302019922562</v>
      </c>
      <c r="W169" s="3">
        <f t="shared" si="98"/>
        <v>335560.8417127842</v>
      </c>
      <c r="X169" s="3">
        <f t="shared" si="92"/>
        <v>27.387777777777785</v>
      </c>
      <c r="Y169" s="3">
        <f t="shared" si="93"/>
        <v>27.387777777777774</v>
      </c>
      <c r="Z169" s="3">
        <f t="shared" si="99"/>
        <v>58536.724609896795</v>
      </c>
    </row>
    <row r="170" spans="1:57" x14ac:dyDescent="0.45">
      <c r="A170">
        <f t="shared" si="102"/>
        <v>158</v>
      </c>
      <c r="B170" s="3">
        <f t="shared" si="81"/>
        <v>36.051914757250444</v>
      </c>
      <c r="C170" s="3">
        <f t="shared" si="103"/>
        <v>5696.2025316455702</v>
      </c>
      <c r="D170" s="3">
        <f t="shared" si="82"/>
        <v>7.7923817591996434E-3</v>
      </c>
      <c r="E170" s="3">
        <f t="shared" si="83"/>
        <v>27.737777777777783</v>
      </c>
      <c r="F170" s="3"/>
      <c r="G170" s="3">
        <f t="shared" si="84"/>
        <v>33984911.568493426</v>
      </c>
      <c r="H170" s="3">
        <f t="shared" si="85"/>
        <v>569620.25316455693</v>
      </c>
      <c r="I170" s="3">
        <f t="shared" si="95"/>
        <v>17002000.494424026</v>
      </c>
      <c r="J170" s="3">
        <f t="shared" si="86"/>
        <v>3.1134540495716064E-2</v>
      </c>
      <c r="K170" s="3">
        <f t="shared" si="96"/>
        <v>1.1224597999577175</v>
      </c>
      <c r="L170" s="3">
        <f t="shared" si="104"/>
        <v>1.1224597999577175</v>
      </c>
      <c r="O170" s="9">
        <f t="shared" si="87"/>
        <v>1.1224598000219225E-3</v>
      </c>
      <c r="P170" s="9">
        <f t="shared" si="97"/>
        <v>889.90050261084559</v>
      </c>
      <c r="Q170" s="3">
        <f t="shared" si="88"/>
        <v>32118.668977317782</v>
      </c>
      <c r="R170" s="3">
        <f t="shared" si="89"/>
        <v>889902.74375769915</v>
      </c>
      <c r="S170" s="3">
        <f t="shared" si="90"/>
        <v>889902.74375769892</v>
      </c>
      <c r="T170" s="3"/>
      <c r="U170" s="3"/>
      <c r="V170" s="3">
        <f t="shared" si="91"/>
        <v>2150.9437701578117</v>
      </c>
      <c r="W170" s="3">
        <f t="shared" si="98"/>
        <v>339849.11568493425</v>
      </c>
      <c r="X170" s="3">
        <f t="shared" si="92"/>
        <v>27.737777777777776</v>
      </c>
      <c r="Y170" s="3">
        <f t="shared" si="93"/>
        <v>27.737777777777783</v>
      </c>
      <c r="Z170" s="3">
        <f t="shared" si="99"/>
        <v>59662.400309132914</v>
      </c>
    </row>
    <row r="171" spans="1:57" x14ac:dyDescent="0.45">
      <c r="A171">
        <f t="shared" si="102"/>
        <v>159</v>
      </c>
      <c r="B171" s="3">
        <f t="shared" si="81"/>
        <v>35.599857600569599</v>
      </c>
      <c r="C171" s="3">
        <f t="shared" si="103"/>
        <v>5660.3773584905666</v>
      </c>
      <c r="D171" s="3">
        <f t="shared" si="82"/>
        <v>7.5981886404612115E-3</v>
      </c>
      <c r="E171" s="3">
        <f t="shared" si="83"/>
        <v>28.089999999999996</v>
      </c>
      <c r="F171" s="3"/>
      <c r="G171" s="3">
        <f t="shared" si="84"/>
        <v>34416461.67934154</v>
      </c>
      <c r="H171" s="3">
        <f t="shared" si="85"/>
        <v>566037.73584905663</v>
      </c>
      <c r="I171" s="3">
        <f t="shared" si="95"/>
        <v>17217537.784183931</v>
      </c>
      <c r="J171" s="3">
        <f t="shared" si="86"/>
        <v>3.0359905819726668E-2</v>
      </c>
      <c r="K171" s="3">
        <f t="shared" si="96"/>
        <v>1.0808083239489736</v>
      </c>
      <c r="L171" s="3">
        <f t="shared" si="104"/>
        <v>1.0808083239489736</v>
      </c>
      <c r="O171" s="9">
        <f t="shared" si="87"/>
        <v>1.0808083240107962E-3</v>
      </c>
      <c r="P171" s="9">
        <f t="shared" si="97"/>
        <v>924.23343666440064</v>
      </c>
      <c r="Q171" s="3">
        <f t="shared" si="88"/>
        <v>32938.178592538294</v>
      </c>
      <c r="R171" s="3">
        <f t="shared" si="89"/>
        <v>924235.5947828535</v>
      </c>
      <c r="S171" s="3">
        <f t="shared" si="90"/>
        <v>924235.5947828535</v>
      </c>
      <c r="T171" s="3"/>
      <c r="U171" s="3"/>
      <c r="V171" s="3">
        <f t="shared" si="91"/>
        <v>2164.5573383233677</v>
      </c>
      <c r="W171" s="3">
        <f t="shared" si="98"/>
        <v>344164.61679341545</v>
      </c>
      <c r="X171" s="3">
        <f t="shared" si="92"/>
        <v>28.090000000000003</v>
      </c>
      <c r="Y171" s="3">
        <f t="shared" si="93"/>
        <v>28.089999999999996</v>
      </c>
      <c r="Z171" s="3">
        <f t="shared" si="99"/>
        <v>60802.415633503391</v>
      </c>
    </row>
    <row r="172" spans="1:57" x14ac:dyDescent="0.45">
      <c r="A172">
        <f t="shared" si="102"/>
        <v>160</v>
      </c>
      <c r="B172" s="3">
        <f t="shared" si="81"/>
        <v>35.15625</v>
      </c>
      <c r="C172" s="3">
        <f t="shared" si="103"/>
        <v>5625</v>
      </c>
      <c r="D172" s="3">
        <f t="shared" si="82"/>
        <v>7.4100073414001101E-3</v>
      </c>
      <c r="E172" s="3">
        <f t="shared" si="83"/>
        <v>28.444444444444443</v>
      </c>
      <c r="F172" s="3"/>
      <c r="G172" s="3">
        <f t="shared" si="84"/>
        <v>34850734.503822774</v>
      </c>
      <c r="H172" s="3">
        <f t="shared" si="85"/>
        <v>562500</v>
      </c>
      <c r="I172" s="3">
        <f t="shared" si="95"/>
        <v>17434443.785621203</v>
      </c>
      <c r="J172" s="3">
        <f t="shared" si="86"/>
        <v>2.960917564871968E-2</v>
      </c>
      <c r="K172" s="3">
        <f t="shared" si="96"/>
        <v>1.0409475814003013</v>
      </c>
      <c r="L172" s="3">
        <f t="shared" si="104"/>
        <v>1.0409475814003015</v>
      </c>
      <c r="O172" s="9">
        <f t="shared" si="87"/>
        <v>1.040947581459844E-3</v>
      </c>
      <c r="P172" s="9">
        <f t="shared" si="97"/>
        <v>959.66316672505411</v>
      </c>
      <c r="Q172" s="3">
        <f t="shared" si="88"/>
        <v>33773.314455177686</v>
      </c>
      <c r="R172" s="3">
        <f t="shared" si="89"/>
        <v>959665.2453750748</v>
      </c>
      <c r="S172" s="3">
        <f t="shared" si="90"/>
        <v>959665.2453750748</v>
      </c>
      <c r="T172" s="3"/>
      <c r="U172" s="3"/>
      <c r="V172" s="3">
        <f t="shared" si="91"/>
        <v>2178.1709064889233</v>
      </c>
      <c r="W172" s="3">
        <f t="shared" si="98"/>
        <v>348507.34503822774</v>
      </c>
      <c r="X172" s="3">
        <f t="shared" si="92"/>
        <v>28.444444444444443</v>
      </c>
      <c r="Y172" s="3">
        <f t="shared" si="93"/>
        <v>28.444444444444443</v>
      </c>
      <c r="Z172" s="3">
        <f t="shared" si="99"/>
        <v>61956.86134012937</v>
      </c>
    </row>
    <row r="173" spans="1:57" x14ac:dyDescent="0.45">
      <c r="A173">
        <f t="shared" si="102"/>
        <v>161</v>
      </c>
      <c r="B173" s="3">
        <f t="shared" si="81"/>
        <v>34.720882681995292</v>
      </c>
      <c r="C173" s="3">
        <f t="shared" si="103"/>
        <v>5590.0621118012423</v>
      </c>
      <c r="D173" s="3">
        <f t="shared" si="82"/>
        <v>7.2276159021228579E-3</v>
      </c>
      <c r="E173" s="3">
        <f t="shared" si="83"/>
        <v>28.801111111111112</v>
      </c>
      <c r="F173" s="3"/>
      <c r="G173" s="3">
        <f t="shared" si="84"/>
        <v>35287730.041937113</v>
      </c>
      <c r="H173" s="3">
        <f t="shared" si="85"/>
        <v>559006.2111801242</v>
      </c>
      <c r="I173" s="3">
        <f t="shared" si="95"/>
        <v>17652718.227578882</v>
      </c>
      <c r="J173" s="3">
        <f t="shared" si="86"/>
        <v>2.8881472478398392E-2</v>
      </c>
      <c r="K173" s="3">
        <f t="shared" si="96"/>
        <v>1.0027902176057464</v>
      </c>
      <c r="L173" s="3">
        <f t="shared" si="104"/>
        <v>1.0027902176057462</v>
      </c>
      <c r="O173" s="9">
        <f t="shared" si="87"/>
        <v>1.0027902176631064E-3</v>
      </c>
      <c r="P173" s="9">
        <f t="shared" si="97"/>
        <v>996.21754598922121</v>
      </c>
      <c r="Q173" s="3">
        <f t="shared" si="88"/>
        <v>34624.273422718994</v>
      </c>
      <c r="R173" s="3">
        <f t="shared" si="89"/>
        <v>996219.54855786858</v>
      </c>
      <c r="S173" s="3">
        <f t="shared" si="90"/>
        <v>996219.54855786869</v>
      </c>
      <c r="T173" s="3"/>
      <c r="U173" s="3"/>
      <c r="V173" s="3">
        <f t="shared" si="91"/>
        <v>2191.7844746544793</v>
      </c>
      <c r="W173" s="3">
        <f t="shared" si="98"/>
        <v>352877.30041937117</v>
      </c>
      <c r="X173" s="3">
        <f t="shared" si="92"/>
        <v>28.801111111111116</v>
      </c>
      <c r="Y173" s="3">
        <f t="shared" si="93"/>
        <v>28.801111111111112</v>
      </c>
      <c r="Z173" s="3">
        <f t="shared" si="99"/>
        <v>63125.828186131956</v>
      </c>
    </row>
    <row r="174" spans="1:57" x14ac:dyDescent="0.45">
      <c r="A174">
        <f t="shared" si="102"/>
        <v>162</v>
      </c>
      <c r="B174" s="3">
        <f t="shared" si="81"/>
        <v>34.293552812071333</v>
      </c>
      <c r="C174" s="3">
        <f t="shared" si="103"/>
        <v>5555.5555555555557</v>
      </c>
      <c r="D174" s="3">
        <f t="shared" si="82"/>
        <v>7.0508018648795245E-3</v>
      </c>
      <c r="E174" s="3">
        <f t="shared" si="83"/>
        <v>29.160000000000007</v>
      </c>
      <c r="F174" s="3"/>
      <c r="G174" s="3">
        <f t="shared" si="84"/>
        <v>35727448.293684565</v>
      </c>
      <c r="H174" s="3">
        <f t="shared" si="85"/>
        <v>555555.5555555555</v>
      </c>
      <c r="I174" s="3">
        <f t="shared" si="95"/>
        <v>17872360.850480404</v>
      </c>
      <c r="J174" s="3">
        <f t="shared" si="86"/>
        <v>2.8175956007780861E-2</v>
      </c>
      <c r="K174" s="3">
        <f t="shared" si="96"/>
        <v>0.96625363538343156</v>
      </c>
      <c r="L174" s="3">
        <f t="shared" si="104"/>
        <v>0.96625363538343156</v>
      </c>
      <c r="O174" s="9">
        <f t="shared" si="87"/>
        <v>9.6625363543870169E-4</v>
      </c>
      <c r="P174" s="9">
        <f t="shared" si="97"/>
        <v>1033.9249548189039</v>
      </c>
      <c r="Q174" s="3">
        <f t="shared" si="88"/>
        <v>35491.253594612615</v>
      </c>
      <c r="R174" s="3">
        <f t="shared" si="89"/>
        <v>1033926.8845296833</v>
      </c>
      <c r="S174" s="3">
        <f t="shared" si="90"/>
        <v>1033926.884529683</v>
      </c>
      <c r="T174" s="3"/>
      <c r="U174" s="3"/>
      <c r="V174" s="3">
        <f t="shared" si="91"/>
        <v>2205.3980428200348</v>
      </c>
      <c r="W174" s="3">
        <f t="shared" si="98"/>
        <v>357274.48293684563</v>
      </c>
      <c r="X174" s="3">
        <f t="shared" si="92"/>
        <v>29.16</v>
      </c>
      <c r="Y174" s="3">
        <f t="shared" si="93"/>
        <v>29.160000000000007</v>
      </c>
      <c r="Z174" s="3">
        <f t="shared" si="99"/>
        <v>64309.406928632234</v>
      </c>
    </row>
    <row r="175" spans="1:57" x14ac:dyDescent="0.45">
      <c r="A175">
        <f t="shared" si="102"/>
        <v>163</v>
      </c>
      <c r="B175" s="3">
        <f t="shared" si="81"/>
        <v>33.874063758515561</v>
      </c>
      <c r="C175" s="3">
        <f t="shared" si="103"/>
        <v>5521.4723926380366</v>
      </c>
      <c r="D175" s="3">
        <f t="shared" si="82"/>
        <v>6.8793618119927817E-3</v>
      </c>
      <c r="E175" s="3">
        <f t="shared" si="83"/>
        <v>29.521111111111111</v>
      </c>
      <c r="F175" s="3"/>
      <c r="G175" s="3">
        <f t="shared" si="84"/>
        <v>36169889.259065129</v>
      </c>
      <c r="H175" s="3">
        <f t="shared" si="85"/>
        <v>552147.2392638037</v>
      </c>
      <c r="I175" s="3">
        <f t="shared" si="95"/>
        <v>18093371.405768614</v>
      </c>
      <c r="J175" s="3">
        <f t="shared" si="86"/>
        <v>2.7491821358040257E-2</v>
      </c>
      <c r="K175" s="3">
        <f t="shared" si="96"/>
        <v>0.9312597095199755</v>
      </c>
      <c r="L175" s="3">
        <f t="shared" si="104"/>
        <v>0.93125970951997539</v>
      </c>
      <c r="O175" s="9">
        <f t="shared" si="87"/>
        <v>9.3125970957324395E-4</v>
      </c>
      <c r="P175" s="9">
        <f t="shared" si="97"/>
        <v>1072.8143073517663</v>
      </c>
      <c r="Q175" s="3">
        <f t="shared" si="88"/>
        <v>36374.454312039954</v>
      </c>
      <c r="R175" s="3">
        <f t="shared" si="89"/>
        <v>1072816.1672734264</v>
      </c>
      <c r="S175" s="3">
        <f t="shared" si="90"/>
        <v>1072816.1672734264</v>
      </c>
      <c r="T175" s="3"/>
      <c r="U175" s="3"/>
      <c r="V175" s="3">
        <f t="shared" si="91"/>
        <v>2219.0116109855908</v>
      </c>
      <c r="W175" s="3">
        <f t="shared" si="98"/>
        <v>361698.89259065129</v>
      </c>
      <c r="X175" s="3">
        <f t="shared" si="92"/>
        <v>29.521111111111114</v>
      </c>
      <c r="Y175" s="3">
        <f t="shared" si="93"/>
        <v>29.521111111111111</v>
      </c>
      <c r="Z175" s="3">
        <f t="shared" si="99"/>
        <v>65507.688324751289</v>
      </c>
    </row>
    <row r="176" spans="1:57" x14ac:dyDescent="0.45">
      <c r="A176">
        <f t="shared" si="102"/>
        <v>164</v>
      </c>
      <c r="B176" s="3">
        <f t="shared" si="81"/>
        <v>33.462224866151104</v>
      </c>
      <c r="C176" s="3">
        <f t="shared" si="103"/>
        <v>5487.8048780487807</v>
      </c>
      <c r="D176" s="3">
        <f t="shared" si="82"/>
        <v>6.7131009289123468E-3</v>
      </c>
      <c r="E176" s="3">
        <f t="shared" si="83"/>
        <v>29.884444444444448</v>
      </c>
      <c r="F176" s="3"/>
      <c r="G176" s="3">
        <f t="shared" si="84"/>
        <v>36615052.938078798</v>
      </c>
      <c r="H176" s="3">
        <f t="shared" si="85"/>
        <v>548780.48780487804</v>
      </c>
      <c r="I176" s="3">
        <f t="shared" si="95"/>
        <v>18315749.655375112</v>
      </c>
      <c r="J176" s="3">
        <f t="shared" si="86"/>
        <v>2.6828297385891493E-2</v>
      </c>
      <c r="K176" s="3">
        <f t="shared" si="96"/>
        <v>0.89773451990267494</v>
      </c>
      <c r="L176" s="3">
        <f t="shared" si="104"/>
        <v>0.89773451990267528</v>
      </c>
      <c r="O176" s="9">
        <f t="shared" si="87"/>
        <v>8.9773451995402577E-4</v>
      </c>
      <c r="P176" s="9">
        <f t="shared" si="97"/>
        <v>1112.9150581523938</v>
      </c>
      <c r="Q176" s="3">
        <f t="shared" si="88"/>
        <v>37274.076157687188</v>
      </c>
      <c r="R176" s="3">
        <f t="shared" si="89"/>
        <v>1112916.8512072074</v>
      </c>
      <c r="S176" s="3">
        <f t="shared" si="90"/>
        <v>1112916.8512072074</v>
      </c>
      <c r="T176" s="3"/>
      <c r="U176" s="3"/>
      <c r="V176" s="3">
        <f t="shared" si="91"/>
        <v>2232.6251791511463</v>
      </c>
      <c r="W176" s="3">
        <f t="shared" si="98"/>
        <v>366150.52938078798</v>
      </c>
      <c r="X176" s="3">
        <f t="shared" si="92"/>
        <v>29.884444444444441</v>
      </c>
      <c r="Y176" s="3">
        <f t="shared" si="93"/>
        <v>29.884444444444448</v>
      </c>
      <c r="Z176" s="3">
        <f t="shared" si="99"/>
        <v>66720.763131610263</v>
      </c>
    </row>
    <row r="177" spans="1:26" x14ac:dyDescent="0.45">
      <c r="A177">
        <f t="shared" si="102"/>
        <v>165</v>
      </c>
      <c r="B177" s="3">
        <f t="shared" si="81"/>
        <v>33.057851239669418</v>
      </c>
      <c r="C177" s="3">
        <f t="shared" si="103"/>
        <v>5454.545454545454</v>
      </c>
      <c r="D177" s="3">
        <f t="shared" si="82"/>
        <v>6.5518325908858685E-3</v>
      </c>
      <c r="E177" s="3">
        <f t="shared" si="83"/>
        <v>30.250000000000007</v>
      </c>
      <c r="F177" s="3"/>
      <c r="G177" s="3">
        <f t="shared" si="84"/>
        <v>37062939.330725588</v>
      </c>
      <c r="H177" s="3">
        <f t="shared" si="85"/>
        <v>545454.54545454541</v>
      </c>
      <c r="I177" s="3">
        <f t="shared" si="95"/>
        <v>18539495.37121813</v>
      </c>
      <c r="J177" s="3">
        <f t="shared" si="86"/>
        <v>2.6184645086048529E-2</v>
      </c>
      <c r="K177" s="3">
        <f t="shared" si="96"/>
        <v>0.8656081020181331</v>
      </c>
      <c r="L177" s="3">
        <f t="shared" si="104"/>
        <v>0.86560810201813332</v>
      </c>
      <c r="O177" s="9">
        <f t="shared" si="87"/>
        <v>8.6560810206764624E-4</v>
      </c>
      <c r="P177" s="9">
        <f t="shared" si="97"/>
        <v>1154.2572089047419</v>
      </c>
      <c r="Q177" s="3">
        <f t="shared" si="88"/>
        <v>38190.320955528652</v>
      </c>
      <c r="R177" s="3">
        <f t="shared" si="89"/>
        <v>1154258.9378762955</v>
      </c>
      <c r="S177" s="3">
        <f t="shared" si="90"/>
        <v>1154258.9378762953</v>
      </c>
      <c r="T177" s="3"/>
      <c r="U177" s="3"/>
      <c r="V177" s="3">
        <f t="shared" si="91"/>
        <v>2246.2387473167023</v>
      </c>
      <c r="W177" s="3">
        <f t="shared" si="98"/>
        <v>370629.39330725587</v>
      </c>
      <c r="X177" s="3">
        <f t="shared" si="92"/>
        <v>30.250000000000007</v>
      </c>
      <c r="Y177" s="3">
        <f t="shared" si="93"/>
        <v>30.250000000000007</v>
      </c>
      <c r="Z177" s="3">
        <f t="shared" si="99"/>
        <v>67948.722106330257</v>
      </c>
    </row>
    <row r="178" spans="1:26" x14ac:dyDescent="0.45">
      <c r="A178">
        <f t="shared" si="102"/>
        <v>166</v>
      </c>
      <c r="B178" s="3">
        <f t="shared" si="81"/>
        <v>32.660763536071997</v>
      </c>
      <c r="C178" s="3">
        <f t="shared" si="103"/>
        <v>5421.6867469879517</v>
      </c>
      <c r="D178" s="3">
        <f t="shared" si="82"/>
        <v>6.3953779718365598E-3</v>
      </c>
      <c r="E178" s="3">
        <f t="shared" si="83"/>
        <v>30.617777777777775</v>
      </c>
      <c r="F178" s="3"/>
      <c r="G178" s="3">
        <f t="shared" si="84"/>
        <v>37513548.437005483</v>
      </c>
      <c r="H178" s="3">
        <f t="shared" si="85"/>
        <v>542168.67469879519</v>
      </c>
      <c r="I178" s="3">
        <f t="shared" si="95"/>
        <v>18764608.334727205</v>
      </c>
      <c r="J178" s="3">
        <f t="shared" si="86"/>
        <v>2.5560156077617417E-2</v>
      </c>
      <c r="K178" s="3">
        <f t="shared" si="96"/>
        <v>0.83481421359615593</v>
      </c>
      <c r="L178" s="3">
        <f t="shared" si="104"/>
        <v>0.83481421359615549</v>
      </c>
      <c r="O178" s="9">
        <f t="shared" si="87"/>
        <v>8.348142136439076E-4</v>
      </c>
      <c r="P178" s="9">
        <f t="shared" si="97"/>
        <v>1196.8713151457587</v>
      </c>
      <c r="Q178" s="3">
        <f t="shared" si="88"/>
        <v>39123.391770619201</v>
      </c>
      <c r="R178" s="3">
        <f t="shared" si="89"/>
        <v>1196872.9826862896</v>
      </c>
      <c r="S178" s="3">
        <f t="shared" si="90"/>
        <v>1196872.9826862894</v>
      </c>
      <c r="T178" s="3"/>
      <c r="U178" s="3"/>
      <c r="V178" s="3">
        <f t="shared" si="91"/>
        <v>2259.8523154822583</v>
      </c>
      <c r="W178" s="3">
        <f t="shared" si="98"/>
        <v>375135.48437005485</v>
      </c>
      <c r="X178" s="3">
        <f t="shared" si="92"/>
        <v>30.617777777777786</v>
      </c>
      <c r="Y178" s="3">
        <f t="shared" si="93"/>
        <v>30.617777777777775</v>
      </c>
      <c r="Z178" s="3">
        <f t="shared" si="99"/>
        <v>69191.656006032339</v>
      </c>
    </row>
    <row r="179" spans="1:26" x14ac:dyDescent="0.45">
      <c r="A179">
        <f t="shared" si="102"/>
        <v>167</v>
      </c>
      <c r="B179" s="3">
        <f t="shared" si="81"/>
        <v>32.270787765785791</v>
      </c>
      <c r="C179" s="3">
        <f t="shared" si="103"/>
        <v>5389.2215568862266</v>
      </c>
      <c r="D179" s="3">
        <f t="shared" si="82"/>
        <v>6.2435656741297117E-3</v>
      </c>
      <c r="E179" s="3">
        <f t="shared" si="83"/>
        <v>30.987777777777779</v>
      </c>
      <c r="F179" s="3"/>
      <c r="G179" s="3">
        <f t="shared" si="84"/>
        <v>37966880.256918497</v>
      </c>
      <c r="H179" s="3">
        <f t="shared" si="85"/>
        <v>538922.15568862273</v>
      </c>
      <c r="I179" s="3">
        <f t="shared" si="95"/>
        <v>18991088.336393178</v>
      </c>
      <c r="J179" s="3">
        <f t="shared" si="86"/>
        <v>2.495415116960821E-2</v>
      </c>
      <c r="K179" s="3">
        <f t="shared" si="96"/>
        <v>0.80529011626976177</v>
      </c>
      <c r="L179" s="3">
        <f t="shared" si="104"/>
        <v>0.80529011626976199</v>
      </c>
      <c r="O179" s="9">
        <f t="shared" si="87"/>
        <v>8.0529011631582466E-4</v>
      </c>
      <c r="P179" s="9">
        <f t="shared" si="97"/>
        <v>1240.7884930402058</v>
      </c>
      <c r="Q179" s="3">
        <f t="shared" si="88"/>
        <v>40073.492908895445</v>
      </c>
      <c r="R179" s="3">
        <f t="shared" si="89"/>
        <v>1240790.1016775125</v>
      </c>
      <c r="S179" s="3">
        <f t="shared" si="90"/>
        <v>1240790.1016775125</v>
      </c>
      <c r="T179" s="3"/>
      <c r="U179" s="3"/>
      <c r="V179" s="3">
        <f t="shared" si="91"/>
        <v>2273.4658836478138</v>
      </c>
      <c r="W179" s="3">
        <f t="shared" si="98"/>
        <v>379668.80256918492</v>
      </c>
      <c r="X179" s="3">
        <f t="shared" si="92"/>
        <v>30.987777777777779</v>
      </c>
      <c r="Y179" s="3">
        <f t="shared" si="93"/>
        <v>30.987777777777779</v>
      </c>
      <c r="Z179" s="3">
        <f t="shared" si="99"/>
        <v>70449.655587837653</v>
      </c>
    </row>
    <row r="180" spans="1:26" x14ac:dyDescent="0.45">
      <c r="A180">
        <f t="shared" si="102"/>
        <v>168</v>
      </c>
      <c r="B180" s="3">
        <f t="shared" si="81"/>
        <v>31.887755102040817</v>
      </c>
      <c r="C180" s="3">
        <f t="shared" si="103"/>
        <v>5357.1428571428569</v>
      </c>
      <c r="D180" s="3">
        <f t="shared" si="82"/>
        <v>6.0962313779958852E-3</v>
      </c>
      <c r="E180" s="3">
        <f t="shared" si="83"/>
        <v>31.360000000000003</v>
      </c>
      <c r="F180" s="3"/>
      <c r="G180" s="3">
        <f t="shared" si="84"/>
        <v>38422934.79046461</v>
      </c>
      <c r="H180" s="3">
        <f t="shared" si="85"/>
        <v>535714.28571428568</v>
      </c>
      <c r="I180" s="3">
        <f t="shared" si="95"/>
        <v>19218935.175341852</v>
      </c>
      <c r="J180" s="3">
        <f t="shared" si="86"/>
        <v>2.4365979001047079E-2</v>
      </c>
      <c r="K180" s="3">
        <f t="shared" si="96"/>
        <v>0.77697637120685836</v>
      </c>
      <c r="L180" s="3">
        <f t="shared" si="104"/>
        <v>0.77697637120685881</v>
      </c>
      <c r="O180" s="9">
        <f t="shared" si="87"/>
        <v>7.769763712513017E-4</v>
      </c>
      <c r="P180" s="9">
        <f t="shared" si="97"/>
        <v>1286.0404261966476</v>
      </c>
      <c r="Q180" s="3">
        <f t="shared" si="88"/>
        <v>41040.829916984934</v>
      </c>
      <c r="R180" s="3">
        <f t="shared" si="89"/>
        <v>1286041.9783405985</v>
      </c>
      <c r="S180" s="3">
        <f t="shared" si="90"/>
        <v>1286041.9783405988</v>
      </c>
      <c r="T180" s="3"/>
      <c r="U180" s="3"/>
      <c r="V180" s="3">
        <f t="shared" si="91"/>
        <v>2287.0794518133694</v>
      </c>
      <c r="W180" s="3">
        <f t="shared" si="98"/>
        <v>384229.34790464607</v>
      </c>
      <c r="X180" s="3">
        <f t="shared" si="92"/>
        <v>31.36</v>
      </c>
      <c r="Y180" s="3">
        <f t="shared" si="93"/>
        <v>31.360000000000003</v>
      </c>
      <c r="Z180" s="3">
        <f t="shared" si="99"/>
        <v>71722.811608867269</v>
      </c>
    </row>
    <row r="181" spans="1:26" x14ac:dyDescent="0.45">
      <c r="A181">
        <f t="shared" si="102"/>
        <v>169</v>
      </c>
      <c r="B181" s="3">
        <f t="shared" si="81"/>
        <v>31.511501698119815</v>
      </c>
      <c r="C181" s="3">
        <f t="shared" si="103"/>
        <v>5325.4437869822486</v>
      </c>
      <c r="D181" s="3">
        <f t="shared" si="82"/>
        <v>5.9532175094579734E-3</v>
      </c>
      <c r="E181" s="3">
        <f t="shared" si="83"/>
        <v>31.734444444444438</v>
      </c>
      <c r="F181" s="3"/>
      <c r="G181" s="3">
        <f t="shared" si="84"/>
        <v>38881712.037643835</v>
      </c>
      <c r="H181" s="3">
        <f t="shared" si="85"/>
        <v>532544.3786982249</v>
      </c>
      <c r="I181" s="3">
        <f t="shared" si="95"/>
        <v>19448148.658930171</v>
      </c>
      <c r="J181" s="3">
        <f t="shared" si="86"/>
        <v>2.3795014751446891E-2</v>
      </c>
      <c r="K181" s="3">
        <f t="shared" si="96"/>
        <v>0.74981664774700474</v>
      </c>
      <c r="L181" s="3">
        <f t="shared" si="104"/>
        <v>0.74981664774700474</v>
      </c>
      <c r="O181" s="9">
        <f t="shared" si="87"/>
        <v>7.4981664778989458E-4</v>
      </c>
      <c r="P181" s="9">
        <f t="shared" si="97"/>
        <v>1332.6593725246403</v>
      </c>
      <c r="Q181" s="3">
        <f t="shared" si="88"/>
        <v>42025.609582023608</v>
      </c>
      <c r="R181" s="3">
        <f t="shared" si="89"/>
        <v>1332660.8704733087</v>
      </c>
      <c r="S181" s="3">
        <f t="shared" si="90"/>
        <v>1332660.8704733092</v>
      </c>
      <c r="T181" s="3"/>
      <c r="U181" s="3"/>
      <c r="V181" s="3">
        <f t="shared" si="91"/>
        <v>2300.6930199789253</v>
      </c>
      <c r="W181" s="3">
        <f t="shared" si="98"/>
        <v>388817.12037643837</v>
      </c>
      <c r="X181" s="3">
        <f t="shared" si="92"/>
        <v>31.734444444444449</v>
      </c>
      <c r="Y181" s="3">
        <f t="shared" si="93"/>
        <v>31.734444444444438</v>
      </c>
      <c r="Z181" s="3">
        <f t="shared" si="99"/>
        <v>73011.2148262423</v>
      </c>
    </row>
    <row r="182" spans="1:26" x14ac:dyDescent="0.45">
      <c r="A182">
        <f t="shared" si="102"/>
        <v>170</v>
      </c>
      <c r="B182" s="3">
        <f t="shared" si="81"/>
        <v>31.141868512110726</v>
      </c>
      <c r="C182" s="3">
        <f t="shared" si="103"/>
        <v>5294.1176470588234</v>
      </c>
      <c r="D182" s="3">
        <f t="shared" si="82"/>
        <v>5.814372925683332E-3</v>
      </c>
      <c r="E182" s="3">
        <f t="shared" si="83"/>
        <v>32.111111111111107</v>
      </c>
      <c r="F182" s="3"/>
      <c r="G182" s="3">
        <f t="shared" si="84"/>
        <v>39343211.99845618</v>
      </c>
      <c r="H182" s="3">
        <f t="shared" si="85"/>
        <v>529411.76470588241</v>
      </c>
      <c r="I182" s="3">
        <f t="shared" si="95"/>
        <v>19678728.602363404</v>
      </c>
      <c r="J182" s="3">
        <f t="shared" si="86"/>
        <v>2.3240658917655508E-2</v>
      </c>
      <c r="K182" s="3">
        <f t="shared" si="96"/>
        <v>0.7237575441484414</v>
      </c>
      <c r="L182" s="3">
        <f t="shared" si="104"/>
        <v>0.7237575441484414</v>
      </c>
      <c r="O182" s="9">
        <f t="shared" si="87"/>
        <v>7.2375754418984065E-4</v>
      </c>
      <c r="P182" s="9">
        <f t="shared" si="97"/>
        <v>1380.6781711330962</v>
      </c>
      <c r="Q182" s="3">
        <f t="shared" si="88"/>
        <v>43028.039931480504</v>
      </c>
      <c r="R182" s="3">
        <f t="shared" si="89"/>
        <v>1380679.6170785455</v>
      </c>
      <c r="S182" s="3">
        <f t="shared" si="90"/>
        <v>1380679.6170785464</v>
      </c>
      <c r="T182" s="3"/>
      <c r="U182" s="3"/>
      <c r="V182" s="3">
        <f t="shared" si="91"/>
        <v>2314.3065881444809</v>
      </c>
      <c r="W182" s="3">
        <f t="shared" si="98"/>
        <v>393432.11998456175</v>
      </c>
      <c r="X182" s="3">
        <f t="shared" si="92"/>
        <v>32.111111111111107</v>
      </c>
      <c r="Y182" s="3">
        <f t="shared" si="93"/>
        <v>32.111111111111107</v>
      </c>
      <c r="Z182" s="3">
        <f t="shared" si="99"/>
        <v>74314.955997083875</v>
      </c>
    </row>
    <row r="183" spans="1:26" x14ac:dyDescent="0.45">
      <c r="A183">
        <f t="shared" si="102"/>
        <v>171</v>
      </c>
      <c r="B183" s="3">
        <f t="shared" si="81"/>
        <v>30.778701138811943</v>
      </c>
      <c r="C183" s="3">
        <f t="shared" si="103"/>
        <v>5263.1578947368425</v>
      </c>
      <c r="D183" s="3">
        <f t="shared" si="82"/>
        <v>5.67955261675089E-3</v>
      </c>
      <c r="E183" s="3">
        <f t="shared" si="83"/>
        <v>32.49</v>
      </c>
      <c r="F183" s="3"/>
      <c r="G183" s="3">
        <f t="shared" si="84"/>
        <v>39807434.67290163</v>
      </c>
      <c r="H183" s="3">
        <f t="shared" si="85"/>
        <v>526315.78947368416</v>
      </c>
      <c r="I183" s="3">
        <f t="shared" si="95"/>
        <v>19910674.828332216</v>
      </c>
      <c r="J183" s="3">
        <f t="shared" si="86"/>
        <v>2.2702336153343217E-2</v>
      </c>
      <c r="K183" s="3">
        <f t="shared" si="96"/>
        <v>0.69874841961659639</v>
      </c>
      <c r="L183" s="3">
        <f t="shared" si="104"/>
        <v>0.69874841961659684</v>
      </c>
      <c r="O183" s="9">
        <f t="shared" si="87"/>
        <v>6.9874841965656504E-4</v>
      </c>
      <c r="P183" s="9">
        <f t="shared" si="97"/>
        <v>1430.1302492698303</v>
      </c>
      <c r="Q183" s="3">
        <f t="shared" si="88"/>
        <v>44048.330232989545</v>
      </c>
      <c r="R183" s="3">
        <f t="shared" si="89"/>
        <v>1430131.6453035686</v>
      </c>
      <c r="S183" s="3">
        <f t="shared" si="90"/>
        <v>1430131.6453035683</v>
      </c>
      <c r="T183" s="3"/>
      <c r="U183" s="3"/>
      <c r="V183" s="3">
        <f t="shared" si="91"/>
        <v>2327.9201563100369</v>
      </c>
      <c r="W183" s="3">
        <f t="shared" si="98"/>
        <v>398074.34672901628</v>
      </c>
      <c r="X183" s="3">
        <f t="shared" si="92"/>
        <v>32.49</v>
      </c>
      <c r="Y183" s="3">
        <f t="shared" si="93"/>
        <v>32.49</v>
      </c>
      <c r="Z183" s="3">
        <f t="shared" si="99"/>
        <v>75634.125878513107</v>
      </c>
    </row>
    <row r="184" spans="1:26" x14ac:dyDescent="0.45">
      <c r="A184">
        <f t="shared" si="102"/>
        <v>172</v>
      </c>
      <c r="B184" s="3">
        <f t="shared" si="81"/>
        <v>30.421849648458625</v>
      </c>
      <c r="C184" s="3">
        <f t="shared" si="103"/>
        <v>5232.5581395348836</v>
      </c>
      <c r="D184" s="3">
        <f t="shared" si="82"/>
        <v>5.5486174228872292E-3</v>
      </c>
      <c r="E184" s="3">
        <f t="shared" si="83"/>
        <v>32.871111111111112</v>
      </c>
      <c r="F184" s="3"/>
      <c r="G184" s="3">
        <f t="shared" si="84"/>
        <v>40274380.060980193</v>
      </c>
      <c r="H184" s="3">
        <f t="shared" si="85"/>
        <v>523255.81395348837</v>
      </c>
      <c r="I184" s="3">
        <f t="shared" si="95"/>
        <v>20143987.166668516</v>
      </c>
      <c r="J184" s="3">
        <f t="shared" si="86"/>
        <v>2.2179494167618094E-2</v>
      </c>
      <c r="K184" s="3">
        <f t="shared" si="96"/>
        <v>0.67474123684614262</v>
      </c>
      <c r="L184" s="3">
        <f t="shared" si="104"/>
        <v>0.67474123684614262</v>
      </c>
      <c r="O184" s="9">
        <f t="shared" si="87"/>
        <v>6.7474123688473814E-4</v>
      </c>
      <c r="P184" s="9">
        <f t="shared" si="97"/>
        <v>1481.0496293022977</v>
      </c>
      <c r="Q184" s="3">
        <f t="shared" si="88"/>
        <v>45086.690994188342</v>
      </c>
      <c r="R184" s="3">
        <f t="shared" si="89"/>
        <v>1481050.9774204218</v>
      </c>
      <c r="S184" s="3">
        <f t="shared" si="90"/>
        <v>1481050.9774204216</v>
      </c>
      <c r="T184" s="3"/>
      <c r="U184" s="3"/>
      <c r="V184" s="3">
        <f t="shared" si="91"/>
        <v>2341.5337244755929</v>
      </c>
      <c r="W184" s="3">
        <f t="shared" si="98"/>
        <v>402743.80060980195</v>
      </c>
      <c r="X184" s="3">
        <f t="shared" si="92"/>
        <v>32.871111111111119</v>
      </c>
      <c r="Y184" s="3">
        <f t="shared" si="93"/>
        <v>32.871111111111112</v>
      </c>
      <c r="Z184" s="3">
        <f t="shared" si="99"/>
        <v>76968.815227651052</v>
      </c>
    </row>
    <row r="185" spans="1:26" x14ac:dyDescent="0.45">
      <c r="A185">
        <f t="shared" si="102"/>
        <v>173</v>
      </c>
      <c r="B185" s="3">
        <f t="shared" si="81"/>
        <v>30.071168431955627</v>
      </c>
      <c r="C185" s="3">
        <f t="shared" si="103"/>
        <v>5202.3121387283236</v>
      </c>
      <c r="D185" s="3">
        <f t="shared" si="82"/>
        <v>5.4214337662852616E-3</v>
      </c>
      <c r="E185" s="3">
        <f t="shared" si="83"/>
        <v>33.254444444444445</v>
      </c>
      <c r="F185" s="3"/>
      <c r="G185" s="3">
        <f t="shared" si="84"/>
        <v>40744048.162691869</v>
      </c>
      <c r="H185" s="3">
        <f t="shared" si="85"/>
        <v>520231.21387283236</v>
      </c>
      <c r="I185" s="3">
        <f t="shared" si="95"/>
        <v>20378665.454018973</v>
      </c>
      <c r="J185" s="3">
        <f t="shared" si="86"/>
        <v>2.1671602679470634E-2</v>
      </c>
      <c r="K185" s="3">
        <f t="shared" si="96"/>
        <v>0.65169041436478237</v>
      </c>
      <c r="L185" s="3">
        <f t="shared" si="104"/>
        <v>0.65169041436478237</v>
      </c>
      <c r="O185" s="9">
        <f t="shared" si="87"/>
        <v>6.5169041440205934E-4</v>
      </c>
      <c r="P185" s="9">
        <f t="shared" si="97"/>
        <v>1533.4709357395145</v>
      </c>
      <c r="Q185" s="3">
        <f t="shared" si="88"/>
        <v>46143.333962563498</v>
      </c>
      <c r="R185" s="3">
        <f t="shared" si="89"/>
        <v>1533472.2378475673</v>
      </c>
      <c r="S185" s="3">
        <f t="shared" si="90"/>
        <v>1533472.2378475671</v>
      </c>
      <c r="T185" s="3"/>
      <c r="U185" s="3"/>
      <c r="V185" s="3">
        <f t="shared" si="91"/>
        <v>2355.1472926411484</v>
      </c>
      <c r="W185" s="3">
        <f t="shared" si="98"/>
        <v>407440.48162691866</v>
      </c>
      <c r="X185" s="3">
        <f t="shared" si="92"/>
        <v>33.254444444444445</v>
      </c>
      <c r="Y185" s="3">
        <f t="shared" si="93"/>
        <v>33.254444444444445</v>
      </c>
      <c r="Z185" s="3">
        <f t="shared" si="99"/>
        <v>78319.114801618809</v>
      </c>
    </row>
    <row r="186" spans="1:26" x14ac:dyDescent="0.45">
      <c r="A186">
        <f t="shared" si="102"/>
        <v>174</v>
      </c>
      <c r="B186" s="3">
        <f t="shared" si="81"/>
        <v>29.726516052318669</v>
      </c>
      <c r="C186" s="3">
        <f t="shared" si="103"/>
        <v>5172.4137931034484</v>
      </c>
      <c r="D186" s="3">
        <f t="shared" si="82"/>
        <v>5.2978733966746435E-3</v>
      </c>
      <c r="E186" s="3">
        <f t="shared" si="83"/>
        <v>33.64</v>
      </c>
      <c r="F186" s="3"/>
      <c r="G186" s="3">
        <f t="shared" si="84"/>
        <v>41216438.97803665</v>
      </c>
      <c r="H186" s="3">
        <f t="shared" si="85"/>
        <v>517241.37931034481</v>
      </c>
      <c r="I186" s="3">
        <f t="shared" si="95"/>
        <v>20614709.533535164</v>
      </c>
      <c r="J186" s="3">
        <f t="shared" si="86"/>
        <v>2.117815242494794E-2</v>
      </c>
      <c r="K186" s="3">
        <f t="shared" si="96"/>
        <v>0.62955268801866648</v>
      </c>
      <c r="L186" s="3">
        <f t="shared" si="104"/>
        <v>0.6295526880186666</v>
      </c>
      <c r="O186" s="9">
        <f t="shared" si="87"/>
        <v>6.2955268805467716E-4</v>
      </c>
      <c r="P186" s="9">
        <f t="shared" si="97"/>
        <v>1587.4294022951565</v>
      </c>
      <c r="Q186" s="3">
        <f t="shared" si="88"/>
        <v>47218.472125301916</v>
      </c>
      <c r="R186" s="3">
        <f t="shared" si="89"/>
        <v>1587430.6602127121</v>
      </c>
      <c r="S186" s="3">
        <f t="shared" si="90"/>
        <v>1587430.6602127124</v>
      </c>
      <c r="T186" s="3"/>
      <c r="U186" s="3"/>
      <c r="V186" s="3">
        <f t="shared" si="91"/>
        <v>2368.7608608067039</v>
      </c>
      <c r="W186" s="3">
        <f t="shared" si="98"/>
        <v>412164.3897803665</v>
      </c>
      <c r="X186" s="3">
        <f t="shared" si="92"/>
        <v>33.639999999999993</v>
      </c>
      <c r="Y186" s="3">
        <f t="shared" si="93"/>
        <v>33.64</v>
      </c>
      <c r="Z186" s="3">
        <f t="shared" si="99"/>
        <v>79685.115357537521</v>
      </c>
    </row>
    <row r="187" spans="1:26" x14ac:dyDescent="0.45">
      <c r="A187">
        <f t="shared" si="102"/>
        <v>175</v>
      </c>
      <c r="B187" s="3">
        <f t="shared" si="81"/>
        <v>29.387755102040817</v>
      </c>
      <c r="C187" s="3">
        <f t="shared" si="103"/>
        <v>5142.8571428571431</v>
      </c>
      <c r="D187" s="3">
        <f t="shared" si="82"/>
        <v>5.1778131498648652E-3</v>
      </c>
      <c r="E187" s="3">
        <f t="shared" si="83"/>
        <v>34.027777777777786</v>
      </c>
      <c r="F187" s="3"/>
      <c r="G187" s="3">
        <f t="shared" si="84"/>
        <v>41691552.50701455</v>
      </c>
      <c r="H187" s="3">
        <f t="shared" si="85"/>
        <v>514285.71428571426</v>
      </c>
      <c r="I187" s="3">
        <f t="shared" si="95"/>
        <v>20852119.254579525</v>
      </c>
      <c r="J187" s="3">
        <f t="shared" si="86"/>
        <v>2.0698654214143266E-2</v>
      </c>
      <c r="K187" s="3">
        <f t="shared" si="96"/>
        <v>0.60828698098706746</v>
      </c>
      <c r="L187" s="3">
        <f t="shared" si="104"/>
        <v>0.60828698098706779</v>
      </c>
      <c r="O187" s="9">
        <f t="shared" si="87"/>
        <v>6.0828698102186171E-4</v>
      </c>
      <c r="P187" s="9">
        <f t="shared" si="97"/>
        <v>1642.9608789918523</v>
      </c>
      <c r="Q187" s="3">
        <f t="shared" si="88"/>
        <v>48312.319709148316</v>
      </c>
      <c r="R187" s="3">
        <f t="shared" si="89"/>
        <v>1642962.0944568429</v>
      </c>
      <c r="S187" s="3">
        <f t="shared" si="90"/>
        <v>1642962.0944568424</v>
      </c>
      <c r="T187" s="3"/>
      <c r="U187" s="3"/>
      <c r="V187" s="3">
        <f t="shared" si="91"/>
        <v>2382.3744289722599</v>
      </c>
      <c r="W187" s="3">
        <f t="shared" si="98"/>
        <v>416915.52507014549</v>
      </c>
      <c r="X187" s="3">
        <f t="shared" si="92"/>
        <v>34.027777777777786</v>
      </c>
      <c r="Y187" s="3">
        <f t="shared" si="93"/>
        <v>34.027777777777786</v>
      </c>
      <c r="Z187" s="3">
        <f t="shared" si="99"/>
        <v>81066.907652528302</v>
      </c>
    </row>
    <row r="188" spans="1:26" x14ac:dyDescent="0.45">
      <c r="A188">
        <f t="shared" si="102"/>
        <v>176</v>
      </c>
      <c r="B188" s="3">
        <f t="shared" si="81"/>
        <v>29.054752066115704</v>
      </c>
      <c r="C188" s="3">
        <f t="shared" si="103"/>
        <v>5113.636363636364</v>
      </c>
      <c r="D188" s="3">
        <f t="shared" si="82"/>
        <v>5.0611347185302311E-3</v>
      </c>
      <c r="E188" s="3">
        <f t="shared" si="83"/>
        <v>34.417777777777779</v>
      </c>
      <c r="F188" s="3"/>
      <c r="G188" s="3">
        <f t="shared" si="84"/>
        <v>42169388.749625556</v>
      </c>
      <c r="H188" s="3">
        <f t="shared" si="85"/>
        <v>511363.63636363635</v>
      </c>
      <c r="I188" s="3">
        <f t="shared" si="95"/>
        <v>21090894.47244608</v>
      </c>
      <c r="J188" s="3">
        <f t="shared" si="86"/>
        <v>2.0232638035261551E-2</v>
      </c>
      <c r="K188" s="3">
        <f t="shared" si="96"/>
        <v>0.58785428175798671</v>
      </c>
      <c r="L188" s="3">
        <f t="shared" si="104"/>
        <v>0.58785428175798693</v>
      </c>
      <c r="O188" s="9">
        <f t="shared" si="87"/>
        <v>5.8785428179161225E-4</v>
      </c>
      <c r="P188" s="9">
        <f t="shared" si="97"/>
        <v>1700.1018393066477</v>
      </c>
      <c r="Q188" s="3">
        <f t="shared" si="88"/>
        <v>49425.092180268046</v>
      </c>
      <c r="R188" s="3">
        <f t="shared" si="89"/>
        <v>1700103.0139794513</v>
      </c>
      <c r="S188" s="3">
        <f t="shared" si="90"/>
        <v>1700103.0139794515</v>
      </c>
      <c r="T188" s="3"/>
      <c r="U188" s="3"/>
      <c r="V188" s="3">
        <f t="shared" si="91"/>
        <v>2395.9879971378159</v>
      </c>
      <c r="W188" s="3">
        <f t="shared" si="98"/>
        <v>421693.88749625557</v>
      </c>
      <c r="X188" s="3">
        <f t="shared" si="92"/>
        <v>34.417777777777786</v>
      </c>
      <c r="Y188" s="3">
        <f t="shared" si="93"/>
        <v>34.417777777777779</v>
      </c>
      <c r="Z188" s="3">
        <f t="shared" si="99"/>
        <v>82464.582443712206</v>
      </c>
    </row>
    <row r="189" spans="1:26" x14ac:dyDescent="0.45">
      <c r="A189">
        <f t="shared" si="102"/>
        <v>177</v>
      </c>
      <c r="B189" s="3">
        <f t="shared" si="81"/>
        <v>28.727377190462512</v>
      </c>
      <c r="C189" s="3">
        <f t="shared" si="103"/>
        <v>5084.7457627118647</v>
      </c>
      <c r="D189" s="3">
        <f t="shared" si="82"/>
        <v>4.947724434550973E-3</v>
      </c>
      <c r="E189" s="3">
        <f t="shared" si="83"/>
        <v>34.809999999999995</v>
      </c>
      <c r="F189" s="3"/>
      <c r="G189" s="3">
        <f t="shared" si="84"/>
        <v>42649947.705869675</v>
      </c>
      <c r="H189" s="3">
        <f t="shared" si="85"/>
        <v>508474.57627118647</v>
      </c>
      <c r="I189" s="3">
        <f t="shared" si="95"/>
        <v>21331035.048095267</v>
      </c>
      <c r="J189" s="3">
        <f t="shared" si="86"/>
        <v>1.9779652203183767E-2</v>
      </c>
      <c r="K189" s="3">
        <f t="shared" si="96"/>
        <v>0.56821752953702287</v>
      </c>
      <c r="L189" s="3">
        <f t="shared" si="104"/>
        <v>0.56821752953702298</v>
      </c>
      <c r="O189" s="9">
        <f t="shared" si="87"/>
        <v>5.6821752956952515E-4</v>
      </c>
      <c r="P189" s="9">
        <f t="shared" si="97"/>
        <v>1758.8893873576694</v>
      </c>
      <c r="Q189" s="3">
        <f t="shared" si="88"/>
        <v>50557.006244115757</v>
      </c>
      <c r="R189" s="3">
        <f t="shared" si="89"/>
        <v>1758890.522824974</v>
      </c>
      <c r="S189" s="3">
        <f t="shared" si="90"/>
        <v>1758890.5228249745</v>
      </c>
      <c r="T189" s="3"/>
      <c r="U189" s="3"/>
      <c r="V189" s="3">
        <f t="shared" si="91"/>
        <v>2409.6015653033714</v>
      </c>
      <c r="W189" s="3">
        <f t="shared" si="98"/>
        <v>426499.47705869674</v>
      </c>
      <c r="X189" s="3">
        <f t="shared" si="92"/>
        <v>34.81</v>
      </c>
      <c r="Y189" s="3">
        <f t="shared" si="93"/>
        <v>34.809999999999995</v>
      </c>
      <c r="Z189" s="3">
        <f t="shared" si="99"/>
        <v>83878.230488210349</v>
      </c>
    </row>
    <row r="190" spans="1:26" x14ac:dyDescent="0.45">
      <c r="A190">
        <f t="shared" si="102"/>
        <v>178</v>
      </c>
      <c r="B190" s="3">
        <f t="shared" si="81"/>
        <v>28.405504355510669</v>
      </c>
      <c r="C190" s="3">
        <f t="shared" si="103"/>
        <v>5056.1797752808989</v>
      </c>
      <c r="D190" s="3">
        <f t="shared" si="82"/>
        <v>4.8374730622667518E-3</v>
      </c>
      <c r="E190" s="3">
        <f t="shared" si="83"/>
        <v>35.204444444444448</v>
      </c>
      <c r="F190" s="3"/>
      <c r="G190" s="3">
        <f t="shared" si="84"/>
        <v>43133229.375746906</v>
      </c>
      <c r="H190" s="3">
        <f t="shared" si="85"/>
        <v>505617.97752808989</v>
      </c>
      <c r="I190" s="3">
        <f t="shared" si="95"/>
        <v>21572540.847901959</v>
      </c>
      <c r="J190" s="3">
        <f t="shared" si="86"/>
        <v>1.9339262550106363E-2</v>
      </c>
      <c r="K190" s="3">
        <f t="shared" si="96"/>
        <v>0.54934150659941061</v>
      </c>
      <c r="L190" s="3">
        <f t="shared" si="104"/>
        <v>0.54934150659941072</v>
      </c>
      <c r="O190" s="9">
        <f t="shared" si="87"/>
        <v>5.4934150663083316E-4</v>
      </c>
      <c r="P190" s="9">
        <f t="shared" si="97"/>
        <v>1819.3612651319593</v>
      </c>
      <c r="Q190" s="3">
        <f t="shared" si="88"/>
        <v>51708.279845308782</v>
      </c>
      <c r="R190" s="3">
        <f t="shared" si="89"/>
        <v>1819362.3629104155</v>
      </c>
      <c r="S190" s="3">
        <f t="shared" si="90"/>
        <v>1819362.362910416</v>
      </c>
      <c r="T190" s="3"/>
      <c r="U190" s="3"/>
      <c r="V190" s="3">
        <f t="shared" si="91"/>
        <v>2423.2151334689274</v>
      </c>
      <c r="W190" s="3">
        <f t="shared" si="98"/>
        <v>431332.2937574691</v>
      </c>
      <c r="X190" s="3">
        <f t="shared" si="92"/>
        <v>35.204444444444455</v>
      </c>
      <c r="Y190" s="3">
        <f t="shared" si="93"/>
        <v>35.204444444444448</v>
      </c>
      <c r="Z190" s="3">
        <f t="shared" si="99"/>
        <v>85307.942543143887</v>
      </c>
    </row>
    <row r="191" spans="1:26" x14ac:dyDescent="0.45">
      <c r="A191">
        <f t="shared" si="102"/>
        <v>179</v>
      </c>
      <c r="B191" s="3">
        <f t="shared" si="81"/>
        <v>28.089010954714272</v>
      </c>
      <c r="C191" s="3">
        <f t="shared" si="103"/>
        <v>5027.9329608938551</v>
      </c>
      <c r="D191" s="3">
        <f t="shared" si="82"/>
        <v>4.7302756020380287E-3</v>
      </c>
      <c r="E191" s="3">
        <f t="shared" si="83"/>
        <v>35.601111111111116</v>
      </c>
      <c r="F191" s="3"/>
      <c r="G191" s="3">
        <f t="shared" si="84"/>
        <v>43619233.75925725</v>
      </c>
      <c r="H191" s="3">
        <f t="shared" si="85"/>
        <v>502793.29608938546</v>
      </c>
      <c r="I191" s="3">
        <f t="shared" si="95"/>
        <v>21815411.743416034</v>
      </c>
      <c r="J191" s="3">
        <f t="shared" si="86"/>
        <v>1.8911051655974412E-2</v>
      </c>
      <c r="K191" s="3">
        <f t="shared" si="96"/>
        <v>0.53119273712983273</v>
      </c>
      <c r="L191" s="3">
        <f t="shared" si="104"/>
        <v>0.53119273712983284</v>
      </c>
      <c r="O191" s="9">
        <f t="shared" si="87"/>
        <v>5.3119273716021719E-4</v>
      </c>
      <c r="P191" s="9">
        <f t="shared" si="97"/>
        <v>1881.5558597545023</v>
      </c>
      <c r="Q191" s="3">
        <f t="shared" si="88"/>
        <v>52879.132167505762</v>
      </c>
      <c r="R191" s="3">
        <f t="shared" si="89"/>
        <v>1881556.9212941714</v>
      </c>
      <c r="S191" s="3">
        <f t="shared" si="90"/>
        <v>1881556.9212941718</v>
      </c>
      <c r="T191" s="3"/>
      <c r="U191" s="3"/>
      <c r="V191" s="3">
        <f t="shared" si="91"/>
        <v>2436.828701634483</v>
      </c>
      <c r="W191" s="3">
        <f t="shared" si="98"/>
        <v>436192.33759257244</v>
      </c>
      <c r="X191" s="3">
        <f t="shared" si="92"/>
        <v>35.601111111111116</v>
      </c>
      <c r="Y191" s="3">
        <f t="shared" si="93"/>
        <v>35.601111111111116</v>
      </c>
      <c r="Z191" s="3">
        <f t="shared" si="99"/>
        <v>86753.809365633861</v>
      </c>
    </row>
    <row r="192" spans="1:26" x14ac:dyDescent="0.45">
      <c r="A192">
        <f t="shared" si="102"/>
        <v>180</v>
      </c>
      <c r="B192" s="3">
        <f t="shared" si="81"/>
        <v>27.777777777777779</v>
      </c>
      <c r="C192" s="3">
        <f t="shared" si="103"/>
        <v>5000</v>
      </c>
      <c r="D192" s="3">
        <f t="shared" si="82"/>
        <v>4.6260311035474554E-3</v>
      </c>
      <c r="E192" s="3">
        <f t="shared" si="83"/>
        <v>36</v>
      </c>
      <c r="F192" s="3"/>
      <c r="G192" s="3">
        <f t="shared" si="84"/>
        <v>44107960.856400698</v>
      </c>
      <c r="H192" s="3">
        <f t="shared" si="85"/>
        <v>500000</v>
      </c>
      <c r="I192" s="3">
        <f t="shared" si="95"/>
        <v>22059647.611134771</v>
      </c>
      <c r="J192" s="3">
        <f t="shared" si="86"/>
        <v>1.8494618116561438E-2</v>
      </c>
      <c r="K192" s="3">
        <f t="shared" si="96"/>
        <v>0.51373939212670661</v>
      </c>
      <c r="L192" s="3">
        <f t="shared" si="104"/>
        <v>0.51373939212670661</v>
      </c>
      <c r="O192" s="9">
        <f t="shared" si="87"/>
        <v>5.1373939215609268E-4</v>
      </c>
      <c r="P192" s="9">
        <f t="shared" si="97"/>
        <v>1945.5122107984348</v>
      </c>
      <c r="Q192" s="3">
        <f t="shared" si="88"/>
        <v>54069.783633289859</v>
      </c>
      <c r="R192" s="3">
        <f t="shared" si="89"/>
        <v>1945513.2374860547</v>
      </c>
      <c r="S192" s="3">
        <f t="shared" si="90"/>
        <v>1945513.2374860551</v>
      </c>
      <c r="T192" s="3"/>
      <c r="U192" s="3"/>
      <c r="V192" s="3">
        <f t="shared" si="91"/>
        <v>2450.4422698000385</v>
      </c>
      <c r="W192" s="3">
        <f t="shared" si="98"/>
        <v>441079.60856400692</v>
      </c>
      <c r="X192" s="3">
        <f t="shared" si="92"/>
        <v>35.999999999999993</v>
      </c>
      <c r="Y192" s="3">
        <f t="shared" si="93"/>
        <v>36</v>
      </c>
      <c r="Z192" s="3">
        <f t="shared" si="99"/>
        <v>88215.921712801384</v>
      </c>
    </row>
    <row r="193" spans="1:26" x14ac:dyDescent="0.45">
      <c r="A193">
        <f t="shared" si="102"/>
        <v>181</v>
      </c>
      <c r="B193" s="3">
        <f t="shared" si="81"/>
        <v>27.471688898385274</v>
      </c>
      <c r="C193" s="3">
        <f t="shared" si="103"/>
        <v>4972.3756906077342</v>
      </c>
      <c r="D193" s="3">
        <f t="shared" si="82"/>
        <v>4.5246424883075903E-3</v>
      </c>
      <c r="E193" s="3">
        <f t="shared" si="83"/>
        <v>36.401111111111113</v>
      </c>
      <c r="F193" s="3"/>
      <c r="G193" s="3">
        <f t="shared" si="84"/>
        <v>44599410.667177267</v>
      </c>
      <c r="H193" s="3">
        <f t="shared" si="85"/>
        <v>497237.56906077347</v>
      </c>
      <c r="I193" s="3">
        <f t="shared" si="95"/>
        <v>22305248.332286436</v>
      </c>
      <c r="J193" s="3">
        <f t="shared" si="86"/>
        <v>1.8089575847174223E-2</v>
      </c>
      <c r="K193" s="3">
        <f t="shared" si="96"/>
        <v>0.49695119997731452</v>
      </c>
      <c r="L193" s="3">
        <f t="shared" si="104"/>
        <v>0.49695119997731452</v>
      </c>
      <c r="O193" s="9">
        <f t="shared" si="87"/>
        <v>4.969512000057403E-4</v>
      </c>
      <c r="P193" s="9">
        <f t="shared" si="97"/>
        <v>2011.2700176364378</v>
      </c>
      <c r="Q193" s="3">
        <f t="shared" si="88"/>
        <v>55280.455904056471</v>
      </c>
      <c r="R193" s="3">
        <f t="shared" si="89"/>
        <v>2011271.0107985123</v>
      </c>
      <c r="S193" s="3">
        <f t="shared" si="90"/>
        <v>2011271.0107985127</v>
      </c>
      <c r="T193" s="3"/>
      <c r="U193" s="3"/>
      <c r="V193" s="3">
        <f t="shared" si="91"/>
        <v>2464.0558379655945</v>
      </c>
      <c r="W193" s="3">
        <f t="shared" si="98"/>
        <v>445994.10667177261</v>
      </c>
      <c r="X193" s="3">
        <f t="shared" si="92"/>
        <v>36.401111111111113</v>
      </c>
      <c r="Y193" s="3">
        <f t="shared" si="93"/>
        <v>36.401111111111113</v>
      </c>
      <c r="Z193" s="3">
        <f t="shared" si="99"/>
        <v>89694.370341767601</v>
      </c>
    </row>
    <row r="194" spans="1:26" x14ac:dyDescent="0.45">
      <c r="A194">
        <f t="shared" si="102"/>
        <v>182</v>
      </c>
      <c r="B194" s="3">
        <f t="shared" si="81"/>
        <v>27.170631566235961</v>
      </c>
      <c r="C194" s="3">
        <f t="shared" si="103"/>
        <v>4945.0549450549452</v>
      </c>
      <c r="D194" s="3">
        <f t="shared" si="82"/>
        <v>4.4260163808733126E-3</v>
      </c>
      <c r="E194" s="3">
        <f t="shared" si="83"/>
        <v>36.804444444444449</v>
      </c>
      <c r="F194" s="3"/>
      <c r="G194" s="3">
        <f t="shared" si="84"/>
        <v>45093583.191586934</v>
      </c>
      <c r="H194" s="3">
        <f t="shared" si="85"/>
        <v>494505.49450549448</v>
      </c>
      <c r="I194" s="3">
        <f t="shared" si="95"/>
        <v>22552213.792624418</v>
      </c>
      <c r="J194" s="3">
        <f t="shared" si="86"/>
        <v>1.769555342007877E-2</v>
      </c>
      <c r="K194" s="3">
        <f t="shared" si="96"/>
        <v>0.48079936233760695</v>
      </c>
      <c r="L194" s="3">
        <f t="shared" si="104"/>
        <v>0.48079936233760695</v>
      </c>
      <c r="O194" s="9">
        <f t="shared" si="87"/>
        <v>4.8079936236510886E-4</v>
      </c>
      <c r="P194" s="9">
        <f t="shared" si="97"/>
        <v>2078.869646833311</v>
      </c>
      <c r="Q194" s="3">
        <f t="shared" si="88"/>
        <v>56511.3718799052</v>
      </c>
      <c r="R194" s="3">
        <f t="shared" si="89"/>
        <v>2078870.6077390299</v>
      </c>
      <c r="S194" s="3">
        <f t="shared" si="90"/>
        <v>2078870.6077390295</v>
      </c>
      <c r="T194" s="3"/>
      <c r="U194" s="3"/>
      <c r="V194" s="3">
        <f t="shared" si="91"/>
        <v>2477.6694061311505</v>
      </c>
      <c r="W194" s="3">
        <f t="shared" si="98"/>
        <v>450935.83191586938</v>
      </c>
      <c r="X194" s="3">
        <f t="shared" si="92"/>
        <v>36.804444444444449</v>
      </c>
      <c r="Y194" s="3">
        <f t="shared" si="93"/>
        <v>36.804444444444449</v>
      </c>
      <c r="Z194" s="3">
        <f t="shared" si="99"/>
        <v>91189.246009653594</v>
      </c>
    </row>
    <row r="195" spans="1:26" x14ac:dyDescent="0.45">
      <c r="A195">
        <f t="shared" si="102"/>
        <v>183</v>
      </c>
      <c r="B195" s="3">
        <f t="shared" si="81"/>
        <v>26.874496103198066</v>
      </c>
      <c r="C195" s="3">
        <f t="shared" si="103"/>
        <v>4918.0327868852464</v>
      </c>
      <c r="D195" s="3">
        <f t="shared" si="82"/>
        <v>4.3300629482871441E-3</v>
      </c>
      <c r="E195" s="3">
        <f t="shared" si="83"/>
        <v>37.209999999999994</v>
      </c>
      <c r="F195" s="3"/>
      <c r="G195" s="3">
        <f t="shared" si="84"/>
        <v>45590478.429629721</v>
      </c>
      <c r="H195" s="3">
        <f t="shared" si="85"/>
        <v>491803.27868852462</v>
      </c>
      <c r="I195" s="3">
        <f t="shared" si="95"/>
        <v>22800543.882231452</v>
      </c>
      <c r="J195" s="3">
        <f t="shared" si="86"/>
        <v>1.7312193433853595E-2</v>
      </c>
      <c r="K195" s="3">
        <f t="shared" si="96"/>
        <v>0.46525647497590961</v>
      </c>
      <c r="L195" s="3">
        <f t="shared" si="104"/>
        <v>0.46525647497590972</v>
      </c>
      <c r="O195" s="9">
        <f t="shared" si="87"/>
        <v>4.6525647500252244E-4</v>
      </c>
      <c r="P195" s="9">
        <f t="shared" si="97"/>
        <v>2148.3521395797411</v>
      </c>
      <c r="Q195" s="3">
        <f t="shared" si="88"/>
        <v>57762.755699536181</v>
      </c>
      <c r="R195" s="3">
        <f t="shared" si="89"/>
        <v>2148353.069443746</v>
      </c>
      <c r="S195" s="3">
        <f t="shared" si="90"/>
        <v>2148353.0694437469</v>
      </c>
      <c r="T195" s="3"/>
      <c r="U195" s="3"/>
      <c r="V195" s="3">
        <f t="shared" si="91"/>
        <v>2491.282974296706</v>
      </c>
      <c r="W195" s="3">
        <f t="shared" si="98"/>
        <v>455904.78429629718</v>
      </c>
      <c r="X195" s="3">
        <f t="shared" si="92"/>
        <v>37.21</v>
      </c>
      <c r="Y195" s="3">
        <f t="shared" si="93"/>
        <v>37.209999999999994</v>
      </c>
      <c r="Z195" s="3">
        <f t="shared" si="99"/>
        <v>92700.639473580421</v>
      </c>
    </row>
    <row r="196" spans="1:26" x14ac:dyDescent="0.45">
      <c r="A196">
        <f t="shared" si="102"/>
        <v>184</v>
      </c>
      <c r="B196" s="3">
        <f t="shared" si="81"/>
        <v>26.583175803402646</v>
      </c>
      <c r="C196" s="3">
        <f t="shared" si="103"/>
        <v>4891.304347826087</v>
      </c>
      <c r="D196" s="3">
        <f t="shared" si="82"/>
        <v>4.2366957473137156E-3</v>
      </c>
      <c r="E196" s="3">
        <f t="shared" si="83"/>
        <v>37.617777777777775</v>
      </c>
      <c r="F196" s="3"/>
      <c r="G196" s="3">
        <f t="shared" si="84"/>
        <v>46090096.38130562</v>
      </c>
      <c r="H196" s="3">
        <f t="shared" si="85"/>
        <v>489130.4347826087</v>
      </c>
      <c r="I196" s="3">
        <f t="shared" si="95"/>
        <v>23050238.49533321</v>
      </c>
      <c r="J196" s="3">
        <f t="shared" si="86"/>
        <v>1.6939151912980576E-2</v>
      </c>
      <c r="K196" s="3">
        <f t="shared" si="96"/>
        <v>0.45029645326330692</v>
      </c>
      <c r="L196" s="3">
        <f t="shared" si="104"/>
        <v>0.45029645326330703</v>
      </c>
      <c r="O196" s="9">
        <f t="shared" si="87"/>
        <v>4.5029645328906404E-4</v>
      </c>
      <c r="P196" s="9">
        <f t="shared" si="97"/>
        <v>2219.7592191672411</v>
      </c>
      <c r="Q196" s="3">
        <f t="shared" si="88"/>
        <v>59034.832740149955</v>
      </c>
      <c r="R196" s="3">
        <f t="shared" si="89"/>
        <v>2219760.1191522456</v>
      </c>
      <c r="S196" s="3">
        <f t="shared" si="90"/>
        <v>2219760.119152246</v>
      </c>
      <c r="T196" s="3"/>
      <c r="U196" s="3"/>
      <c r="V196" s="3">
        <f t="shared" si="91"/>
        <v>2504.896542462262</v>
      </c>
      <c r="W196" s="3">
        <f t="shared" si="98"/>
        <v>460900.96381305624</v>
      </c>
      <c r="X196" s="3">
        <f t="shared" si="92"/>
        <v>37.617777777777782</v>
      </c>
      <c r="Y196" s="3">
        <f t="shared" si="93"/>
        <v>37.617777777777775</v>
      </c>
      <c r="Z196" s="3">
        <f t="shared" si="99"/>
        <v>94228.641490669266</v>
      </c>
    </row>
    <row r="197" spans="1:26" x14ac:dyDescent="0.45">
      <c r="A197">
        <f t="shared" si="102"/>
        <v>185</v>
      </c>
      <c r="B197" s="3">
        <f t="shared" si="81"/>
        <v>26.296566837107378</v>
      </c>
      <c r="C197" s="3">
        <f t="shared" si="103"/>
        <v>4864.864864864865</v>
      </c>
      <c r="D197" s="3">
        <f t="shared" si="82"/>
        <v>4.1458315790457506E-3</v>
      </c>
      <c r="E197" s="3">
        <f t="shared" si="83"/>
        <v>38.027777777777771</v>
      </c>
      <c r="F197" s="3"/>
      <c r="G197" s="3">
        <f t="shared" si="84"/>
        <v>46592437.046614625</v>
      </c>
      <c r="H197" s="3">
        <f t="shared" si="85"/>
        <v>486486.48648648651</v>
      </c>
      <c r="I197" s="3">
        <f t="shared" si="95"/>
        <v>23301297.53012095</v>
      </c>
      <c r="J197" s="3">
        <f t="shared" si="86"/>
        <v>1.6576097736079983E-2</v>
      </c>
      <c r="K197" s="3">
        <f t="shared" si="96"/>
        <v>0.43589446201525156</v>
      </c>
      <c r="L197" s="3">
        <f t="shared" si="104"/>
        <v>0.43589446201525156</v>
      </c>
      <c r="O197" s="9">
        <f t="shared" si="87"/>
        <v>4.358944620401849E-4</v>
      </c>
      <c r="P197" s="9">
        <f t="shared" si="97"/>
        <v>2293.1332985042845</v>
      </c>
      <c r="Q197" s="3">
        <f t="shared" si="88"/>
        <v>60327.829617351526</v>
      </c>
      <c r="R197" s="3">
        <f t="shared" si="89"/>
        <v>2293134.1697235527</v>
      </c>
      <c r="S197" s="3">
        <f t="shared" si="90"/>
        <v>2293134.1697235531</v>
      </c>
      <c r="T197" s="3"/>
      <c r="U197" s="3"/>
      <c r="V197" s="3">
        <f t="shared" si="91"/>
        <v>2518.510110627818</v>
      </c>
      <c r="W197" s="3">
        <f t="shared" si="98"/>
        <v>465924.37046614633</v>
      </c>
      <c r="X197" s="3">
        <f t="shared" si="92"/>
        <v>38.027777777777793</v>
      </c>
      <c r="Y197" s="3">
        <f t="shared" si="93"/>
        <v>38.027777777777771</v>
      </c>
      <c r="Z197" s="3">
        <f t="shared" si="99"/>
        <v>95773.342818041172</v>
      </c>
    </row>
    <row r="198" spans="1:26" x14ac:dyDescent="0.45">
      <c r="A198">
        <f t="shared" si="102"/>
        <v>186</v>
      </c>
      <c r="B198" s="3">
        <f t="shared" si="81"/>
        <v>26.014568158168576</v>
      </c>
      <c r="C198" s="3">
        <f t="shared" si="103"/>
        <v>4838.7096774193551</v>
      </c>
      <c r="D198" s="3">
        <f t="shared" si="82"/>
        <v>4.0573903504884448E-3</v>
      </c>
      <c r="E198" s="3">
        <f t="shared" si="83"/>
        <v>38.440000000000005</v>
      </c>
      <c r="F198" s="3"/>
      <c r="G198" s="3">
        <f t="shared" si="84"/>
        <v>47097500.425556742</v>
      </c>
      <c r="H198" s="3">
        <f t="shared" si="85"/>
        <v>483870.96774193546</v>
      </c>
      <c r="I198" s="3">
        <f t="shared" si="95"/>
        <v>23553720.888582613</v>
      </c>
      <c r="J198" s="3">
        <f t="shared" si="86"/>
        <v>1.6222712091288016E-2</v>
      </c>
      <c r="K198" s="3">
        <f t="shared" si="96"/>
        <v>0.42202684940915758</v>
      </c>
      <c r="L198" s="3">
        <f t="shared" si="104"/>
        <v>0.4220268494091578</v>
      </c>
      <c r="O198" s="9">
        <f t="shared" si="87"/>
        <v>4.2202684943329767E-4</v>
      </c>
      <c r="P198" s="9">
        <f t="shared" si="97"/>
        <v>2368.5174876736187</v>
      </c>
      <c r="Q198" s="3">
        <f t="shared" si="88"/>
        <v>61641.974185057719</v>
      </c>
      <c r="R198" s="3">
        <f t="shared" si="89"/>
        <v>2368518.3311933163</v>
      </c>
      <c r="S198" s="3">
        <f t="shared" si="90"/>
        <v>2368518.3311933163</v>
      </c>
      <c r="T198" s="3"/>
      <c r="U198" s="3"/>
      <c r="V198" s="3">
        <f t="shared" si="91"/>
        <v>2532.1236787933731</v>
      </c>
      <c r="W198" s="3">
        <f t="shared" si="98"/>
        <v>470975.00425556739</v>
      </c>
      <c r="X198" s="3">
        <f t="shared" si="92"/>
        <v>38.439999999999991</v>
      </c>
      <c r="Y198" s="3">
        <f t="shared" si="93"/>
        <v>38.440000000000005</v>
      </c>
      <c r="Z198" s="3">
        <f t="shared" si="99"/>
        <v>97334.834212817266</v>
      </c>
    </row>
    <row r="199" spans="1:26" x14ac:dyDescent="0.45">
      <c r="A199">
        <f t="shared" si="102"/>
        <v>187</v>
      </c>
      <c r="B199" s="3">
        <f t="shared" si="81"/>
        <v>25.737081414967541</v>
      </c>
      <c r="C199" s="3">
        <f t="shared" si="103"/>
        <v>4812.8342245989306</v>
      </c>
      <c r="D199" s="3">
        <f t="shared" si="82"/>
        <v>3.9712949427520884E-3</v>
      </c>
      <c r="E199" s="3">
        <f t="shared" si="83"/>
        <v>38.854444444444447</v>
      </c>
      <c r="F199" s="3"/>
      <c r="G199" s="3">
        <f t="shared" si="84"/>
        <v>47605286.518131979</v>
      </c>
      <c r="H199" s="3">
        <f t="shared" si="85"/>
        <v>481283.42245989305</v>
      </c>
      <c r="I199" s="3">
        <f t="shared" si="95"/>
        <v>23807508.476341963</v>
      </c>
      <c r="J199" s="3">
        <f t="shared" si="86"/>
        <v>1.5878687957360336E-2</v>
      </c>
      <c r="K199" s="3">
        <f t="shared" si="96"/>
        <v>0.40867108472144759</v>
      </c>
      <c r="L199" s="3">
        <f t="shared" si="104"/>
        <v>0.40867108472144764</v>
      </c>
      <c r="O199" s="9">
        <f t="shared" si="87"/>
        <v>4.0867108474482373E-4</v>
      </c>
      <c r="P199" s="9">
        <f t="shared" si="97"/>
        <v>2445.9556015307639</v>
      </c>
      <c r="Q199" s="3">
        <f t="shared" si="88"/>
        <v>62977.495535408147</v>
      </c>
      <c r="R199" s="3">
        <f t="shared" si="89"/>
        <v>2445956.4183721808</v>
      </c>
      <c r="S199" s="3">
        <f t="shared" si="90"/>
        <v>2445956.4183721812</v>
      </c>
      <c r="T199" s="3"/>
      <c r="U199" s="3"/>
      <c r="V199" s="3">
        <f t="shared" si="91"/>
        <v>2545.7372469589291</v>
      </c>
      <c r="W199" s="3">
        <f t="shared" si="98"/>
        <v>476052.86518131971</v>
      </c>
      <c r="X199" s="3">
        <f t="shared" si="92"/>
        <v>38.854444444444439</v>
      </c>
      <c r="Y199" s="3">
        <f t="shared" si="93"/>
        <v>38.854444444444447</v>
      </c>
      <c r="Z199" s="3">
        <f t="shared" si="99"/>
        <v>98913.206432118663</v>
      </c>
    </row>
    <row r="200" spans="1:26" x14ac:dyDescent="0.45">
      <c r="A200">
        <f t="shared" si="102"/>
        <v>188</v>
      </c>
      <c r="B200" s="3">
        <f t="shared" si="81"/>
        <v>25.464010864644635</v>
      </c>
      <c r="C200" s="3">
        <f t="shared" si="103"/>
        <v>4787.2340425531911</v>
      </c>
      <c r="D200" s="3">
        <f t="shared" si="82"/>
        <v>3.8874710855042131E-3</v>
      </c>
      <c r="E200" s="3">
        <f t="shared" si="83"/>
        <v>39.271111111111111</v>
      </c>
      <c r="F200" s="3"/>
      <c r="G200" s="3">
        <f t="shared" si="84"/>
        <v>48115795.324340321</v>
      </c>
      <c r="H200" s="3">
        <f t="shared" si="85"/>
        <v>478723.40425531915</v>
      </c>
      <c r="I200" s="3">
        <f t="shared" si="95"/>
        <v>24062660.202505339</v>
      </c>
      <c r="J200" s="3">
        <f t="shared" si="86"/>
        <v>1.5543729609165459E-2</v>
      </c>
      <c r="K200" s="3">
        <f t="shared" si="96"/>
        <v>0.39580569964488777</v>
      </c>
      <c r="L200" s="3">
        <f t="shared" si="104"/>
        <v>0.39580569964488788</v>
      </c>
      <c r="O200" s="9">
        <f t="shared" si="87"/>
        <v>3.9580569966752801E-4</v>
      </c>
      <c r="P200" s="9">
        <f t="shared" si="97"/>
        <v>2525.4921673436938</v>
      </c>
      <c r="Q200" s="3">
        <f t="shared" si="88"/>
        <v>64334.623998679388</v>
      </c>
      <c r="R200" s="3">
        <f t="shared" si="89"/>
        <v>2525492.9584853593</v>
      </c>
      <c r="S200" s="3">
        <f t="shared" si="90"/>
        <v>2525492.9584853593</v>
      </c>
      <c r="T200" s="3"/>
      <c r="U200" s="3"/>
      <c r="V200" s="3">
        <f t="shared" si="91"/>
        <v>2559.3508151244851</v>
      </c>
      <c r="W200" s="3">
        <f t="shared" si="98"/>
        <v>481157.95324340317</v>
      </c>
      <c r="X200" s="3">
        <f t="shared" si="92"/>
        <v>39.271111111111118</v>
      </c>
      <c r="Y200" s="3">
        <f t="shared" si="93"/>
        <v>39.271111111111111</v>
      </c>
      <c r="Z200" s="3">
        <f t="shared" si="99"/>
        <v>100508.55023306645</v>
      </c>
    </row>
    <row r="201" spans="1:26" x14ac:dyDescent="0.45">
      <c r="A201">
        <f t="shared" si="102"/>
        <v>189</v>
      </c>
      <c r="B201" s="3">
        <f t="shared" si="81"/>
        <v>25.195263290501387</v>
      </c>
      <c r="C201" s="3">
        <f t="shared" si="103"/>
        <v>4761.9047619047624</v>
      </c>
      <c r="D201" s="3">
        <f t="shared" si="82"/>
        <v>3.8058472373527124E-3</v>
      </c>
      <c r="E201" s="3">
        <f t="shared" si="83"/>
        <v>39.69</v>
      </c>
      <c r="F201" s="3"/>
      <c r="G201" s="3">
        <f t="shared" si="84"/>
        <v>48629026.844181769</v>
      </c>
      <c r="H201" s="3">
        <f t="shared" si="85"/>
        <v>476190.47619047621</v>
      </c>
      <c r="I201" s="3">
        <f t="shared" si="95"/>
        <v>24319175.979515675</v>
      </c>
      <c r="J201" s="3">
        <f t="shared" si="86"/>
        <v>1.5217552146307265E-2</v>
      </c>
      <c r="K201" s="3">
        <f t="shared" si="96"/>
        <v>0.38341023296314602</v>
      </c>
      <c r="L201" s="3">
        <f t="shared" si="104"/>
        <v>0.38341023296314608</v>
      </c>
      <c r="O201" s="9">
        <f t="shared" si="87"/>
        <v>3.8341023298507724E-4</v>
      </c>
      <c r="P201" s="9">
        <f t="shared" si="97"/>
        <v>2607.1724324737079</v>
      </c>
      <c r="Q201" s="3">
        <f t="shared" si="88"/>
        <v>65713.591143202517</v>
      </c>
      <c r="R201" s="3">
        <f t="shared" si="89"/>
        <v>2607173.198853388</v>
      </c>
      <c r="S201" s="3">
        <f t="shared" si="90"/>
        <v>2607173.1988533884</v>
      </c>
      <c r="T201" s="3"/>
      <c r="U201" s="3"/>
      <c r="V201" s="3">
        <f t="shared" si="91"/>
        <v>2572.9643832900406</v>
      </c>
      <c r="W201" s="3">
        <f t="shared" si="98"/>
        <v>486290.26844181767</v>
      </c>
      <c r="X201" s="3">
        <f t="shared" si="92"/>
        <v>39.690000000000005</v>
      </c>
      <c r="Y201" s="3">
        <f t="shared" si="93"/>
        <v>39.69</v>
      </c>
      <c r="Z201" s="3">
        <f t="shared" si="99"/>
        <v>102120.9563727817</v>
      </c>
    </row>
    <row r="202" spans="1:26" x14ac:dyDescent="0.45">
      <c r="A202">
        <f t="shared" si="102"/>
        <v>190</v>
      </c>
      <c r="B202" s="3">
        <f t="shared" si="81"/>
        <v>24.930747922437675</v>
      </c>
      <c r="C202" s="3">
        <f t="shared" si="103"/>
        <v>4736.8421052631584</v>
      </c>
      <c r="D202" s="3">
        <f t="shared" si="82"/>
        <v>3.7263544718502597E-3</v>
      </c>
      <c r="E202" s="3">
        <f t="shared" si="83"/>
        <v>40.111111111111114</v>
      </c>
      <c r="F202" s="3"/>
      <c r="G202" s="3">
        <f t="shared" si="84"/>
        <v>49144981.077656329</v>
      </c>
      <c r="H202" s="3">
        <f t="shared" si="85"/>
        <v>473684.21052631579</v>
      </c>
      <c r="I202" s="3">
        <f t="shared" si="95"/>
        <v>24577055.723013315</v>
      </c>
      <c r="J202" s="3">
        <f t="shared" si="86"/>
        <v>1.4899881043686751E-2</v>
      </c>
      <c r="K202" s="3">
        <f t="shared" si="96"/>
        <v>0.37146517837446197</v>
      </c>
      <c r="L202" s="3">
        <f t="shared" si="104"/>
        <v>0.37146517837446186</v>
      </c>
      <c r="O202" s="9">
        <f t="shared" si="87"/>
        <v>3.714651783957099E-4</v>
      </c>
      <c r="P202" s="9">
        <f t="shared" si="97"/>
        <v>2691.0423720974786</v>
      </c>
      <c r="Q202" s="3">
        <f t="shared" si="88"/>
        <v>67114.629775283407</v>
      </c>
      <c r="R202" s="3">
        <f t="shared" si="89"/>
        <v>2691043.1146140755</v>
      </c>
      <c r="S202" s="3">
        <f t="shared" si="90"/>
        <v>2691043.1146140755</v>
      </c>
      <c r="T202" s="3"/>
      <c r="U202" s="3"/>
      <c r="V202" s="3">
        <f t="shared" si="91"/>
        <v>2586.5779514555966</v>
      </c>
      <c r="W202" s="3">
        <f t="shared" si="98"/>
        <v>491449.81077656336</v>
      </c>
      <c r="X202" s="3">
        <f t="shared" si="92"/>
        <v>40.111111111111114</v>
      </c>
      <c r="Y202" s="3">
        <f t="shared" si="93"/>
        <v>40.111111111111114</v>
      </c>
      <c r="Z202" s="3">
        <f t="shared" si="99"/>
        <v>103750.5156083856</v>
      </c>
    </row>
    <row r="203" spans="1:26" x14ac:dyDescent="0.45">
      <c r="A203">
        <f t="shared" si="102"/>
        <v>191</v>
      </c>
      <c r="B203" s="3">
        <f t="shared" si="81"/>
        <v>24.670376360297141</v>
      </c>
      <c r="C203" s="3">
        <f t="shared" si="103"/>
        <v>4712.0418848167537</v>
      </c>
      <c r="D203" s="3">
        <f t="shared" si="82"/>
        <v>3.648926368828014E-3</v>
      </c>
      <c r="E203" s="3">
        <f t="shared" si="83"/>
        <v>40.534444444444439</v>
      </c>
      <c r="F203" s="3"/>
      <c r="G203" s="3">
        <f t="shared" si="84"/>
        <v>49663658.024764009</v>
      </c>
      <c r="H203" s="3">
        <f t="shared" si="85"/>
        <v>471204.1884816754</v>
      </c>
      <c r="I203" s="3">
        <f t="shared" si="95"/>
        <v>24836299.351703331</v>
      </c>
      <c r="J203" s="3">
        <f t="shared" si="86"/>
        <v>1.4590451722879583E-2</v>
      </c>
      <c r="K203" s="3">
        <f t="shared" si="96"/>
        <v>0.35995193527018515</v>
      </c>
      <c r="L203" s="3">
        <f t="shared" si="104"/>
        <v>0.35995193527018521</v>
      </c>
      <c r="O203" s="9">
        <f t="shared" si="87"/>
        <v>3.5995193529077453E-4</v>
      </c>
      <c r="P203" s="9">
        <f t="shared" si="97"/>
        <v>2777.1486969702919</v>
      </c>
      <c r="Q203" s="3">
        <f t="shared" si="88"/>
        <v>68537.973939126197</v>
      </c>
      <c r="R203" s="3">
        <f t="shared" si="89"/>
        <v>2777149.4164856421</v>
      </c>
      <c r="S203" s="3">
        <f t="shared" si="90"/>
        <v>2777149.4164856421</v>
      </c>
      <c r="T203" s="3"/>
      <c r="U203" s="3"/>
      <c r="V203" s="3">
        <f t="shared" si="91"/>
        <v>2600.1915196211526</v>
      </c>
      <c r="W203" s="3">
        <f t="shared" si="98"/>
        <v>496636.58024764014</v>
      </c>
      <c r="X203" s="3">
        <f t="shared" si="92"/>
        <v>40.534444444444453</v>
      </c>
      <c r="Y203" s="3">
        <f t="shared" si="93"/>
        <v>40.534444444444439</v>
      </c>
      <c r="Z203" s="3">
        <f t="shared" si="99"/>
        <v>105397.31869699917</v>
      </c>
    </row>
    <row r="204" spans="1:26" x14ac:dyDescent="0.45">
      <c r="A204">
        <f t="shared" si="102"/>
        <v>192</v>
      </c>
      <c r="B204" s="3">
        <f t="shared" si="81"/>
        <v>24.4140625</v>
      </c>
      <c r="C204" s="3">
        <f t="shared" si="103"/>
        <v>4687.5</v>
      </c>
      <c r="D204" s="3">
        <f t="shared" si="82"/>
        <v>3.5734989107832319E-3</v>
      </c>
      <c r="E204" s="3">
        <f t="shared" si="83"/>
        <v>40.96</v>
      </c>
      <c r="F204" s="3"/>
      <c r="G204" s="3">
        <f t="shared" si="84"/>
        <v>50185057.685504794</v>
      </c>
      <c r="H204" s="3">
        <f t="shared" si="85"/>
        <v>468750</v>
      </c>
      <c r="I204" s="3">
        <f t="shared" si="95"/>
        <v>25096906.787228998</v>
      </c>
      <c r="J204" s="3">
        <f t="shared" si="86"/>
        <v>1.4289009143268706E-2</v>
      </c>
      <c r="K204" s="3">
        <f t="shared" si="96"/>
        <v>0.34885276228683365</v>
      </c>
      <c r="L204" s="3">
        <f t="shared" si="104"/>
        <v>0.3488527622868336</v>
      </c>
      <c r="O204" s="9">
        <f t="shared" si="87"/>
        <v>3.4885276230678814E-4</v>
      </c>
      <c r="P204" s="9">
        <f t="shared" si="97"/>
        <v>2865.5388612304578</v>
      </c>
      <c r="Q204" s="3">
        <f t="shared" si="88"/>
        <v>69983.858916759229</v>
      </c>
      <c r="R204" s="3">
        <f t="shared" si="89"/>
        <v>2865539.558571043</v>
      </c>
      <c r="S204" s="3">
        <f t="shared" si="90"/>
        <v>2865539.558571043</v>
      </c>
      <c r="T204" s="3"/>
      <c r="U204" s="3"/>
      <c r="V204" s="3">
        <f t="shared" si="91"/>
        <v>2613.8050877867081</v>
      </c>
      <c r="W204" s="3">
        <f t="shared" si="98"/>
        <v>501850.57685504796</v>
      </c>
      <c r="X204" s="3">
        <f t="shared" si="92"/>
        <v>40.960000000000008</v>
      </c>
      <c r="Y204" s="3">
        <f t="shared" si="93"/>
        <v>40.96</v>
      </c>
      <c r="Z204" s="3">
        <f t="shared" si="99"/>
        <v>107061.45639574356</v>
      </c>
    </row>
    <row r="205" spans="1:26" x14ac:dyDescent="0.45">
      <c r="A205">
        <f t="shared" si="102"/>
        <v>193</v>
      </c>
      <c r="B205" s="3">
        <f t="shared" ref="B205:B268" si="107">REQD_MBPS*DIST_RINGS_EM^2/(IMPROVED_MBPS*IMPROVED_KM^2*A205^2)</f>
        <v>24.161722462347981</v>
      </c>
      <c r="C205" s="3">
        <f t="shared" si="103"/>
        <v>4663.2124352331602</v>
      </c>
      <c r="D205" s="3">
        <f t="shared" ref="D205:D268" si="108">IMPROVED_MBPS*IMPROVED_KM^2*B205^2/(4*PI()^2*AVG_SUN_DIST^2)</f>
        <v>3.5000103840609545E-3</v>
      </c>
      <c r="E205" s="3">
        <f t="shared" ref="E205:E268" si="109">IMPROVED_MBPS*IMPROVED_KM^2/(DIST_RINGS_EM/A205)^2</f>
        <v>41.387777777777778</v>
      </c>
      <c r="F205" s="3"/>
      <c r="G205" s="3">
        <f t="shared" ref="G205:G268" si="110">(2*PI()*AVG_SUN_DIST)/B205</f>
        <v>50709180.059878692</v>
      </c>
      <c r="H205" s="3">
        <f t="shared" ref="H205:H268" si="111">DIST_RINGS_EM/A205</f>
        <v>466321.24352331605</v>
      </c>
      <c r="I205" s="3">
        <f t="shared" si="95"/>
        <v>25358877.954051137</v>
      </c>
      <c r="J205" s="3">
        <f t="shared" ref="J205:J268" si="112">IMPROVED_MBPS*IMPROVED_KM^2/I205^2</f>
        <v>1.3995307411929836E-2</v>
      </c>
      <c r="K205" s="3">
        <f t="shared" si="96"/>
        <v>0.3381507334622903</v>
      </c>
      <c r="L205" s="3">
        <f t="shared" si="104"/>
        <v>0.33815073346229024</v>
      </c>
      <c r="O205" s="9">
        <f t="shared" ref="O205:O268" si="113">K205/$K$13</f>
        <v>3.3815073348163264E-4</v>
      </c>
      <c r="P205" s="9">
        <f t="shared" si="97"/>
        <v>2956.2610702449269</v>
      </c>
      <c r="Q205" s="3">
        <f t="shared" ref="Q205:Q268" si="114">B205*(1+P205)</f>
        <v>71452.521227964084</v>
      </c>
      <c r="R205" s="3">
        <f t="shared" ref="R205:R268" si="115">IMPROVED_MBPS*IMPROVED_KM^2/((PI()*AVG_SUN_DIST/Q205)^2+(DIST_RINGS_EM/A205)^2)*Q205</f>
        <v>2956261.7462034919</v>
      </c>
      <c r="S205" s="3">
        <f t="shared" ref="S205:S268" si="116">IMPROVED_MBPS*IMPROVED_KM^2*Q205^3*A205^2/((A205*PI()*AVG_SUN_DIST)^2+(DIST_RINGS_EM*Q205)^2)</f>
        <v>2956261.746203491</v>
      </c>
      <c r="T205" s="3"/>
      <c r="U205" s="3"/>
      <c r="V205" s="3">
        <f t="shared" ref="V205:V268" si="117">2*PI()*AVG_SUN_DIST*A205/DIST_RINGS_EM</f>
        <v>2627.4186559522636</v>
      </c>
      <c r="W205" s="3">
        <f t="shared" si="98"/>
        <v>507091.80059878685</v>
      </c>
      <c r="X205" s="3">
        <f t="shared" ref="X205:X268" si="118">IMPROVED_MBPS*IMPROVED_KM^2*V205^2/(4*PI()^2*AVG_SUN_DIST^2)</f>
        <v>41.387777777777771</v>
      </c>
      <c r="Y205" s="3">
        <f t="shared" ref="Y205:Y268" si="119">IMPROVED_MBPS*IMPROVED_KM^2/(DIST_RINGS_EM/A205)^2</f>
        <v>41.387777777777778</v>
      </c>
      <c r="Z205" s="3">
        <f t="shared" si="99"/>
        <v>108743.01946173985</v>
      </c>
    </row>
    <row r="206" spans="1:26" x14ac:dyDescent="0.45">
      <c r="A206">
        <f t="shared" si="102"/>
        <v>194</v>
      </c>
      <c r="B206" s="3">
        <f t="shared" si="107"/>
        <v>23.913274524391539</v>
      </c>
      <c r="C206" s="3">
        <f t="shared" si="103"/>
        <v>4639.1752577319585</v>
      </c>
      <c r="D206" s="3">
        <f t="shared" si="108"/>
        <v>3.4284012845845718E-3</v>
      </c>
      <c r="E206" s="3">
        <f t="shared" si="109"/>
        <v>41.817777777777771</v>
      </c>
      <c r="F206" s="3"/>
      <c r="G206" s="3">
        <f t="shared" si="110"/>
        <v>51236025.147885703</v>
      </c>
      <c r="H206" s="3">
        <f t="shared" si="111"/>
        <v>463917.5257731959</v>
      </c>
      <c r="I206" s="3">
        <f t="shared" ref="I206:I269" si="120">SQRT((G206/2)^2+H206^2)</f>
        <v>25622212.779332966</v>
      </c>
      <c r="J206" s="3">
        <f t="shared" si="112"/>
        <v>1.370910941132323E-2</v>
      </c>
      <c r="K206" s="3">
        <f t="shared" ref="K206:K269" si="121">J206*B206</f>
        <v>0.32782969683789209</v>
      </c>
      <c r="L206" s="3">
        <f t="shared" si="104"/>
        <v>0.3278296968378922</v>
      </c>
      <c r="O206" s="9">
        <f t="shared" si="113"/>
        <v>3.2782969685664408E-4</v>
      </c>
      <c r="P206" s="9">
        <f t="shared" ref="P206:P269" si="122">1/O206-1</f>
        <v>3049.3642884960718</v>
      </c>
      <c r="Q206" s="3">
        <f t="shared" si="114"/>
        <v>72944.19863020684</v>
      </c>
      <c r="R206" s="3">
        <f t="shared" si="115"/>
        <v>3049364.9438331667</v>
      </c>
      <c r="S206" s="3">
        <f t="shared" si="116"/>
        <v>3049364.9438331677</v>
      </c>
      <c r="T206" s="3"/>
      <c r="U206" s="3"/>
      <c r="V206" s="3">
        <f t="shared" si="117"/>
        <v>2641.0322241178196</v>
      </c>
      <c r="W206" s="3">
        <f t="shared" ref="W206:W269" si="123">V206*A206</f>
        <v>512360.25147885701</v>
      </c>
      <c r="X206" s="3">
        <f t="shared" si="118"/>
        <v>41.817777777777785</v>
      </c>
      <c r="Y206" s="3">
        <f t="shared" si="119"/>
        <v>41.817777777777771</v>
      </c>
      <c r="Z206" s="3">
        <f t="shared" ref="Z206:Z269" si="124">Y206*V206</f>
        <v>110442.09865210915</v>
      </c>
    </row>
    <row r="207" spans="1:26" x14ac:dyDescent="0.45">
      <c r="A207">
        <f t="shared" si="102"/>
        <v>195</v>
      </c>
      <c r="B207" s="3">
        <f t="shared" si="107"/>
        <v>23.668639053254438</v>
      </c>
      <c r="C207" s="3">
        <f t="shared" si="103"/>
        <v>4615.3846153846152</v>
      </c>
      <c r="D207" s="3">
        <f t="shared" si="108"/>
        <v>3.3586142279037855E-3</v>
      </c>
      <c r="E207" s="3">
        <f t="shared" si="109"/>
        <v>42.25</v>
      </c>
      <c r="F207" s="3"/>
      <c r="G207" s="3">
        <f t="shared" si="110"/>
        <v>51765592.949525818</v>
      </c>
      <c r="H207" s="3">
        <f t="shared" si="111"/>
        <v>461538.46153846156</v>
      </c>
      <c r="I207" s="3">
        <f t="shared" si="120"/>
        <v>25886911.19283022</v>
      </c>
      <c r="J207" s="3">
        <f t="shared" si="112"/>
        <v>1.3430186443896907E-2</v>
      </c>
      <c r="K207" s="3">
        <f t="shared" si="121"/>
        <v>0.31787423535850667</v>
      </c>
      <c r="L207" s="3">
        <f t="shared" si="104"/>
        <v>0.31787423535850673</v>
      </c>
      <c r="O207" s="9">
        <f t="shared" si="113"/>
        <v>3.1787423537668922E-4</v>
      </c>
      <c r="P207" s="9">
        <f t="shared" si="122"/>
        <v>3144.8982475096605</v>
      </c>
      <c r="Q207" s="3">
        <f t="shared" si="114"/>
        <v>74459.130118571848</v>
      </c>
      <c r="R207" s="3">
        <f t="shared" si="115"/>
        <v>3144898.8829551022</v>
      </c>
      <c r="S207" s="3">
        <f t="shared" si="116"/>
        <v>3144898.8829551036</v>
      </c>
      <c r="T207" s="3"/>
      <c r="U207" s="3"/>
      <c r="V207" s="3">
        <f t="shared" si="117"/>
        <v>2654.6457922833752</v>
      </c>
      <c r="W207" s="3">
        <f t="shared" si="123"/>
        <v>517655.92949525814</v>
      </c>
      <c r="X207" s="3">
        <f t="shared" si="118"/>
        <v>42.249999999999993</v>
      </c>
      <c r="Y207" s="3">
        <f t="shared" si="119"/>
        <v>42.25</v>
      </c>
      <c r="Z207" s="3">
        <f t="shared" si="124"/>
        <v>112158.7847239726</v>
      </c>
    </row>
    <row r="208" spans="1:26" x14ac:dyDescent="0.45">
      <c r="A208">
        <f t="shared" si="102"/>
        <v>196</v>
      </c>
      <c r="B208" s="3">
        <f t="shared" si="107"/>
        <v>23.4277384423157</v>
      </c>
      <c r="C208" s="3">
        <f t="shared" si="103"/>
        <v>4591.8367346938776</v>
      </c>
      <c r="D208" s="3">
        <f t="shared" si="108"/>
        <v>3.290593863341385E-3</v>
      </c>
      <c r="E208" s="3">
        <f t="shared" si="109"/>
        <v>42.684444444444445</v>
      </c>
      <c r="F208" s="3"/>
      <c r="G208" s="3">
        <f t="shared" si="110"/>
        <v>52297883.464799054</v>
      </c>
      <c r="H208" s="3">
        <f t="shared" si="111"/>
        <v>459183.67346938775</v>
      </c>
      <c r="I208" s="3">
        <f t="shared" si="120"/>
        <v>26152973.126786303</v>
      </c>
      <c r="J208" s="3">
        <f t="shared" si="112"/>
        <v>1.3158317892755497E-2</v>
      </c>
      <c r="K208" s="3">
        <f t="shared" si="121"/>
        <v>0.30826962993231849</v>
      </c>
      <c r="L208" s="3">
        <f t="shared" si="104"/>
        <v>0.3082696299323186</v>
      </c>
      <c r="O208" s="9">
        <f t="shared" si="113"/>
        <v>3.0826962994995164E-4</v>
      </c>
      <c r="P208" s="9">
        <f t="shared" si="122"/>
        <v>3242.9134538240191</v>
      </c>
      <c r="Q208" s="3">
        <f t="shared" si="114"/>
        <v>75997.555925698063</v>
      </c>
      <c r="R208" s="3">
        <f t="shared" si="115"/>
        <v>3242914.0700782775</v>
      </c>
      <c r="S208" s="3">
        <f t="shared" si="116"/>
        <v>3242914.0700782766</v>
      </c>
      <c r="T208" s="3"/>
      <c r="U208" s="3"/>
      <c r="V208" s="3">
        <f t="shared" si="117"/>
        <v>2668.2593604489311</v>
      </c>
      <c r="W208" s="3">
        <f t="shared" si="123"/>
        <v>522978.83464799053</v>
      </c>
      <c r="X208" s="3">
        <f t="shared" si="118"/>
        <v>42.684444444444445</v>
      </c>
      <c r="Y208" s="3">
        <f t="shared" si="119"/>
        <v>42.684444444444445</v>
      </c>
      <c r="Z208" s="3">
        <f t="shared" si="124"/>
        <v>113893.16843445126</v>
      </c>
    </row>
    <row r="209" spans="1:26" x14ac:dyDescent="0.45">
      <c r="A209">
        <f t="shared" si="102"/>
        <v>197</v>
      </c>
      <c r="B209" s="3">
        <f t="shared" si="107"/>
        <v>23.19049704965343</v>
      </c>
      <c r="C209" s="3">
        <f t="shared" si="103"/>
        <v>4568.5279187817259</v>
      </c>
      <c r="D209" s="3">
        <f t="shared" si="108"/>
        <v>3.2242867920323562E-3</v>
      </c>
      <c r="E209" s="3">
        <f t="shared" si="109"/>
        <v>43.121111111111105</v>
      </c>
      <c r="F209" s="3"/>
      <c r="G209" s="3">
        <f t="shared" si="110"/>
        <v>52832896.693705395</v>
      </c>
      <c r="H209" s="3">
        <f t="shared" si="111"/>
        <v>456852.7918781726</v>
      </c>
      <c r="I209" s="3">
        <f t="shared" si="120"/>
        <v>26420398.515832108</v>
      </c>
      <c r="J209" s="3">
        <f t="shared" si="112"/>
        <v>1.2893290897595038E-2</v>
      </c>
      <c r="K209" s="3">
        <f t="shared" si="121"/>
        <v>0.29900182452100116</v>
      </c>
      <c r="L209" s="3">
        <f t="shared" si="104"/>
        <v>0.29900182452100132</v>
      </c>
      <c r="O209" s="9">
        <f t="shared" si="113"/>
        <v>2.9900182453810415E-4</v>
      </c>
      <c r="P209" s="9">
        <f t="shared" si="122"/>
        <v>3343.4611970003621</v>
      </c>
      <c r="Q209" s="3">
        <f t="shared" si="114"/>
        <v>77559.717521717277</v>
      </c>
      <c r="R209" s="3">
        <f t="shared" si="115"/>
        <v>3343461.794735881</v>
      </c>
      <c r="S209" s="3">
        <f t="shared" si="116"/>
        <v>3343461.794735882</v>
      </c>
      <c r="T209" s="3"/>
      <c r="U209" s="3"/>
      <c r="V209" s="3">
        <f t="shared" si="117"/>
        <v>2681.8729286144871</v>
      </c>
      <c r="W209" s="3">
        <f t="shared" si="123"/>
        <v>528328.96693705395</v>
      </c>
      <c r="X209" s="3">
        <f t="shared" si="118"/>
        <v>43.121111111111119</v>
      </c>
      <c r="Y209" s="3">
        <f t="shared" si="119"/>
        <v>43.121111111111105</v>
      </c>
      <c r="Z209" s="3">
        <f t="shared" si="124"/>
        <v>115645.34054066624</v>
      </c>
    </row>
    <row r="210" spans="1:26" x14ac:dyDescent="0.45">
      <c r="A210">
        <f t="shared" ref="A210:A215" si="125">A209+1</f>
        <v>198</v>
      </c>
      <c r="B210" s="3">
        <f t="shared" si="107"/>
        <v>22.956841138659321</v>
      </c>
      <c r="C210" s="3">
        <f t="shared" ref="C210:C215" si="126">B210*A210</f>
        <v>4545.454545454546</v>
      </c>
      <c r="D210" s="3">
        <f t="shared" si="108"/>
        <v>3.1596414886602385E-3</v>
      </c>
      <c r="E210" s="3">
        <f t="shared" si="109"/>
        <v>43.56</v>
      </c>
      <c r="F210" s="3"/>
      <c r="G210" s="3">
        <f t="shared" si="110"/>
        <v>53370632.636244841</v>
      </c>
      <c r="H210" s="3">
        <f t="shared" si="111"/>
        <v>454545.45454545453</v>
      </c>
      <c r="I210" s="3">
        <f t="shared" si="120"/>
        <v>26689187.296890453</v>
      </c>
      <c r="J210" s="3">
        <f t="shared" si="112"/>
        <v>1.263490004514713E-2</v>
      </c>
      <c r="K210" s="3">
        <f t="shared" si="121"/>
        <v>0.29005739313928214</v>
      </c>
      <c r="L210" s="3">
        <f t="shared" si="104"/>
        <v>0.29005739313928219</v>
      </c>
      <c r="O210" s="9">
        <f t="shared" si="113"/>
        <v>2.9005739315587356E-4</v>
      </c>
      <c r="P210" s="9">
        <f t="shared" si="122"/>
        <v>3446.59355767433</v>
      </c>
      <c r="Q210" s="3">
        <f t="shared" si="114"/>
        <v>79145.857614194902</v>
      </c>
      <c r="R210" s="3">
        <f t="shared" si="115"/>
        <v>3446594.1375367814</v>
      </c>
      <c r="S210" s="3">
        <f t="shared" si="116"/>
        <v>3446594.1375367814</v>
      </c>
      <c r="T210" s="3"/>
      <c r="U210" s="3"/>
      <c r="V210" s="3">
        <f t="shared" si="117"/>
        <v>2695.4864967800427</v>
      </c>
      <c r="W210" s="3">
        <f t="shared" si="123"/>
        <v>533706.3263624484</v>
      </c>
      <c r="X210" s="3">
        <f t="shared" si="118"/>
        <v>43.56</v>
      </c>
      <c r="Y210" s="3">
        <f t="shared" si="119"/>
        <v>43.56</v>
      </c>
      <c r="Z210" s="3">
        <f t="shared" si="124"/>
        <v>117415.39179973866</v>
      </c>
    </row>
    <row r="211" spans="1:26" x14ac:dyDescent="0.45">
      <c r="A211">
        <f t="shared" si="125"/>
        <v>199</v>
      </c>
      <c r="B211" s="3">
        <f t="shared" si="107"/>
        <v>22.72669882073685</v>
      </c>
      <c r="C211" s="3">
        <f t="shared" si="126"/>
        <v>4522.6130653266327</v>
      </c>
      <c r="D211" s="3">
        <f t="shared" si="108"/>
        <v>3.0966082267063389E-3</v>
      </c>
      <c r="E211" s="3">
        <f t="shared" si="109"/>
        <v>44.001111111111115</v>
      </c>
      <c r="F211" s="3"/>
      <c r="G211" s="3">
        <f t="shared" si="110"/>
        <v>53911091.292417407</v>
      </c>
      <c r="H211" s="3">
        <f t="shared" si="111"/>
        <v>452261.30653266329</v>
      </c>
      <c r="I211" s="3">
        <f t="shared" si="120"/>
        <v>26959339.409084704</v>
      </c>
      <c r="J211" s="3">
        <f t="shared" si="112"/>
        <v>1.2382947073417052E-2</v>
      </c>
      <c r="K211" s="3">
        <f t="shared" si="121"/>
        <v>0.28142350865067411</v>
      </c>
      <c r="L211" s="3">
        <f t="shared" si="104"/>
        <v>0.28142350865067411</v>
      </c>
      <c r="O211" s="9">
        <f t="shared" si="113"/>
        <v>2.8142350866677167E-4</v>
      </c>
      <c r="P211" s="9">
        <f t="shared" si="122"/>
        <v>3552.3634156486955</v>
      </c>
      <c r="Q211" s="3">
        <f t="shared" si="114"/>
        <v>80756.22014807268</v>
      </c>
      <c r="R211" s="3">
        <f t="shared" si="115"/>
        <v>3552363.9782581702</v>
      </c>
      <c r="S211" s="3">
        <f t="shared" si="116"/>
        <v>3552363.9782581697</v>
      </c>
      <c r="T211" s="3"/>
      <c r="U211" s="3"/>
      <c r="V211" s="3">
        <f t="shared" si="117"/>
        <v>2709.1000649455982</v>
      </c>
      <c r="W211" s="3">
        <f t="shared" si="123"/>
        <v>539110.91292417399</v>
      </c>
      <c r="X211" s="3">
        <f t="shared" si="118"/>
        <v>44.001111111111108</v>
      </c>
      <c r="Y211" s="3">
        <f t="shared" si="119"/>
        <v>44.001111111111115</v>
      </c>
      <c r="Z211" s="3">
        <f t="shared" si="124"/>
        <v>119203.41296878961</v>
      </c>
    </row>
    <row r="212" spans="1:26" x14ac:dyDescent="0.45">
      <c r="A212">
        <f t="shared" si="125"/>
        <v>200</v>
      </c>
      <c r="B212" s="3">
        <f t="shared" si="107"/>
        <v>22.5</v>
      </c>
      <c r="C212" s="3">
        <f t="shared" si="126"/>
        <v>4500</v>
      </c>
      <c r="D212" s="3">
        <f t="shared" si="108"/>
        <v>3.0351390070374852E-3</v>
      </c>
      <c r="E212" s="3">
        <f t="shared" si="109"/>
        <v>44.444444444444443</v>
      </c>
      <c r="F212" s="3"/>
      <c r="G212" s="3">
        <f t="shared" si="110"/>
        <v>54454272.662223086</v>
      </c>
      <c r="H212" s="3">
        <f t="shared" si="111"/>
        <v>450000</v>
      </c>
      <c r="I212" s="3">
        <f t="shared" si="120"/>
        <v>27230854.793651521</v>
      </c>
      <c r="J212" s="3">
        <f t="shared" si="112"/>
        <v>1.2137240589038478E-2</v>
      </c>
      <c r="K212" s="3">
        <f t="shared" si="121"/>
        <v>0.27308791325336579</v>
      </c>
      <c r="L212" s="3">
        <f t="shared" si="104"/>
        <v>0.27308791325336573</v>
      </c>
      <c r="O212" s="9">
        <f t="shared" si="113"/>
        <v>2.7308791326898651E-4</v>
      </c>
      <c r="P212" s="9">
        <f t="shared" si="122"/>
        <v>3660.8244580272531</v>
      </c>
      <c r="Q212" s="3">
        <f t="shared" si="114"/>
        <v>82391.0503056132</v>
      </c>
      <c r="R212" s="3">
        <f t="shared" si="115"/>
        <v>3660825.0039793933</v>
      </c>
      <c r="S212" s="3">
        <f t="shared" si="116"/>
        <v>3660825.0039793923</v>
      </c>
      <c r="T212" s="3"/>
      <c r="U212" s="3"/>
      <c r="V212" s="3">
        <f t="shared" si="117"/>
        <v>2722.7136331111542</v>
      </c>
      <c r="W212" s="3">
        <f t="shared" si="123"/>
        <v>544542.72662223084</v>
      </c>
      <c r="X212" s="3">
        <f t="shared" si="118"/>
        <v>44.44444444444445</v>
      </c>
      <c r="Y212" s="3">
        <f t="shared" si="119"/>
        <v>44.444444444444443</v>
      </c>
      <c r="Z212" s="3">
        <f t="shared" si="124"/>
        <v>121009.49480494019</v>
      </c>
    </row>
    <row r="213" spans="1:26" x14ac:dyDescent="0.45">
      <c r="A213">
        <f t="shared" si="125"/>
        <v>201</v>
      </c>
      <c r="B213" s="3">
        <f t="shared" si="107"/>
        <v>22.27667631989307</v>
      </c>
      <c r="C213" s="3">
        <f t="shared" si="126"/>
        <v>4477.6119402985069</v>
      </c>
      <c r="D213" s="3">
        <f t="shared" si="108"/>
        <v>2.9751874896674487E-3</v>
      </c>
      <c r="E213" s="3">
        <f t="shared" si="109"/>
        <v>44.89</v>
      </c>
      <c r="F213" s="3"/>
      <c r="G213" s="3">
        <f t="shared" si="110"/>
        <v>55000176.745661877</v>
      </c>
      <c r="H213" s="3">
        <f t="shared" si="111"/>
        <v>447761.19402985077</v>
      </c>
      <c r="I213" s="3">
        <f t="shared" si="120"/>
        <v>27503733.393857468</v>
      </c>
      <c r="J213" s="3">
        <f t="shared" si="112"/>
        <v>1.1897595797103951E-2</v>
      </c>
      <c r="K213" s="3">
        <f t="shared" si="121"/>
        <v>0.26503889055700491</v>
      </c>
      <c r="L213" s="3">
        <f t="shared" si="104"/>
        <v>0.26503889055700491</v>
      </c>
      <c r="O213" s="9">
        <f t="shared" si="113"/>
        <v>2.6503889057216527E-4</v>
      </c>
      <c r="P213" s="9">
        <f t="shared" si="122"/>
        <v>3772.0311873899059</v>
      </c>
      <c r="Q213" s="3">
        <f t="shared" si="114"/>
        <v>84050.594506346752</v>
      </c>
      <c r="R213" s="3">
        <f t="shared" si="115"/>
        <v>3772031.7172569856</v>
      </c>
      <c r="S213" s="3">
        <f t="shared" si="116"/>
        <v>3772031.7172569856</v>
      </c>
      <c r="T213" s="3"/>
      <c r="U213" s="3"/>
      <c r="V213" s="3">
        <f t="shared" si="117"/>
        <v>2736.3272012767102</v>
      </c>
      <c r="W213" s="3">
        <f t="shared" si="123"/>
        <v>550001.76745661872</v>
      </c>
      <c r="X213" s="3">
        <f t="shared" si="118"/>
        <v>44.890000000000015</v>
      </c>
      <c r="Y213" s="3">
        <f t="shared" si="119"/>
        <v>44.89</v>
      </c>
      <c r="Z213" s="3">
        <f t="shared" si="124"/>
        <v>122833.72806531152</v>
      </c>
    </row>
    <row r="214" spans="1:26" x14ac:dyDescent="0.45">
      <c r="A214">
        <f t="shared" si="125"/>
        <v>202</v>
      </c>
      <c r="B214" s="3">
        <f t="shared" si="107"/>
        <v>22.056661111655721</v>
      </c>
      <c r="C214" s="3">
        <f t="shared" si="126"/>
        <v>4455.4455445544554</v>
      </c>
      <c r="D214" s="3">
        <f t="shared" si="108"/>
        <v>2.9167089285361161E-3</v>
      </c>
      <c r="E214" s="3">
        <f t="shared" si="109"/>
        <v>45.337777777777774</v>
      </c>
      <c r="F214" s="3"/>
      <c r="G214" s="3">
        <f t="shared" si="110"/>
        <v>55548803.542733766</v>
      </c>
      <c r="H214" s="3">
        <f t="shared" si="111"/>
        <v>445544.55445544556</v>
      </c>
      <c r="I214" s="3">
        <f t="shared" si="120"/>
        <v>27777975.154919278</v>
      </c>
      <c r="J214" s="3">
        <f t="shared" si="112"/>
        <v>1.1663834242864254E-2</v>
      </c>
      <c r="K214" s="3">
        <f t="shared" si="121"/>
        <v>0.25726523915738236</v>
      </c>
      <c r="L214" s="3">
        <f t="shared" ref="L214:L277" si="127">IMPROVED_MBPS*IMPROVED_KM^2*B214^3*A214^2/((A214*PI()*AVG_SUN_DIST)^2+(DIST_RINGS_EM*B214)^2)</f>
        <v>0.25726523915738236</v>
      </c>
      <c r="O214" s="9">
        <f t="shared" si="113"/>
        <v>2.5726523917209804E-4</v>
      </c>
      <c r="P214" s="9">
        <f t="shared" si="122"/>
        <v>3886.0389300089164</v>
      </c>
      <c r="Q214" s="3">
        <f t="shared" si="114"/>
        <v>85735.100407019534</v>
      </c>
      <c r="R214" s="3">
        <f t="shared" si="115"/>
        <v>3886039.4443408665</v>
      </c>
      <c r="S214" s="3">
        <f t="shared" si="116"/>
        <v>3886039.4443408661</v>
      </c>
      <c r="T214" s="3"/>
      <c r="U214" s="3"/>
      <c r="V214" s="3">
        <f t="shared" si="117"/>
        <v>2749.9407694422657</v>
      </c>
      <c r="W214" s="3">
        <f t="shared" si="123"/>
        <v>555488.03542733763</v>
      </c>
      <c r="X214" s="3">
        <f t="shared" si="118"/>
        <v>45.337777777777781</v>
      </c>
      <c r="Y214" s="3">
        <f t="shared" si="119"/>
        <v>45.337777777777774</v>
      </c>
      <c r="Z214" s="3">
        <f t="shared" si="124"/>
        <v>124676.20350702466</v>
      </c>
    </row>
    <row r="215" spans="1:26" x14ac:dyDescent="0.45">
      <c r="A215">
        <f t="shared" si="125"/>
        <v>203</v>
      </c>
      <c r="B215" s="3">
        <f t="shared" si="107"/>
        <v>21.839889344560653</v>
      </c>
      <c r="C215" s="3">
        <f t="shared" si="126"/>
        <v>4433.4975369458125</v>
      </c>
      <c r="D215" s="3">
        <f t="shared" si="108"/>
        <v>2.8596601091588248E-3</v>
      </c>
      <c r="E215" s="3">
        <f t="shared" si="109"/>
        <v>45.787777777777777</v>
      </c>
      <c r="F215" s="3"/>
      <c r="G215" s="3">
        <f t="shared" si="110"/>
        <v>56100153.053438783</v>
      </c>
      <c r="H215" s="3">
        <f t="shared" si="111"/>
        <v>443349.75369458128</v>
      </c>
      <c r="I215" s="3">
        <f t="shared" si="120"/>
        <v>28053580.0239277</v>
      </c>
      <c r="J215" s="3">
        <f t="shared" si="112"/>
        <v>1.1435783564721944E-2</v>
      </c>
      <c r="K215" s="3">
        <f t="shared" si="121"/>
        <v>0.24975624762187262</v>
      </c>
      <c r="L215" s="3">
        <f t="shared" si="127"/>
        <v>0.24975624762187276</v>
      </c>
      <c r="O215" s="9">
        <f t="shared" si="113"/>
        <v>2.4975624763615877E-4</v>
      </c>
      <c r="P215" s="9">
        <f t="shared" si="122"/>
        <v>4002.9038441063758</v>
      </c>
      <c r="Q215" s="3">
        <f t="shared" si="114"/>
        <v>87444.816901544269</v>
      </c>
      <c r="R215" s="3">
        <f t="shared" si="115"/>
        <v>4002904.3434317564</v>
      </c>
      <c r="S215" s="3">
        <f t="shared" si="116"/>
        <v>4002904.3434317573</v>
      </c>
      <c r="T215" s="3"/>
      <c r="U215" s="3"/>
      <c r="V215" s="3">
        <f t="shared" si="117"/>
        <v>2763.5543376078217</v>
      </c>
      <c r="W215" s="3">
        <f t="shared" si="123"/>
        <v>561001.5305343878</v>
      </c>
      <c r="X215" s="3">
        <f t="shared" si="118"/>
        <v>45.787777777777784</v>
      </c>
      <c r="Y215" s="3">
        <f t="shared" si="119"/>
        <v>45.787777777777777</v>
      </c>
      <c r="Z215" s="3">
        <f t="shared" si="124"/>
        <v>126537.0118872008</v>
      </c>
    </row>
    <row r="216" spans="1:26" x14ac:dyDescent="0.45">
      <c r="A216">
        <f t="shared" ref="A216:A279" si="128">A215+1</f>
        <v>204</v>
      </c>
      <c r="B216" s="3">
        <f t="shared" si="107"/>
        <v>21.626297577854672</v>
      </c>
      <c r="C216" s="3">
        <f t="shared" ref="C216:C279" si="129">B216*A216</f>
        <v>4411.7647058823532</v>
      </c>
      <c r="D216" s="3">
        <f t="shared" si="108"/>
        <v>2.8039992890062371E-3</v>
      </c>
      <c r="E216" s="3">
        <f t="shared" si="109"/>
        <v>46.24</v>
      </c>
      <c r="F216" s="3"/>
      <c r="G216" s="3">
        <f t="shared" si="110"/>
        <v>56654225.277776897</v>
      </c>
      <c r="H216" s="3">
        <f t="shared" si="111"/>
        <v>441176.4705882353</v>
      </c>
      <c r="I216" s="3">
        <f t="shared" si="120"/>
        <v>28330547.949774541</v>
      </c>
      <c r="J216" s="3">
        <f t="shared" si="112"/>
        <v>1.1213277257974876E-2</v>
      </c>
      <c r="K216" s="3">
        <f t="shared" si="121"/>
        <v>0.24250167080395496</v>
      </c>
      <c r="L216" s="3">
        <f t="shared" si="127"/>
        <v>0.24250167080395499</v>
      </c>
      <c r="O216" s="9">
        <f t="shared" si="113"/>
        <v>2.4250167081782615E-4</v>
      </c>
      <c r="P216" s="9">
        <f t="shared" si="122"/>
        <v>4122.6829281528007</v>
      </c>
      <c r="Q216" s="3">
        <f t="shared" si="114"/>
        <v>89179.994120951582</v>
      </c>
      <c r="R216" s="3">
        <f t="shared" si="115"/>
        <v>4122683.4129797355</v>
      </c>
      <c r="S216" s="3">
        <f t="shared" si="116"/>
        <v>4122683.4129797351</v>
      </c>
      <c r="T216" s="3"/>
      <c r="U216" s="3"/>
      <c r="V216" s="3">
        <f t="shared" si="117"/>
        <v>2777.1679057733777</v>
      </c>
      <c r="W216" s="3">
        <f t="shared" si="123"/>
        <v>566542.252777769</v>
      </c>
      <c r="X216" s="3">
        <f t="shared" si="118"/>
        <v>46.240000000000023</v>
      </c>
      <c r="Y216" s="3">
        <f t="shared" si="119"/>
        <v>46.24</v>
      </c>
      <c r="Z216" s="3">
        <f t="shared" si="124"/>
        <v>128416.24396296099</v>
      </c>
    </row>
    <row r="217" spans="1:26" x14ac:dyDescent="0.45">
      <c r="A217">
        <f t="shared" si="128"/>
        <v>205</v>
      </c>
      <c r="B217" s="3">
        <f t="shared" si="107"/>
        <v>21.415823914336706</v>
      </c>
      <c r="C217" s="3">
        <f t="shared" si="129"/>
        <v>4390.2439024390251</v>
      </c>
      <c r="D217" s="3">
        <f t="shared" si="108"/>
        <v>2.7496861404824975E-3</v>
      </c>
      <c r="E217" s="3">
        <f t="shared" si="109"/>
        <v>46.694444444444436</v>
      </c>
      <c r="F217" s="3"/>
      <c r="G217" s="3">
        <f t="shared" si="110"/>
        <v>57211020.215748124</v>
      </c>
      <c r="H217" s="3">
        <f t="shared" si="111"/>
        <v>439024.39024390245</v>
      </c>
      <c r="I217" s="3">
        <f t="shared" si="120"/>
        <v>28608878.883083031</v>
      </c>
      <c r="J217" s="3">
        <f t="shared" si="112"/>
        <v>1.0996154448793732E-2</v>
      </c>
      <c r="K217" s="3">
        <f t="shared" si="121"/>
        <v>0.23549170741021677</v>
      </c>
      <c r="L217" s="3">
        <f t="shared" si="127"/>
        <v>0.23549170741021686</v>
      </c>
      <c r="O217" s="9">
        <f t="shared" si="113"/>
        <v>2.3549170742368698E-4</v>
      </c>
      <c r="P217" s="9">
        <f t="shared" si="122"/>
        <v>4245.4340292069865</v>
      </c>
      <c r="Q217" s="3">
        <f t="shared" si="114"/>
        <v>90940.883433344148</v>
      </c>
      <c r="R217" s="3">
        <f t="shared" si="115"/>
        <v>4245434.5000240402</v>
      </c>
      <c r="S217" s="3">
        <f t="shared" si="116"/>
        <v>4245434.5000240393</v>
      </c>
      <c r="T217" s="3"/>
      <c r="U217" s="3"/>
      <c r="V217" s="3">
        <f t="shared" si="117"/>
        <v>2790.7814739389328</v>
      </c>
      <c r="W217" s="3">
        <f t="shared" si="123"/>
        <v>572110.20215748122</v>
      </c>
      <c r="X217" s="3">
        <f t="shared" si="118"/>
        <v>46.694444444444436</v>
      </c>
      <c r="Y217" s="3">
        <f t="shared" si="119"/>
        <v>46.694444444444436</v>
      </c>
      <c r="Z217" s="3">
        <f t="shared" si="124"/>
        <v>130313.99049142626</v>
      </c>
    </row>
    <row r="218" spans="1:26" x14ac:dyDescent="0.45">
      <c r="A218">
        <f t="shared" si="128"/>
        <v>206</v>
      </c>
      <c r="B218" s="3">
        <f t="shared" si="107"/>
        <v>21.208407955509472</v>
      </c>
      <c r="C218" s="3">
        <f t="shared" si="129"/>
        <v>4368.9320388349515</v>
      </c>
      <c r="D218" s="3">
        <f t="shared" si="108"/>
        <v>2.6966816963764901E-3</v>
      </c>
      <c r="E218" s="3">
        <f t="shared" si="109"/>
        <v>47.151111111111113</v>
      </c>
      <c r="F218" s="3"/>
      <c r="G218" s="3">
        <f t="shared" si="110"/>
        <v>57770537.867352471</v>
      </c>
      <c r="H218" s="3">
        <f t="shared" si="111"/>
        <v>436893.20388349512</v>
      </c>
      <c r="I218" s="3">
        <f t="shared" si="120"/>
        <v>28888572.776141107</v>
      </c>
      <c r="J218" s="3">
        <f t="shared" si="112"/>
        <v>1.0784259677944998E-2</v>
      </c>
      <c r="K218" s="3">
        <f t="shared" si="121"/>
        <v>0.2287169787480087</v>
      </c>
      <c r="L218" s="3">
        <f t="shared" si="127"/>
        <v>0.22871697874800878</v>
      </c>
      <c r="O218" s="9">
        <f t="shared" si="113"/>
        <v>2.2871697876109139E-4</v>
      </c>
      <c r="P218" s="9">
        <f t="shared" si="122"/>
        <v>4371.2158512969863</v>
      </c>
      <c r="Q218" s="3">
        <f t="shared" si="114"/>
        <v>92727.737443851627</v>
      </c>
      <c r="R218" s="3">
        <f t="shared" si="115"/>
        <v>4371216.3085740125</v>
      </c>
      <c r="S218" s="3">
        <f t="shared" si="116"/>
        <v>4371216.3085740125</v>
      </c>
      <c r="T218" s="3"/>
      <c r="U218" s="3"/>
      <c r="V218" s="3">
        <f t="shared" si="117"/>
        <v>2804.3950421044888</v>
      </c>
      <c r="W218" s="3">
        <f t="shared" si="123"/>
        <v>577705.37867352471</v>
      </c>
      <c r="X218" s="3">
        <f t="shared" si="118"/>
        <v>47.151111111111106</v>
      </c>
      <c r="Y218" s="3">
        <f t="shared" si="119"/>
        <v>47.151111111111113</v>
      </c>
      <c r="Z218" s="3">
        <f t="shared" si="124"/>
        <v>132230.34222971788</v>
      </c>
    </row>
    <row r="219" spans="1:26" x14ac:dyDescent="0.45">
      <c r="A219">
        <f t="shared" si="128"/>
        <v>207</v>
      </c>
      <c r="B219" s="3">
        <f t="shared" si="107"/>
        <v>21.003990758244065</v>
      </c>
      <c r="C219" s="3">
        <f t="shared" si="129"/>
        <v>4347.8260869565211</v>
      </c>
      <c r="D219" s="3">
        <f t="shared" si="108"/>
        <v>2.6449482976675779E-3</v>
      </c>
      <c r="E219" s="3">
        <f t="shared" si="109"/>
        <v>47.61</v>
      </c>
      <c r="F219" s="3"/>
      <c r="G219" s="3">
        <f t="shared" si="110"/>
        <v>58332778.23258993</v>
      </c>
      <c r="H219" s="3">
        <f t="shared" si="111"/>
        <v>434782.60869565216</v>
      </c>
      <c r="I219" s="3">
        <f t="shared" si="120"/>
        <v>29169629.582837585</v>
      </c>
      <c r="J219" s="3">
        <f t="shared" si="112"/>
        <v>1.0577442693795985E-2</v>
      </c>
      <c r="K219" s="3">
        <f t="shared" si="121"/>
        <v>0.22216850858634707</v>
      </c>
      <c r="L219" s="3">
        <f t="shared" si="127"/>
        <v>0.22216850858634715</v>
      </c>
      <c r="O219" s="9">
        <f t="shared" si="113"/>
        <v>2.221685085990552E-4</v>
      </c>
      <c r="P219" s="9">
        <f t="shared" si="122"/>
        <v>4500.0879638422912</v>
      </c>
      <c r="Q219" s="3">
        <f t="shared" si="114"/>
        <v>94540.809994587078</v>
      </c>
      <c r="R219" s="3">
        <f t="shared" si="115"/>
        <v>4500088.4080312289</v>
      </c>
      <c r="S219" s="3">
        <f t="shared" si="116"/>
        <v>4500088.4080312289</v>
      </c>
      <c r="T219" s="3"/>
      <c r="U219" s="3"/>
      <c r="V219" s="3">
        <f t="shared" si="117"/>
        <v>2818.0086102700448</v>
      </c>
      <c r="W219" s="3">
        <f t="shared" si="123"/>
        <v>583327.78232589923</v>
      </c>
      <c r="X219" s="3">
        <f t="shared" si="118"/>
        <v>47.610000000000014</v>
      </c>
      <c r="Y219" s="3">
        <f t="shared" si="119"/>
        <v>47.61</v>
      </c>
      <c r="Z219" s="3">
        <f t="shared" si="124"/>
        <v>134165.38993495682</v>
      </c>
    </row>
    <row r="220" spans="1:26" x14ac:dyDescent="0.45">
      <c r="A220">
        <f t="shared" si="128"/>
        <v>208</v>
      </c>
      <c r="B220" s="3">
        <f t="shared" si="107"/>
        <v>20.802514792899409</v>
      </c>
      <c r="C220" s="3">
        <f t="shared" si="129"/>
        <v>4326.9230769230771</v>
      </c>
      <c r="D220" s="3">
        <f t="shared" si="108"/>
        <v>2.5944495435734427E-3</v>
      </c>
      <c r="E220" s="3">
        <f t="shared" si="109"/>
        <v>48.071111111111115</v>
      </c>
      <c r="F220" s="3"/>
      <c r="G220" s="3">
        <f t="shared" si="110"/>
        <v>58897741.311460488</v>
      </c>
      <c r="H220" s="3">
        <f t="shared" si="111"/>
        <v>432692.30769230769</v>
      </c>
      <c r="I220" s="3">
        <f t="shared" si="120"/>
        <v>29452049.258601107</v>
      </c>
      <c r="J220" s="3">
        <f t="shared" si="112"/>
        <v>1.0375558254162561E-2</v>
      </c>
      <c r="K220" s="3">
        <f t="shared" si="121"/>
        <v>0.21583770406680625</v>
      </c>
      <c r="L220" s="3">
        <f t="shared" si="127"/>
        <v>0.21583770406680625</v>
      </c>
      <c r="O220" s="9">
        <f t="shared" si="113"/>
        <v>2.1583770407915224E-4</v>
      </c>
      <c r="P220" s="9">
        <f t="shared" si="122"/>
        <v>4632.1108101172113</v>
      </c>
      <c r="Q220" s="3">
        <f t="shared" si="114"/>
        <v>96380.356164605444</v>
      </c>
      <c r="R220" s="3">
        <f t="shared" si="115"/>
        <v>4632111.2416528547</v>
      </c>
      <c r="S220" s="3">
        <f t="shared" si="116"/>
        <v>4632111.2416528538</v>
      </c>
      <c r="T220" s="3"/>
      <c r="U220" s="3"/>
      <c r="V220" s="3">
        <f t="shared" si="117"/>
        <v>2831.6221784356003</v>
      </c>
      <c r="W220" s="3">
        <f t="shared" si="123"/>
        <v>588977.41311460489</v>
      </c>
      <c r="X220" s="3">
        <f t="shared" si="118"/>
        <v>48.071111111111115</v>
      </c>
      <c r="Y220" s="3">
        <f t="shared" si="119"/>
        <v>48.071111111111115</v>
      </c>
      <c r="Z220" s="3">
        <f t="shared" si="124"/>
        <v>136119.22436426426</v>
      </c>
    </row>
    <row r="221" spans="1:26" x14ac:dyDescent="0.45">
      <c r="A221">
        <f t="shared" si="128"/>
        <v>209</v>
      </c>
      <c r="B221" s="3">
        <f t="shared" si="107"/>
        <v>20.603923902841053</v>
      </c>
      <c r="C221" s="3">
        <f t="shared" si="129"/>
        <v>4306.2200956937804</v>
      </c>
      <c r="D221" s="3">
        <f t="shared" si="108"/>
        <v>2.5451502437335289E-3</v>
      </c>
      <c r="E221" s="3">
        <f t="shared" si="109"/>
        <v>48.534444444444446</v>
      </c>
      <c r="F221" s="3"/>
      <c r="G221" s="3">
        <f t="shared" si="110"/>
        <v>59465427.103964157</v>
      </c>
      <c r="H221" s="3">
        <f t="shared" si="111"/>
        <v>430622.00956937799</v>
      </c>
      <c r="I221" s="3">
        <f t="shared" si="120"/>
        <v>29735831.76034167</v>
      </c>
      <c r="J221" s="3">
        <f t="shared" si="112"/>
        <v>1.0178465936583033E-2</v>
      </c>
      <c r="K221" s="3">
        <f t="shared" si="121"/>
        <v>0.2097163376050166</v>
      </c>
      <c r="L221" s="3">
        <f t="shared" si="127"/>
        <v>0.2097163376050166</v>
      </c>
      <c r="O221" s="9">
        <f t="shared" si="113"/>
        <v>2.0971633761701245E-4</v>
      </c>
      <c r="P221" s="9">
        <f t="shared" si="122"/>
        <v>4767.3457157554267</v>
      </c>
      <c r="Q221" s="3">
        <f t="shared" si="114"/>
        <v>98246.632269862966</v>
      </c>
      <c r="R221" s="3">
        <f t="shared" si="115"/>
        <v>4767346.1350561483</v>
      </c>
      <c r="S221" s="3">
        <f t="shared" si="116"/>
        <v>4767346.1350561483</v>
      </c>
      <c r="T221" s="3"/>
      <c r="U221" s="3"/>
      <c r="V221" s="3">
        <f t="shared" si="117"/>
        <v>2845.2357466011563</v>
      </c>
      <c r="W221" s="3">
        <f t="shared" si="123"/>
        <v>594654.2710396417</v>
      </c>
      <c r="X221" s="3">
        <f t="shared" si="118"/>
        <v>48.534444444444453</v>
      </c>
      <c r="Y221" s="3">
        <f t="shared" si="119"/>
        <v>48.534444444444446</v>
      </c>
      <c r="Z221" s="3">
        <f t="shared" si="124"/>
        <v>138091.93627476125</v>
      </c>
    </row>
    <row r="222" spans="1:26" x14ac:dyDescent="0.45">
      <c r="A222">
        <f t="shared" si="128"/>
        <v>210</v>
      </c>
      <c r="B222" s="3">
        <f t="shared" si="107"/>
        <v>20.408163265306122</v>
      </c>
      <c r="C222" s="3">
        <f t="shared" si="129"/>
        <v>4285.7142857142853</v>
      </c>
      <c r="D222" s="3">
        <f t="shared" si="108"/>
        <v>2.4970163724271142E-3</v>
      </c>
      <c r="E222" s="3">
        <f t="shared" si="109"/>
        <v>49</v>
      </c>
      <c r="F222" s="3"/>
      <c r="G222" s="3">
        <f t="shared" si="110"/>
        <v>60035835.610100955</v>
      </c>
      <c r="H222" s="3">
        <f t="shared" si="111"/>
        <v>428571.42857142858</v>
      </c>
      <c r="I222" s="3">
        <f t="shared" si="120"/>
        <v>30020977.046394646</v>
      </c>
      <c r="J222" s="3">
        <f t="shared" si="112"/>
        <v>9.9860299566229653E-3</v>
      </c>
      <c r="K222" s="3">
        <f t="shared" si="121"/>
        <v>0.2037965297269993</v>
      </c>
      <c r="L222" s="3">
        <f t="shared" si="127"/>
        <v>0.20379652972699935</v>
      </c>
      <c r="O222" s="9">
        <f t="shared" si="113"/>
        <v>2.0379652973865654E-4</v>
      </c>
      <c r="P222" s="9">
        <f t="shared" si="122"/>
        <v>4905.8548972957215</v>
      </c>
      <c r="Q222" s="3">
        <f t="shared" si="114"/>
        <v>100139.89586317798</v>
      </c>
      <c r="R222" s="3">
        <f t="shared" si="115"/>
        <v>4905855.3047641665</v>
      </c>
      <c r="S222" s="3">
        <f t="shared" si="116"/>
        <v>4905855.3047641674</v>
      </c>
      <c r="T222" s="3"/>
      <c r="U222" s="3"/>
      <c r="V222" s="3">
        <f t="shared" si="117"/>
        <v>2858.8493147667123</v>
      </c>
      <c r="W222" s="3">
        <f t="shared" si="123"/>
        <v>600358.35610100953</v>
      </c>
      <c r="X222" s="3">
        <f t="shared" si="118"/>
        <v>49.000000000000014</v>
      </c>
      <c r="Y222" s="3">
        <f t="shared" si="119"/>
        <v>49</v>
      </c>
      <c r="Z222" s="3">
        <f t="shared" si="124"/>
        <v>140083.61642356889</v>
      </c>
    </row>
    <row r="223" spans="1:26" x14ac:dyDescent="0.45">
      <c r="A223">
        <f t="shared" si="128"/>
        <v>211</v>
      </c>
      <c r="B223" s="3">
        <f t="shared" si="107"/>
        <v>20.215179353563485</v>
      </c>
      <c r="C223" s="3">
        <f t="shared" si="129"/>
        <v>4265.4028436018953</v>
      </c>
      <c r="D223" s="3">
        <f t="shared" si="108"/>
        <v>2.4500150247302758E-3</v>
      </c>
      <c r="E223" s="3">
        <f t="shared" si="109"/>
        <v>49.467777777777776</v>
      </c>
      <c r="F223" s="3"/>
      <c r="G223" s="3">
        <f t="shared" si="110"/>
        <v>60608966.829870857</v>
      </c>
      <c r="H223" s="3">
        <f t="shared" si="111"/>
        <v>426540.28436018957</v>
      </c>
      <c r="I223" s="3">
        <f t="shared" si="120"/>
        <v>30307485.076467145</v>
      </c>
      <c r="J223" s="3">
        <f t="shared" si="112"/>
        <v>9.7981189938359387E-3</v>
      </c>
      <c r="K223" s="3">
        <f t="shared" si="121"/>
        <v>0.19807073278795051</v>
      </c>
      <c r="L223" s="3">
        <f t="shared" si="127"/>
        <v>0.19807073278795059</v>
      </c>
      <c r="O223" s="9">
        <f t="shared" si="113"/>
        <v>1.9807073279928025E-4</v>
      </c>
      <c r="P223" s="9">
        <f t="shared" si="122"/>
        <v>5047.7014707689004</v>
      </c>
      <c r="Q223" s="3">
        <f t="shared" si="114"/>
        <v>102060.40573419307</v>
      </c>
      <c r="R223" s="3">
        <f t="shared" si="115"/>
        <v>5047701.8667926509</v>
      </c>
      <c r="S223" s="3">
        <f t="shared" si="116"/>
        <v>5047701.8667926518</v>
      </c>
      <c r="T223" s="3"/>
      <c r="U223" s="3"/>
      <c r="V223" s="3">
        <f t="shared" si="117"/>
        <v>2872.4628829322678</v>
      </c>
      <c r="W223" s="3">
        <f t="shared" si="123"/>
        <v>606089.66829870851</v>
      </c>
      <c r="X223" s="3">
        <f t="shared" si="118"/>
        <v>49.467777777777783</v>
      </c>
      <c r="Y223" s="3">
        <f t="shared" si="119"/>
        <v>49.467777777777776</v>
      </c>
      <c r="Z223" s="3">
        <f t="shared" si="124"/>
        <v>142094.35556780832</v>
      </c>
    </row>
    <row r="224" spans="1:26" x14ac:dyDescent="0.45">
      <c r="A224">
        <f t="shared" si="128"/>
        <v>212</v>
      </c>
      <c r="B224" s="3">
        <f t="shared" si="107"/>
        <v>20.024919900320398</v>
      </c>
      <c r="C224" s="3">
        <f t="shared" si="129"/>
        <v>4245.2830188679245</v>
      </c>
      <c r="D224" s="3">
        <f t="shared" si="108"/>
        <v>2.4041143745209296E-3</v>
      </c>
      <c r="E224" s="3">
        <f t="shared" si="109"/>
        <v>49.937777777777775</v>
      </c>
      <c r="F224" s="3"/>
      <c r="G224" s="3">
        <f t="shared" si="110"/>
        <v>61184820.763273858</v>
      </c>
      <c r="H224" s="3">
        <f t="shared" si="111"/>
        <v>424528.30188679247</v>
      </c>
      <c r="I224" s="3">
        <f t="shared" si="120"/>
        <v>30595355.811586663</v>
      </c>
      <c r="J224" s="3">
        <f t="shared" si="112"/>
        <v>9.6146060250243484E-3</v>
      </c>
      <c r="K224" s="3">
        <f t="shared" si="121"/>
        <v>0.19253171552425047</v>
      </c>
      <c r="L224" s="3">
        <f t="shared" si="127"/>
        <v>0.19253171552425041</v>
      </c>
      <c r="O224" s="9">
        <f t="shared" si="113"/>
        <v>1.9253171553526335E-4</v>
      </c>
      <c r="P224" s="9">
        <f t="shared" si="122"/>
        <v>5192.9494603258954</v>
      </c>
      <c r="Q224" s="3">
        <f t="shared" si="114"/>
        <v>104008.42190933842</v>
      </c>
      <c r="R224" s="3">
        <f t="shared" si="115"/>
        <v>5192949.8452780992</v>
      </c>
      <c r="S224" s="3">
        <f t="shared" si="116"/>
        <v>5192949.8452780992</v>
      </c>
      <c r="T224" s="3"/>
      <c r="U224" s="3"/>
      <c r="V224" s="3">
        <f t="shared" si="117"/>
        <v>2886.0764510978233</v>
      </c>
      <c r="W224" s="3">
        <f t="shared" si="123"/>
        <v>611848.20763273851</v>
      </c>
      <c r="X224" s="3">
        <f t="shared" si="118"/>
        <v>49.937777777777782</v>
      </c>
      <c r="Y224" s="3">
        <f t="shared" si="119"/>
        <v>49.937777777777775</v>
      </c>
      <c r="Z224" s="3">
        <f t="shared" si="124"/>
        <v>144124.24446460063</v>
      </c>
    </row>
    <row r="225" spans="1:26" x14ac:dyDescent="0.45">
      <c r="A225">
        <f t="shared" si="128"/>
        <v>213</v>
      </c>
      <c r="B225" s="3">
        <f t="shared" si="107"/>
        <v>19.837333862328904</v>
      </c>
      <c r="C225" s="3">
        <f t="shared" si="129"/>
        <v>4225.352112676057</v>
      </c>
      <c r="D225" s="3">
        <f t="shared" si="108"/>
        <v>2.3592836342458032E-3</v>
      </c>
      <c r="E225" s="3">
        <f t="shared" si="109"/>
        <v>50.41</v>
      </c>
      <c r="F225" s="3"/>
      <c r="G225" s="3">
        <f t="shared" si="110"/>
        <v>61763397.41030997</v>
      </c>
      <c r="H225" s="3">
        <f t="shared" si="111"/>
        <v>422535.21126760566</v>
      </c>
      <c r="I225" s="3">
        <f t="shared" si="120"/>
        <v>30884589.214051917</v>
      </c>
      <c r="J225" s="3">
        <f t="shared" si="112"/>
        <v>9.4353681644624033E-3</v>
      </c>
      <c r="K225" s="3">
        <f t="shared" si="121"/>
        <v>0.18717254839243014</v>
      </c>
      <c r="L225" s="3">
        <f t="shared" si="127"/>
        <v>0.18717254839243017</v>
      </c>
      <c r="O225" s="9">
        <f t="shared" si="113"/>
        <v>1.8717254840313648E-4</v>
      </c>
      <c r="P225" s="9">
        <f t="shared" si="122"/>
        <v>5341.6638069070759</v>
      </c>
      <c r="Q225" s="3">
        <f t="shared" si="114"/>
        <v>105984.20565179679</v>
      </c>
      <c r="R225" s="3">
        <f t="shared" si="115"/>
        <v>5341664.1811470464</v>
      </c>
      <c r="S225" s="3">
        <f t="shared" si="116"/>
        <v>5341664.1811470473</v>
      </c>
      <c r="T225" s="3"/>
      <c r="U225" s="3"/>
      <c r="V225" s="3">
        <f t="shared" si="117"/>
        <v>2899.6900192633793</v>
      </c>
      <c r="W225" s="3">
        <f t="shared" si="123"/>
        <v>617633.97410309978</v>
      </c>
      <c r="X225" s="3">
        <f t="shared" si="118"/>
        <v>50.410000000000004</v>
      </c>
      <c r="Y225" s="3">
        <f t="shared" si="119"/>
        <v>50.41</v>
      </c>
      <c r="Z225" s="3">
        <f t="shared" si="124"/>
        <v>146173.37387106693</v>
      </c>
    </row>
    <row r="226" spans="1:26" x14ac:dyDescent="0.45">
      <c r="A226">
        <f t="shared" si="128"/>
        <v>214</v>
      </c>
      <c r="B226" s="3">
        <f t="shared" si="107"/>
        <v>19.652371386147262</v>
      </c>
      <c r="C226" s="3">
        <f t="shared" si="129"/>
        <v>4205.6074766355141</v>
      </c>
      <c r="D226" s="3">
        <f t="shared" si="108"/>
        <v>2.3154930163675775E-3</v>
      </c>
      <c r="E226" s="3">
        <f t="shared" si="109"/>
        <v>50.884444444444441</v>
      </c>
      <c r="F226" s="3"/>
      <c r="G226" s="3">
        <f t="shared" si="110"/>
        <v>62344696.770979211</v>
      </c>
      <c r="H226" s="3">
        <f t="shared" si="111"/>
        <v>420560.74766355142</v>
      </c>
      <c r="I226" s="3">
        <f t="shared" si="120"/>
        <v>31175185.247385647</v>
      </c>
      <c r="J226" s="3">
        <f t="shared" si="112"/>
        <v>9.2602865107606642E-3</v>
      </c>
      <c r="K226" s="3">
        <f t="shared" si="121"/>
        <v>0.18198658965159834</v>
      </c>
      <c r="L226" s="3">
        <f t="shared" si="127"/>
        <v>0.18198658965159845</v>
      </c>
      <c r="O226" s="9">
        <f t="shared" si="113"/>
        <v>1.8198658966200805E-4</v>
      </c>
      <c r="P226" s="9">
        <f t="shared" si="122"/>
        <v>5493.9103769526946</v>
      </c>
      <c r="Q226" s="3">
        <f t="shared" si="114"/>
        <v>107988.01946146881</v>
      </c>
      <c r="R226" s="3">
        <f t="shared" si="115"/>
        <v>5493910.7408264894</v>
      </c>
      <c r="S226" s="3">
        <f t="shared" si="116"/>
        <v>5493910.7408264885</v>
      </c>
      <c r="T226" s="3"/>
      <c r="U226" s="3"/>
      <c r="V226" s="3">
        <f t="shared" si="117"/>
        <v>2913.3035874289349</v>
      </c>
      <c r="W226" s="3">
        <f t="shared" si="123"/>
        <v>623446.96770979208</v>
      </c>
      <c r="X226" s="3">
        <f t="shared" si="118"/>
        <v>50.884444444444441</v>
      </c>
      <c r="Y226" s="3">
        <f t="shared" si="119"/>
        <v>50.884444444444441</v>
      </c>
      <c r="Z226" s="3">
        <f t="shared" si="124"/>
        <v>148241.83454432833</v>
      </c>
    </row>
    <row r="227" spans="1:26" x14ac:dyDescent="0.45">
      <c r="A227">
        <f t="shared" si="128"/>
        <v>215</v>
      </c>
      <c r="B227" s="3">
        <f t="shared" si="107"/>
        <v>19.469983775013521</v>
      </c>
      <c r="C227" s="3">
        <f t="shared" si="129"/>
        <v>4186.0465116279074</v>
      </c>
      <c r="D227" s="3">
        <f t="shared" si="108"/>
        <v>2.2727136964146091E-3</v>
      </c>
      <c r="E227" s="3">
        <f t="shared" si="109"/>
        <v>51.361111111111107</v>
      </c>
      <c r="F227" s="3"/>
      <c r="G227" s="3">
        <f t="shared" si="110"/>
        <v>62928718.845281549</v>
      </c>
      <c r="H227" s="3">
        <f t="shared" si="111"/>
        <v>418604.65116279072</v>
      </c>
      <c r="I227" s="3">
        <f t="shared" si="120"/>
        <v>31467143.876289412</v>
      </c>
      <c r="J227" s="3">
        <f t="shared" si="112"/>
        <v>9.0892460000673511E-3</v>
      </c>
      <c r="K227" s="3">
        <f t="shared" si="121"/>
        <v>0.17696747214841788</v>
      </c>
      <c r="L227" s="3">
        <f t="shared" si="127"/>
        <v>0.17696747214841785</v>
      </c>
      <c r="O227" s="9">
        <f t="shared" si="113"/>
        <v>1.769674721585405E-4</v>
      </c>
      <c r="P227" s="9">
        <f t="shared" si="122"/>
        <v>5649.7559711545537</v>
      </c>
      <c r="Q227" s="3">
        <f t="shared" si="114"/>
        <v>110020.12707493993</v>
      </c>
      <c r="R227" s="3">
        <f t="shared" si="115"/>
        <v>5649756.3249955159</v>
      </c>
      <c r="S227" s="3">
        <f t="shared" si="116"/>
        <v>5649756.3249955149</v>
      </c>
      <c r="T227" s="3"/>
      <c r="U227" s="3"/>
      <c r="V227" s="3">
        <f t="shared" si="117"/>
        <v>2926.9171555944909</v>
      </c>
      <c r="W227" s="3">
        <f t="shared" si="123"/>
        <v>629287.18845281552</v>
      </c>
      <c r="X227" s="3">
        <f t="shared" si="118"/>
        <v>51.361111111111114</v>
      </c>
      <c r="Y227" s="3">
        <f t="shared" si="119"/>
        <v>51.361111111111107</v>
      </c>
      <c r="Z227" s="3">
        <f t="shared" si="124"/>
        <v>150329.71724150592</v>
      </c>
    </row>
    <row r="228" spans="1:26" x14ac:dyDescent="0.45">
      <c r="A228">
        <f t="shared" si="128"/>
        <v>216</v>
      </c>
      <c r="B228" s="3">
        <f t="shared" si="107"/>
        <v>19.290123456790123</v>
      </c>
      <c r="C228" s="3">
        <f t="shared" si="129"/>
        <v>4166.666666666667</v>
      </c>
      <c r="D228" s="3">
        <f t="shared" si="108"/>
        <v>2.2309177775595361E-3</v>
      </c>
      <c r="E228" s="3">
        <f t="shared" si="109"/>
        <v>51.839999999999996</v>
      </c>
      <c r="F228" s="3"/>
      <c r="G228" s="3">
        <f t="shared" si="110"/>
        <v>63515463.633217007</v>
      </c>
      <c r="H228" s="3">
        <f t="shared" si="111"/>
        <v>416666.66666666669</v>
      </c>
      <c r="I228" s="3">
        <f t="shared" si="120"/>
        <v>31760465.066600319</v>
      </c>
      <c r="J228" s="3">
        <f t="shared" si="112"/>
        <v>8.9221352653170646E-3</v>
      </c>
      <c r="K228" s="3">
        <f t="shared" si="121"/>
        <v>0.17210909076614708</v>
      </c>
      <c r="L228" s="3">
        <f t="shared" si="127"/>
        <v>0.17210909076614711</v>
      </c>
      <c r="O228" s="9">
        <f t="shared" si="113"/>
        <v>1.721090907759918E-4</v>
      </c>
      <c r="P228" s="9">
        <f t="shared" si="122"/>
        <v>5809.2683332488677</v>
      </c>
      <c r="Q228" s="3">
        <f t="shared" si="114"/>
        <v>112080.79346544883</v>
      </c>
      <c r="R228" s="3">
        <f t="shared" si="115"/>
        <v>5809268.6773781534</v>
      </c>
      <c r="S228" s="3">
        <f t="shared" si="116"/>
        <v>5809268.6773781544</v>
      </c>
      <c r="T228" s="3"/>
      <c r="U228" s="3"/>
      <c r="V228" s="3">
        <f t="shared" si="117"/>
        <v>2940.5307237600468</v>
      </c>
      <c r="W228" s="3">
        <f t="shared" si="123"/>
        <v>635154.63633217011</v>
      </c>
      <c r="X228" s="3">
        <f t="shared" si="118"/>
        <v>51.84</v>
      </c>
      <c r="Y228" s="3">
        <f t="shared" si="119"/>
        <v>51.839999999999996</v>
      </c>
      <c r="Z228" s="3">
        <f t="shared" si="124"/>
        <v>152437.11271972081</v>
      </c>
    </row>
    <row r="229" spans="1:26" x14ac:dyDescent="0.45">
      <c r="A229">
        <f t="shared" si="128"/>
        <v>217</v>
      </c>
      <c r="B229" s="3">
        <f t="shared" si="107"/>
        <v>19.112743952940178</v>
      </c>
      <c r="C229" s="3">
        <f t="shared" si="129"/>
        <v>4147.4654377880188</v>
      </c>
      <c r="D229" s="3">
        <f t="shared" si="108"/>
        <v>2.1900782566568202E-3</v>
      </c>
      <c r="E229" s="3">
        <f t="shared" si="109"/>
        <v>52.321111111111108</v>
      </c>
      <c r="F229" s="3"/>
      <c r="G229" s="3">
        <f t="shared" si="110"/>
        <v>64104931.13478557</v>
      </c>
      <c r="H229" s="3">
        <f t="shared" si="111"/>
        <v>414746.54377880186</v>
      </c>
      <c r="I229" s="3">
        <f t="shared" si="120"/>
        <v>32055148.785249408</v>
      </c>
      <c r="J229" s="3">
        <f t="shared" si="112"/>
        <v>8.7588465012520753E-3</v>
      </c>
      <c r="K229" s="3">
        <f t="shared" si="121"/>
        <v>0.16740559050153683</v>
      </c>
      <c r="L229" s="3">
        <f t="shared" si="127"/>
        <v>0.16740559050153692</v>
      </c>
      <c r="O229" s="9">
        <f t="shared" si="113"/>
        <v>1.674055905111125E-4</v>
      </c>
      <c r="P229" s="9">
        <f t="shared" si="122"/>
        <v>5972.5161588502579</v>
      </c>
      <c r="Q229" s="3">
        <f t="shared" si="114"/>
        <v>114170.2848428557</v>
      </c>
      <c r="R229" s="3">
        <f t="shared" si="115"/>
        <v>5972516.4935773304</v>
      </c>
      <c r="S229" s="3">
        <f t="shared" si="116"/>
        <v>5972516.4935773304</v>
      </c>
      <c r="T229" s="3"/>
      <c r="U229" s="3"/>
      <c r="V229" s="3">
        <f t="shared" si="117"/>
        <v>2954.1442919256024</v>
      </c>
      <c r="W229" s="3">
        <f t="shared" si="123"/>
        <v>641049.31134785572</v>
      </c>
      <c r="X229" s="3">
        <f t="shared" si="118"/>
        <v>52.321111111111115</v>
      </c>
      <c r="Y229" s="3">
        <f t="shared" si="119"/>
        <v>52.321111111111108</v>
      </c>
      <c r="Z229" s="3">
        <f t="shared" si="124"/>
        <v>154564.11173609408</v>
      </c>
    </row>
    <row r="230" spans="1:26" x14ac:dyDescent="0.45">
      <c r="A230">
        <f t="shared" si="128"/>
        <v>218</v>
      </c>
      <c r="B230" s="3">
        <f t="shared" si="107"/>
        <v>18.937799848497601</v>
      </c>
      <c r="C230" s="3">
        <f t="shared" si="129"/>
        <v>4128.440366972477</v>
      </c>
      <c r="D230" s="3">
        <f t="shared" si="108"/>
        <v>2.1501689916727414E-3</v>
      </c>
      <c r="E230" s="3">
        <f t="shared" si="109"/>
        <v>52.804444444444442</v>
      </c>
      <c r="F230" s="3"/>
      <c r="G230" s="3">
        <f t="shared" si="110"/>
        <v>64697121.349987246</v>
      </c>
      <c r="H230" s="3">
        <f t="shared" si="111"/>
        <v>412844.03669724771</v>
      </c>
      <c r="I230" s="3">
        <f t="shared" si="120"/>
        <v>32351195.000221867</v>
      </c>
      <c r="J230" s="3">
        <f t="shared" si="112"/>
        <v>8.599275334954708E-3</v>
      </c>
      <c r="K230" s="3">
        <f t="shared" si="121"/>
        <v>0.16285135513549442</v>
      </c>
      <c r="L230" s="3">
        <f t="shared" si="127"/>
        <v>0.16285135513549448</v>
      </c>
      <c r="O230" s="9">
        <f t="shared" si="113"/>
        <v>1.6285135514480957E-4</v>
      </c>
      <c r="P230" s="9">
        <f t="shared" si="122"/>
        <v>6139.5691043269908</v>
      </c>
      <c r="Q230" s="3">
        <f t="shared" si="114"/>
        <v>116288.86865361274</v>
      </c>
      <c r="R230" s="3">
        <f t="shared" si="115"/>
        <v>6139569.4299501032</v>
      </c>
      <c r="S230" s="3">
        <f t="shared" si="116"/>
        <v>6139569.4299501041</v>
      </c>
      <c r="T230" s="3"/>
      <c r="U230" s="3"/>
      <c r="V230" s="3">
        <f t="shared" si="117"/>
        <v>2967.7578600911579</v>
      </c>
      <c r="W230" s="3">
        <f t="shared" si="123"/>
        <v>646971.21349987248</v>
      </c>
      <c r="X230" s="3">
        <f t="shared" si="118"/>
        <v>52.804444444444449</v>
      </c>
      <c r="Y230" s="3">
        <f t="shared" si="119"/>
        <v>52.804444444444442</v>
      </c>
      <c r="Z230" s="3">
        <f t="shared" si="124"/>
        <v>156710.80504774686</v>
      </c>
    </row>
    <row r="231" spans="1:26" x14ac:dyDescent="0.45">
      <c r="A231">
        <f t="shared" si="128"/>
        <v>219</v>
      </c>
      <c r="B231" s="3">
        <f t="shared" si="107"/>
        <v>18.765246762994934</v>
      </c>
      <c r="C231" s="3">
        <f t="shared" si="129"/>
        <v>4109.5890410958909</v>
      </c>
      <c r="D231" s="3">
        <f t="shared" si="108"/>
        <v>2.1111646704447297E-3</v>
      </c>
      <c r="E231" s="3">
        <f t="shared" si="109"/>
        <v>53.29</v>
      </c>
      <c r="F231" s="3"/>
      <c r="G231" s="3">
        <f t="shared" si="110"/>
        <v>65292034.278822035</v>
      </c>
      <c r="H231" s="3">
        <f t="shared" si="111"/>
        <v>410958.90410958906</v>
      </c>
      <c r="I231" s="3">
        <f t="shared" si="120"/>
        <v>32648603.680518787</v>
      </c>
      <c r="J231" s="3">
        <f t="shared" si="112"/>
        <v>8.4433207016425659E-3</v>
      </c>
      <c r="K231" s="3">
        <f t="shared" si="121"/>
        <v>0.15844099646542628</v>
      </c>
      <c r="L231" s="3">
        <f t="shared" si="127"/>
        <v>0.15844099646542634</v>
      </c>
      <c r="O231" s="9">
        <f t="shared" si="113"/>
        <v>1.5844099647448917E-4</v>
      </c>
      <c r="P231" s="9">
        <f t="shared" si="122"/>
        <v>6310.4977957173578</v>
      </c>
      <c r="Q231" s="3">
        <f t="shared" si="114"/>
        <v>118436.81358073482</v>
      </c>
      <c r="R231" s="3">
        <f t="shared" si="115"/>
        <v>6310498.1125240037</v>
      </c>
      <c r="S231" s="3">
        <f t="shared" si="116"/>
        <v>6310498.1125240037</v>
      </c>
      <c r="T231" s="3"/>
      <c r="U231" s="3"/>
      <c r="V231" s="3">
        <f t="shared" si="117"/>
        <v>2981.3714282567139</v>
      </c>
      <c r="W231" s="3">
        <f t="shared" si="123"/>
        <v>652920.34278822038</v>
      </c>
      <c r="X231" s="3">
        <f t="shared" si="118"/>
        <v>53.29</v>
      </c>
      <c r="Y231" s="3">
        <f t="shared" si="119"/>
        <v>53.29</v>
      </c>
      <c r="Z231" s="3">
        <f t="shared" si="124"/>
        <v>158877.28341180028</v>
      </c>
    </row>
    <row r="232" spans="1:26" x14ac:dyDescent="0.45">
      <c r="A232">
        <f t="shared" si="128"/>
        <v>220</v>
      </c>
      <c r="B232" s="3">
        <f t="shared" si="107"/>
        <v>18.595041322314049</v>
      </c>
      <c r="C232" s="3">
        <f t="shared" si="129"/>
        <v>4090.909090909091</v>
      </c>
      <c r="D232" s="3">
        <f t="shared" si="108"/>
        <v>2.0730407807099823E-3</v>
      </c>
      <c r="E232" s="3">
        <f t="shared" si="109"/>
        <v>53.777777777777764</v>
      </c>
      <c r="F232" s="3"/>
      <c r="G232" s="3">
        <f t="shared" si="110"/>
        <v>65889669.921289936</v>
      </c>
      <c r="H232" s="3">
        <f t="shared" si="111"/>
        <v>409090.90909090912</v>
      </c>
      <c r="I232" s="3">
        <f t="shared" si="120"/>
        <v>32947374.796120491</v>
      </c>
      <c r="J232" s="3">
        <f t="shared" si="112"/>
        <v>8.2908847254903658E-3</v>
      </c>
      <c r="K232" s="3">
        <f t="shared" si="121"/>
        <v>0.15416934406903574</v>
      </c>
      <c r="L232" s="3">
        <f t="shared" si="127"/>
        <v>0.15416934406903574</v>
      </c>
      <c r="O232" s="9">
        <f t="shared" si="113"/>
        <v>1.5416934407785427E-4</v>
      </c>
      <c r="P232" s="9">
        <f t="shared" si="122"/>
        <v>6485.3738376872652</v>
      </c>
      <c r="Q232" s="3">
        <f t="shared" si="114"/>
        <v>120614.38954377145</v>
      </c>
      <c r="R232" s="3">
        <f t="shared" si="115"/>
        <v>6485374.145954608</v>
      </c>
      <c r="S232" s="3">
        <f t="shared" si="116"/>
        <v>6485374.1459546089</v>
      </c>
      <c r="T232" s="3"/>
      <c r="U232" s="3"/>
      <c r="V232" s="3">
        <f t="shared" si="117"/>
        <v>2994.9849964222699</v>
      </c>
      <c r="W232" s="3">
        <f t="shared" si="123"/>
        <v>658896.69921289943</v>
      </c>
      <c r="X232" s="3">
        <f t="shared" si="118"/>
        <v>53.777777777777793</v>
      </c>
      <c r="Y232" s="3">
        <f t="shared" si="119"/>
        <v>53.777777777777764</v>
      </c>
      <c r="Z232" s="3">
        <f t="shared" si="124"/>
        <v>161063.63758537537</v>
      </c>
    </row>
    <row r="233" spans="1:26" x14ac:dyDescent="0.45">
      <c r="A233">
        <f t="shared" si="128"/>
        <v>221</v>
      </c>
      <c r="B233" s="3">
        <f t="shared" si="107"/>
        <v>18.427141131426467</v>
      </c>
      <c r="C233" s="3">
        <f t="shared" si="129"/>
        <v>4072.3981900452491</v>
      </c>
      <c r="D233" s="3">
        <f t="shared" si="108"/>
        <v>2.0357735813463585E-3</v>
      </c>
      <c r="E233" s="3">
        <f t="shared" si="109"/>
        <v>54.267777777777773</v>
      </c>
      <c r="F233" s="3"/>
      <c r="G233" s="3">
        <f t="shared" si="110"/>
        <v>66490028.277390935</v>
      </c>
      <c r="H233" s="3">
        <f t="shared" si="111"/>
        <v>407239.81900452491</v>
      </c>
      <c r="I233" s="3">
        <f t="shared" si="120"/>
        <v>33247508.317951351</v>
      </c>
      <c r="J233" s="3">
        <f t="shared" si="112"/>
        <v>8.1418726052538051E-3</v>
      </c>
      <c r="K233" s="3">
        <f t="shared" si="121"/>
        <v>0.15003143557110676</v>
      </c>
      <c r="L233" s="3">
        <f t="shared" si="127"/>
        <v>0.15003143557110676</v>
      </c>
      <c r="O233" s="9">
        <f t="shared" si="113"/>
        <v>1.5003143557968862E-4</v>
      </c>
      <c r="P233" s="9">
        <f t="shared" si="122"/>
        <v>6664.2698225289851</v>
      </c>
      <c r="Q233" s="3">
        <f t="shared" si="114"/>
        <v>122821.86769877945</v>
      </c>
      <c r="R233" s="3">
        <f t="shared" si="115"/>
        <v>6664270.1225242876</v>
      </c>
      <c r="S233" s="3">
        <f t="shared" si="116"/>
        <v>6664270.1225242876</v>
      </c>
      <c r="T233" s="3"/>
      <c r="U233" s="3"/>
      <c r="V233" s="3">
        <f t="shared" si="117"/>
        <v>3008.5985645878254</v>
      </c>
      <c r="W233" s="3">
        <f t="shared" si="123"/>
        <v>664900.28277390939</v>
      </c>
      <c r="X233" s="3">
        <f t="shared" si="118"/>
        <v>54.267777777777788</v>
      </c>
      <c r="Y233" s="3">
        <f t="shared" si="119"/>
        <v>54.267777777777773</v>
      </c>
      <c r="Z233" s="3">
        <f t="shared" si="124"/>
        <v>163269.9583255933</v>
      </c>
    </row>
    <row r="234" spans="1:26" x14ac:dyDescent="0.45">
      <c r="A234">
        <f t="shared" si="128"/>
        <v>222</v>
      </c>
      <c r="B234" s="3">
        <f t="shared" si="107"/>
        <v>18.261504747991236</v>
      </c>
      <c r="C234" s="3">
        <f t="shared" si="129"/>
        <v>4054.0540540540542</v>
      </c>
      <c r="D234" s="3">
        <f t="shared" si="108"/>
        <v>1.9993400747712916E-3</v>
      </c>
      <c r="E234" s="3">
        <f t="shared" si="109"/>
        <v>54.760000000000012</v>
      </c>
      <c r="F234" s="3"/>
      <c r="G234" s="3">
        <f t="shared" si="110"/>
        <v>67093109.347125061</v>
      </c>
      <c r="H234" s="3">
        <f t="shared" si="111"/>
        <v>405405.40540540538</v>
      </c>
      <c r="I234" s="3">
        <f t="shared" si="120"/>
        <v>33549004.217846047</v>
      </c>
      <c r="J234" s="3">
        <f t="shared" si="112"/>
        <v>7.9961925044818218E-3</v>
      </c>
      <c r="K234" s="3">
        <f t="shared" si="121"/>
        <v>0.14602250738644673</v>
      </c>
      <c r="L234" s="3">
        <f t="shared" si="127"/>
        <v>0.14602250738644673</v>
      </c>
      <c r="O234" s="9">
        <f t="shared" si="113"/>
        <v>1.4602250739479926E-4</v>
      </c>
      <c r="P234" s="9">
        <f t="shared" si="122"/>
        <v>6847.2593392011295</v>
      </c>
      <c r="Q234" s="3">
        <f t="shared" si="114"/>
        <v>125059.52043829675</v>
      </c>
      <c r="R234" s="3">
        <f t="shared" si="115"/>
        <v>6847259.6311821369</v>
      </c>
      <c r="S234" s="3">
        <f t="shared" si="116"/>
        <v>6847259.6311821351</v>
      </c>
      <c r="T234" s="3"/>
      <c r="U234" s="3"/>
      <c r="V234" s="3">
        <f t="shared" si="117"/>
        <v>3022.2121327533814</v>
      </c>
      <c r="W234" s="3">
        <f t="shared" si="123"/>
        <v>670931.09347125073</v>
      </c>
      <c r="X234" s="3">
        <f t="shared" si="118"/>
        <v>54.760000000000019</v>
      </c>
      <c r="Y234" s="3">
        <f t="shared" si="119"/>
        <v>54.760000000000012</v>
      </c>
      <c r="Z234" s="3">
        <f t="shared" si="124"/>
        <v>165496.33638957521</v>
      </c>
    </row>
    <row r="235" spans="1:26" x14ac:dyDescent="0.45">
      <c r="A235">
        <f t="shared" si="128"/>
        <v>223</v>
      </c>
      <c r="B235" s="3">
        <f t="shared" si="107"/>
        <v>18.098091656779747</v>
      </c>
      <c r="C235" s="3">
        <f t="shared" si="129"/>
        <v>4035.8744394618834</v>
      </c>
      <c r="D235" s="3">
        <f t="shared" si="108"/>
        <v>1.9637179804471573E-3</v>
      </c>
      <c r="E235" s="3">
        <f t="shared" si="109"/>
        <v>55.254444444444452</v>
      </c>
      <c r="F235" s="3"/>
      <c r="G235" s="3">
        <f t="shared" si="110"/>
        <v>67698913.130492285</v>
      </c>
      <c r="H235" s="3">
        <f t="shared" si="111"/>
        <v>403587.44394618832</v>
      </c>
      <c r="I235" s="3">
        <f t="shared" si="120"/>
        <v>33851862.468517095</v>
      </c>
      <c r="J235" s="3">
        <f t="shared" si="112"/>
        <v>7.8537554461140559E-3</v>
      </c>
      <c r="K235" s="3">
        <f t="shared" si="121"/>
        <v>0.1421379859137053</v>
      </c>
      <c r="L235" s="3">
        <f t="shared" si="127"/>
        <v>0.14213798591370527</v>
      </c>
      <c r="O235" s="9">
        <f t="shared" si="113"/>
        <v>1.4213798592183565E-4</v>
      </c>
      <c r="P235" s="9">
        <f t="shared" si="122"/>
        <v>7034.4169824097462</v>
      </c>
      <c r="Q235" s="3">
        <f t="shared" si="114"/>
        <v>127327.62139131637</v>
      </c>
      <c r="R235" s="3">
        <f t="shared" si="115"/>
        <v>7034417.2666250663</v>
      </c>
      <c r="S235" s="3">
        <f t="shared" si="116"/>
        <v>7034417.2666250654</v>
      </c>
      <c r="T235" s="3"/>
      <c r="U235" s="3"/>
      <c r="V235" s="3">
        <f t="shared" si="117"/>
        <v>3035.8257009189369</v>
      </c>
      <c r="W235" s="3">
        <f t="shared" si="123"/>
        <v>676989.13130492298</v>
      </c>
      <c r="X235" s="3">
        <f t="shared" si="118"/>
        <v>55.254444444444452</v>
      </c>
      <c r="Y235" s="3">
        <f t="shared" si="119"/>
        <v>55.254444444444452</v>
      </c>
      <c r="Z235" s="3">
        <f t="shared" si="124"/>
        <v>167742.86253444204</v>
      </c>
    </row>
    <row r="236" spans="1:26" x14ac:dyDescent="0.45">
      <c r="A236">
        <f t="shared" si="128"/>
        <v>224</v>
      </c>
      <c r="B236" s="3">
        <f t="shared" si="107"/>
        <v>17.936862244897959</v>
      </c>
      <c r="C236" s="3">
        <f t="shared" si="129"/>
        <v>4017.8571428571431</v>
      </c>
      <c r="D236" s="3">
        <f t="shared" si="108"/>
        <v>1.9288857094440105E-3</v>
      </c>
      <c r="E236" s="3">
        <f t="shared" si="109"/>
        <v>55.751111111111122</v>
      </c>
      <c r="F236" s="3"/>
      <c r="G236" s="3">
        <f t="shared" si="110"/>
        <v>68307439.627492636</v>
      </c>
      <c r="H236" s="3">
        <f t="shared" si="111"/>
        <v>401785.71428571426</v>
      </c>
      <c r="I236" s="3">
        <f t="shared" si="120"/>
        <v>34156083.043523766</v>
      </c>
      <c r="J236" s="3">
        <f t="shared" si="112"/>
        <v>7.7144752112699999E-3</v>
      </c>
      <c r="K236" s="3">
        <f t="shared" si="121"/>
        <v>0.13837347915623008</v>
      </c>
      <c r="L236" s="3">
        <f t="shared" si="127"/>
        <v>0.13837347915623008</v>
      </c>
      <c r="O236" s="9">
        <f t="shared" si="113"/>
        <v>1.3837347916414509E-4</v>
      </c>
      <c r="P236" s="9">
        <f t="shared" si="122"/>
        <v>7225.8183617306704</v>
      </c>
      <c r="Q236" s="3">
        <f t="shared" si="114"/>
        <v>129626.44542326218</v>
      </c>
      <c r="R236" s="3">
        <f t="shared" si="115"/>
        <v>7225818.6384201441</v>
      </c>
      <c r="S236" s="3">
        <f t="shared" si="116"/>
        <v>7225818.6384201432</v>
      </c>
      <c r="T236" s="3"/>
      <c r="U236" s="3"/>
      <c r="V236" s="3">
        <f t="shared" si="117"/>
        <v>3049.4392690844925</v>
      </c>
      <c r="W236" s="3">
        <f t="shared" si="123"/>
        <v>683074.39627492637</v>
      </c>
      <c r="X236" s="3">
        <f t="shared" si="118"/>
        <v>55.751111111111108</v>
      </c>
      <c r="Y236" s="3">
        <f t="shared" si="119"/>
        <v>55.751111111111122</v>
      </c>
      <c r="Z236" s="3">
        <f t="shared" si="124"/>
        <v>170009.62751731504</v>
      </c>
    </row>
    <row r="237" spans="1:26" x14ac:dyDescent="0.45">
      <c r="A237">
        <f t="shared" si="128"/>
        <v>225</v>
      </c>
      <c r="B237" s="3">
        <f t="shared" si="107"/>
        <v>17.777777777777779</v>
      </c>
      <c r="C237" s="3">
        <f t="shared" si="129"/>
        <v>4000</v>
      </c>
      <c r="D237" s="3">
        <f t="shared" si="108"/>
        <v>1.8948223400130379E-3</v>
      </c>
      <c r="E237" s="3">
        <f t="shared" si="109"/>
        <v>56.25</v>
      </c>
      <c r="F237" s="3"/>
      <c r="G237" s="3">
        <f t="shared" si="110"/>
        <v>68918688.838126093</v>
      </c>
      <c r="H237" s="3">
        <f t="shared" si="111"/>
        <v>400000</v>
      </c>
      <c r="I237" s="3">
        <f t="shared" si="120"/>
        <v>34461665.917242184</v>
      </c>
      <c r="J237" s="3">
        <f t="shared" si="112"/>
        <v>7.578268242045846E-3</v>
      </c>
      <c r="K237" s="3">
        <f t="shared" si="121"/>
        <v>0.13472476874748171</v>
      </c>
      <c r="L237" s="3">
        <f t="shared" si="127"/>
        <v>0.13472476874748177</v>
      </c>
      <c r="O237" s="9">
        <f t="shared" si="113"/>
        <v>1.3472476875518803E-4</v>
      </c>
      <c r="P237" s="9">
        <f t="shared" si="122"/>
        <v>7421.5401107729986</v>
      </c>
      <c r="Q237" s="3">
        <f t="shared" si="114"/>
        <v>131956.26863596443</v>
      </c>
      <c r="R237" s="3">
        <f t="shared" si="115"/>
        <v>7421540.3801680394</v>
      </c>
      <c r="S237" s="3">
        <f t="shared" si="116"/>
        <v>7421540.3801680384</v>
      </c>
      <c r="T237" s="3"/>
      <c r="U237" s="3"/>
      <c r="V237" s="3">
        <f t="shared" si="117"/>
        <v>3063.0528372500489</v>
      </c>
      <c r="W237" s="3">
        <f t="shared" si="123"/>
        <v>689186.88838126103</v>
      </c>
      <c r="X237" s="3">
        <f t="shared" si="118"/>
        <v>56.250000000000014</v>
      </c>
      <c r="Y237" s="3">
        <f t="shared" si="119"/>
        <v>56.25</v>
      </c>
      <c r="Z237" s="3">
        <f t="shared" si="124"/>
        <v>172296.72209531526</v>
      </c>
    </row>
    <row r="238" spans="1:26" x14ac:dyDescent="0.45">
      <c r="A238">
        <f t="shared" si="128"/>
        <v>226</v>
      </c>
      <c r="B238" s="3">
        <f t="shared" si="107"/>
        <v>17.620800375910409</v>
      </c>
      <c r="C238" s="3">
        <f t="shared" si="129"/>
        <v>3982.3008849557527</v>
      </c>
      <c r="D238" s="3">
        <f t="shared" si="108"/>
        <v>1.8615075941262771E-3</v>
      </c>
      <c r="E238" s="3">
        <f t="shared" si="109"/>
        <v>56.751111111111101</v>
      </c>
      <c r="F238" s="3"/>
      <c r="G238" s="3">
        <f t="shared" si="110"/>
        <v>69532660.762392655</v>
      </c>
      <c r="H238" s="3">
        <f t="shared" si="111"/>
        <v>398230.08849557524</v>
      </c>
      <c r="I238" s="3">
        <f t="shared" si="120"/>
        <v>34768611.064836599</v>
      </c>
      <c r="J238" s="3">
        <f t="shared" si="112"/>
        <v>7.4450535481437085E-3</v>
      </c>
      <c r="K238" s="3">
        <f t="shared" si="121"/>
        <v>0.13118780235980379</v>
      </c>
      <c r="L238" s="3">
        <f t="shared" si="127"/>
        <v>0.13118780235980382</v>
      </c>
      <c r="O238" s="9">
        <f t="shared" si="113"/>
        <v>1.311878023673078E-4</v>
      </c>
      <c r="P238" s="9">
        <f t="shared" si="122"/>
        <v>7621.6598963837932</v>
      </c>
      <c r="Q238" s="3">
        <f t="shared" si="114"/>
        <v>134317.36836763675</v>
      </c>
      <c r="R238" s="3">
        <f t="shared" si="115"/>
        <v>7621660.1587077212</v>
      </c>
      <c r="S238" s="3">
        <f t="shared" si="116"/>
        <v>7621660.158707724</v>
      </c>
      <c r="T238" s="3"/>
      <c r="U238" s="3"/>
      <c r="V238" s="3">
        <f t="shared" si="117"/>
        <v>3076.666405415604</v>
      </c>
      <c r="W238" s="3">
        <f t="shared" si="123"/>
        <v>695326.60762392648</v>
      </c>
      <c r="X238" s="3">
        <f t="shared" si="118"/>
        <v>56.751111111111108</v>
      </c>
      <c r="Y238" s="3">
        <f t="shared" si="119"/>
        <v>56.751111111111101</v>
      </c>
      <c r="Z238" s="3">
        <f t="shared" si="124"/>
        <v>174604.23702556372</v>
      </c>
    </row>
    <row r="239" spans="1:26" x14ac:dyDescent="0.45">
      <c r="A239">
        <f t="shared" si="128"/>
        <v>227</v>
      </c>
      <c r="B239" s="3">
        <f t="shared" si="107"/>
        <v>17.465892992295601</v>
      </c>
      <c r="C239" s="3">
        <f t="shared" si="129"/>
        <v>3964.7577092511015</v>
      </c>
      <c r="D239" s="3">
        <f t="shared" si="108"/>
        <v>1.8289218149403347E-3</v>
      </c>
      <c r="E239" s="3">
        <f t="shared" si="109"/>
        <v>57.254444444444438</v>
      </c>
      <c r="F239" s="3"/>
      <c r="G239" s="3">
        <f t="shared" si="110"/>
        <v>70149355.400292337</v>
      </c>
      <c r="H239" s="3">
        <f t="shared" si="111"/>
        <v>396475.77092511015</v>
      </c>
      <c r="I239" s="3">
        <f t="shared" si="120"/>
        <v>35076918.462231852</v>
      </c>
      <c r="J239" s="3">
        <f t="shared" si="112"/>
        <v>7.3147526171663561E-3</v>
      </c>
      <c r="K239" s="3">
        <f t="shared" si="121"/>
        <v>0.12775868647654176</v>
      </c>
      <c r="L239" s="3">
        <f t="shared" si="127"/>
        <v>0.12775868647654182</v>
      </c>
      <c r="O239" s="9">
        <f t="shared" si="113"/>
        <v>1.2775868648384962E-4</v>
      </c>
      <c r="P239" s="9">
        <f t="shared" si="122"/>
        <v>7826.2564278939517</v>
      </c>
      <c r="Q239" s="3">
        <f t="shared" si="114"/>
        <v>136710.02319285367</v>
      </c>
      <c r="R239" s="3">
        <f t="shared" si="115"/>
        <v>7826256.6833623098</v>
      </c>
      <c r="S239" s="3">
        <f t="shared" si="116"/>
        <v>7826256.6833623108</v>
      </c>
      <c r="T239" s="3"/>
      <c r="U239" s="3"/>
      <c r="V239" s="3">
        <f t="shared" si="117"/>
        <v>3090.27997358116</v>
      </c>
      <c r="W239" s="3">
        <f t="shared" si="123"/>
        <v>701493.55400292331</v>
      </c>
      <c r="X239" s="3">
        <f t="shared" si="118"/>
        <v>57.254444444444452</v>
      </c>
      <c r="Y239" s="3">
        <f t="shared" si="119"/>
        <v>57.254444444444438</v>
      </c>
      <c r="Z239" s="3">
        <f t="shared" si="124"/>
        <v>176932.26306518176</v>
      </c>
    </row>
    <row r="240" spans="1:26" x14ac:dyDescent="0.45">
      <c r="A240">
        <f t="shared" si="128"/>
        <v>228</v>
      </c>
      <c r="B240" s="3">
        <f t="shared" si="107"/>
        <v>17.313019390581719</v>
      </c>
      <c r="C240" s="3">
        <f t="shared" si="129"/>
        <v>3947.3684210526317</v>
      </c>
      <c r="D240" s="3">
        <f t="shared" si="108"/>
        <v>1.7970459451438368E-3</v>
      </c>
      <c r="E240" s="3">
        <f t="shared" si="109"/>
        <v>57.760000000000005</v>
      </c>
      <c r="F240" s="3"/>
      <c r="G240" s="3">
        <f t="shared" si="110"/>
        <v>70768772.751825109</v>
      </c>
      <c r="H240" s="3">
        <f t="shared" si="111"/>
        <v>394736.84210526315</v>
      </c>
      <c r="I240" s="3">
        <f t="shared" si="120"/>
        <v>35386588.086086817</v>
      </c>
      <c r="J240" s="3">
        <f t="shared" si="112"/>
        <v>7.1872893284185444E-3</v>
      </c>
      <c r="K240" s="3">
        <f t="shared" si="121"/>
        <v>0.12443367950863132</v>
      </c>
      <c r="L240" s="3">
        <f t="shared" si="127"/>
        <v>0.12443367950863132</v>
      </c>
      <c r="O240" s="9">
        <f t="shared" si="113"/>
        <v>1.2443367951574897E-4</v>
      </c>
      <c r="P240" s="9">
        <f t="shared" si="122"/>
        <v>8035.4094664052336</v>
      </c>
      <c r="Q240" s="3">
        <f t="shared" si="114"/>
        <v>139134.51292252829</v>
      </c>
      <c r="R240" s="3">
        <f t="shared" si="115"/>
        <v>8035409.7152260952</v>
      </c>
      <c r="S240" s="3">
        <f t="shared" si="116"/>
        <v>8035409.7152260952</v>
      </c>
      <c r="T240" s="3"/>
      <c r="U240" s="3"/>
      <c r="V240" s="3">
        <f t="shared" si="117"/>
        <v>3103.8935417467155</v>
      </c>
      <c r="W240" s="3">
        <f t="shared" si="123"/>
        <v>707687.72751825117</v>
      </c>
      <c r="X240" s="3">
        <f t="shared" si="118"/>
        <v>57.759999999999991</v>
      </c>
      <c r="Y240" s="3">
        <f t="shared" si="119"/>
        <v>57.760000000000005</v>
      </c>
      <c r="Z240" s="3">
        <f t="shared" si="124"/>
        <v>179280.8909712903</v>
      </c>
    </row>
    <row r="241" spans="1:26" x14ac:dyDescent="0.45">
      <c r="A241">
        <f t="shared" si="128"/>
        <v>229</v>
      </c>
      <c r="B241" s="3">
        <f t="shared" si="107"/>
        <v>17.162144123872544</v>
      </c>
      <c r="C241" s="3">
        <f t="shared" si="129"/>
        <v>3930.1310043668127</v>
      </c>
      <c r="D241" s="3">
        <f t="shared" si="108"/>
        <v>1.7658615061502676E-3</v>
      </c>
      <c r="E241" s="3">
        <f t="shared" si="109"/>
        <v>58.267777777777766</v>
      </c>
      <c r="F241" s="3"/>
      <c r="G241" s="3">
        <f t="shared" si="110"/>
        <v>71390912.816991016</v>
      </c>
      <c r="H241" s="3">
        <f t="shared" si="111"/>
        <v>393013.10043668124</v>
      </c>
      <c r="I241" s="3">
        <f t="shared" si="120"/>
        <v>35697619.913769007</v>
      </c>
      <c r="J241" s="3">
        <f t="shared" si="112"/>
        <v>7.0625898700634581E-3</v>
      </c>
      <c r="K241" s="3">
        <f t="shared" si="121"/>
        <v>0.12120918523783134</v>
      </c>
      <c r="L241" s="3">
        <f t="shared" si="127"/>
        <v>0.12120918523783134</v>
      </c>
      <c r="O241" s="9">
        <f t="shared" si="113"/>
        <v>1.2120918524476455E-4</v>
      </c>
      <c r="P241" s="9">
        <f t="shared" si="122"/>
        <v>8249.1998341185408</v>
      </c>
      <c r="Q241" s="3">
        <f t="shared" si="114"/>
        <v>141591.11860389175</v>
      </c>
      <c r="R241" s="3">
        <f t="shared" si="115"/>
        <v>8249200.0764927883</v>
      </c>
      <c r="S241" s="3">
        <f t="shared" si="116"/>
        <v>8249200.0764927873</v>
      </c>
      <c r="T241" s="3"/>
      <c r="U241" s="3"/>
      <c r="V241" s="3">
        <f t="shared" si="117"/>
        <v>3117.5071099122715</v>
      </c>
      <c r="W241" s="3">
        <f t="shared" si="123"/>
        <v>713909.12816991017</v>
      </c>
      <c r="X241" s="3">
        <f t="shared" si="118"/>
        <v>58.267777777777773</v>
      </c>
      <c r="Y241" s="3">
        <f t="shared" si="119"/>
        <v>58.267777777777766</v>
      </c>
      <c r="Z241" s="3">
        <f t="shared" si="124"/>
        <v>181650.21150101043</v>
      </c>
    </row>
    <row r="242" spans="1:26" x14ac:dyDescent="0.45">
      <c r="A242">
        <f t="shared" si="128"/>
        <v>230</v>
      </c>
      <c r="B242" s="3">
        <f t="shared" si="107"/>
        <v>17.013232514177695</v>
      </c>
      <c r="C242" s="3">
        <f t="shared" si="129"/>
        <v>3913.04347826087</v>
      </c>
      <c r="D242" s="3">
        <f t="shared" si="108"/>
        <v>1.7353505780996982E-3</v>
      </c>
      <c r="E242" s="3">
        <f t="shared" si="109"/>
        <v>58.777777777777779</v>
      </c>
      <c r="F242" s="3"/>
      <c r="G242" s="3">
        <f t="shared" si="110"/>
        <v>72015775.595790029</v>
      </c>
      <c r="H242" s="3">
        <f t="shared" si="111"/>
        <v>391304.34782608697</v>
      </c>
      <c r="I242" s="3">
        <f t="shared" si="120"/>
        <v>36010013.923330054</v>
      </c>
      <c r="J242" s="3">
        <f t="shared" si="112"/>
        <v>6.9405826594901004E-3</v>
      </c>
      <c r="K242" s="3">
        <f t="shared" si="121"/>
        <v>0.11808174656977487</v>
      </c>
      <c r="L242" s="3">
        <f t="shared" si="127"/>
        <v>0.11808174656977488</v>
      </c>
      <c r="O242" s="9">
        <f t="shared" si="113"/>
        <v>1.1808174657652919E-4</v>
      </c>
      <c r="P242" s="9">
        <f t="shared" si="122"/>
        <v>8467.7094237033198</v>
      </c>
      <c r="Q242" s="3">
        <f t="shared" si="114"/>
        <v>144080.12252047236</v>
      </c>
      <c r="R242" s="3">
        <f t="shared" si="115"/>
        <v>8467709.6598249339</v>
      </c>
      <c r="S242" s="3">
        <f t="shared" si="116"/>
        <v>8467709.6598249357</v>
      </c>
      <c r="T242" s="3"/>
      <c r="U242" s="3"/>
      <c r="V242" s="3">
        <f t="shared" si="117"/>
        <v>3131.1206780778275</v>
      </c>
      <c r="W242" s="3">
        <f t="shared" si="123"/>
        <v>720157.75595790031</v>
      </c>
      <c r="X242" s="3">
        <f t="shared" si="118"/>
        <v>58.777777777777779</v>
      </c>
      <c r="Y242" s="3">
        <f t="shared" si="119"/>
        <v>58.777777777777779</v>
      </c>
      <c r="Z242" s="3">
        <f t="shared" si="124"/>
        <v>184040.31541146341</v>
      </c>
    </row>
    <row r="243" spans="1:26" x14ac:dyDescent="0.45">
      <c r="A243">
        <f t="shared" si="128"/>
        <v>231</v>
      </c>
      <c r="B243" s="3">
        <f t="shared" si="107"/>
        <v>16.866250632484398</v>
      </c>
      <c r="C243" s="3">
        <f t="shared" si="129"/>
        <v>3896.1038961038957</v>
      </c>
      <c r="D243" s="3">
        <f t="shared" si="108"/>
        <v>1.7054957806345976E-3</v>
      </c>
      <c r="E243" s="3">
        <f t="shared" si="109"/>
        <v>59.29</v>
      </c>
      <c r="F243" s="3"/>
      <c r="G243" s="3">
        <f t="shared" si="110"/>
        <v>72643361.088222146</v>
      </c>
      <c r="H243" s="3">
        <f t="shared" si="111"/>
        <v>389610.3896103896</v>
      </c>
      <c r="I243" s="3">
        <f t="shared" si="120"/>
        <v>36323770.093482159</v>
      </c>
      <c r="J243" s="3">
        <f t="shared" si="112"/>
        <v>6.821198266754089E-3</v>
      </c>
      <c r="K243" s="3">
        <f t="shared" si="121"/>
        <v>0.11504803958094263</v>
      </c>
      <c r="L243" s="3">
        <f t="shared" si="127"/>
        <v>0.1150480395809426</v>
      </c>
      <c r="O243" s="9">
        <f t="shared" si="113"/>
        <v>1.1504803958752343E-4</v>
      </c>
      <c r="P243" s="9">
        <f t="shared" si="122"/>
        <v>8691.0212077081451</v>
      </c>
      <c r="Q243" s="3">
        <f t="shared" si="114"/>
        <v>146601.80819207532</v>
      </c>
      <c r="R243" s="3">
        <f t="shared" si="115"/>
        <v>8691021.4377644677</v>
      </c>
      <c r="S243" s="3">
        <f t="shared" si="116"/>
        <v>8691021.4377644639</v>
      </c>
      <c r="T243" s="3"/>
      <c r="U243" s="3"/>
      <c r="V243" s="3">
        <f t="shared" si="117"/>
        <v>3144.734246243383</v>
      </c>
      <c r="W243" s="3">
        <f t="shared" si="123"/>
        <v>726433.61088222149</v>
      </c>
      <c r="X243" s="3">
        <f t="shared" si="118"/>
        <v>59.29</v>
      </c>
      <c r="Y243" s="3">
        <f t="shared" si="119"/>
        <v>59.29</v>
      </c>
      <c r="Z243" s="3">
        <f t="shared" si="124"/>
        <v>186451.29345977018</v>
      </c>
    </row>
    <row r="244" spans="1:26" x14ac:dyDescent="0.45">
      <c r="A244">
        <f t="shared" si="128"/>
        <v>232</v>
      </c>
      <c r="B244" s="3">
        <f t="shared" si="107"/>
        <v>16.72116527942925</v>
      </c>
      <c r="C244" s="3">
        <f t="shared" si="129"/>
        <v>3879.3103448275861</v>
      </c>
      <c r="D244" s="3">
        <f t="shared" si="108"/>
        <v>1.6762802544165862E-3</v>
      </c>
      <c r="E244" s="3">
        <f t="shared" si="109"/>
        <v>59.804444444444449</v>
      </c>
      <c r="F244" s="3"/>
      <c r="G244" s="3">
        <f t="shared" si="110"/>
        <v>73273669.294287384</v>
      </c>
      <c r="H244" s="3">
        <f t="shared" si="111"/>
        <v>387931.03448275861</v>
      </c>
      <c r="I244" s="3">
        <f t="shared" si="120"/>
        <v>36638888.403575554</v>
      </c>
      <c r="J244" s="3">
        <f t="shared" si="112"/>
        <v>6.7043693409607778E-3</v>
      </c>
      <c r="K244" s="3">
        <f t="shared" si="121"/>
        <v>0.11210486784454332</v>
      </c>
      <c r="L244" s="3">
        <f t="shared" si="127"/>
        <v>0.11210486784454329</v>
      </c>
      <c r="O244" s="9">
        <f t="shared" si="113"/>
        <v>1.1210486785095577E-4</v>
      </c>
      <c r="P244" s="9">
        <f t="shared" si="122"/>
        <v>8919.2192480125595</v>
      </c>
      <c r="Q244" s="3">
        <f t="shared" si="114"/>
        <v>149156.46037476411</v>
      </c>
      <c r="R244" s="3">
        <f t="shared" si="115"/>
        <v>8919219.4721845426</v>
      </c>
      <c r="S244" s="3">
        <f t="shared" si="116"/>
        <v>8919219.4721845426</v>
      </c>
      <c r="T244" s="3"/>
      <c r="U244" s="3"/>
      <c r="V244" s="3">
        <f t="shared" si="117"/>
        <v>3158.347814408939</v>
      </c>
      <c r="W244" s="3">
        <f t="shared" si="123"/>
        <v>732736.69294287381</v>
      </c>
      <c r="X244" s="3">
        <f t="shared" si="118"/>
        <v>59.804444444444457</v>
      </c>
      <c r="Y244" s="3">
        <f t="shared" si="119"/>
        <v>59.804444444444449</v>
      </c>
      <c r="Z244" s="3">
        <f t="shared" si="124"/>
        <v>188883.23640305194</v>
      </c>
    </row>
    <row r="245" spans="1:26" x14ac:dyDescent="0.45">
      <c r="A245">
        <f t="shared" si="128"/>
        <v>233</v>
      </c>
      <c r="B245" s="3">
        <f t="shared" si="107"/>
        <v>16.577943966549395</v>
      </c>
      <c r="C245" s="3">
        <f t="shared" si="129"/>
        <v>3862.6609442060089</v>
      </c>
      <c r="D245" s="3">
        <f t="shared" si="108"/>
        <v>1.6476876433525365E-3</v>
      </c>
      <c r="E245" s="3">
        <f t="shared" si="109"/>
        <v>60.321111111111108</v>
      </c>
      <c r="F245" s="3"/>
      <c r="G245" s="3">
        <f t="shared" si="110"/>
        <v>73906700.213985726</v>
      </c>
      <c r="H245" s="3">
        <f t="shared" si="111"/>
        <v>386266.09442060086</v>
      </c>
      <c r="I245" s="3">
        <f t="shared" si="120"/>
        <v>36955368.833576649</v>
      </c>
      <c r="J245" s="3">
        <f t="shared" si="112"/>
        <v>6.5900305394658645E-3</v>
      </c>
      <c r="K245" s="3">
        <f t="shared" si="121"/>
        <v>0.10924915702111439</v>
      </c>
      <c r="L245" s="3">
        <f t="shared" si="127"/>
        <v>0.10924915702111436</v>
      </c>
      <c r="O245" s="9">
        <f t="shared" si="113"/>
        <v>1.0924915702736348E-4</v>
      </c>
      <c r="P245" s="9">
        <f t="shared" si="122"/>
        <v>9152.3887053199996</v>
      </c>
      <c r="Q245" s="3">
        <f t="shared" si="114"/>
        <v>151744.36506084105</v>
      </c>
      <c r="R245" s="3">
        <f t="shared" si="115"/>
        <v>9152388.9237824567</v>
      </c>
      <c r="S245" s="3">
        <f t="shared" si="116"/>
        <v>9152388.9237824585</v>
      </c>
      <c r="T245" s="3"/>
      <c r="U245" s="3"/>
      <c r="V245" s="3">
        <f t="shared" si="117"/>
        <v>3171.9613825744946</v>
      </c>
      <c r="W245" s="3">
        <f t="shared" si="123"/>
        <v>739067.00213985727</v>
      </c>
      <c r="X245" s="3">
        <f t="shared" si="118"/>
        <v>60.321111111111122</v>
      </c>
      <c r="Y245" s="3">
        <f t="shared" si="119"/>
        <v>60.321111111111108</v>
      </c>
      <c r="Z245" s="3">
        <f t="shared" si="124"/>
        <v>191336.23499842969</v>
      </c>
    </row>
    <row r="246" spans="1:26" x14ac:dyDescent="0.45">
      <c r="A246">
        <f t="shared" si="128"/>
        <v>234</v>
      </c>
      <c r="B246" s="3">
        <f t="shared" si="107"/>
        <v>16.436554898093359</v>
      </c>
      <c r="C246" s="3">
        <f t="shared" si="129"/>
        <v>3846.1538461538462</v>
      </c>
      <c r="D246" s="3">
        <f t="shared" si="108"/>
        <v>1.6197020774998965E-3</v>
      </c>
      <c r="E246" s="3">
        <f t="shared" si="109"/>
        <v>60.839999999999996</v>
      </c>
      <c r="F246" s="3"/>
      <c r="G246" s="3">
        <f t="shared" si="110"/>
        <v>74542453.847317189</v>
      </c>
      <c r="H246" s="3">
        <f t="shared" si="111"/>
        <v>384615.38461538462</v>
      </c>
      <c r="I246" s="3">
        <f t="shared" si="120"/>
        <v>37273211.364047185</v>
      </c>
      <c r="J246" s="3">
        <f t="shared" si="112"/>
        <v>6.4781184597742332E-3</v>
      </c>
      <c r="K246" s="3">
        <f t="shared" si="121"/>
        <v>0.10647794970043117</v>
      </c>
      <c r="L246" s="3">
        <f t="shared" si="127"/>
        <v>0.10647794970043123</v>
      </c>
      <c r="O246" s="9">
        <f t="shared" si="113"/>
        <v>1.0647794970652175E-4</v>
      </c>
      <c r="P246" s="9">
        <f t="shared" si="122"/>
        <v>9390.6158486920067</v>
      </c>
      <c r="Q246" s="3">
        <f t="shared" si="114"/>
        <v>154365.80947882982</v>
      </c>
      <c r="R246" s="3">
        <f t="shared" si="115"/>
        <v>9390616.0616138428</v>
      </c>
      <c r="S246" s="3">
        <f t="shared" si="116"/>
        <v>9390616.061613841</v>
      </c>
      <c r="T246" s="3"/>
      <c r="U246" s="3"/>
      <c r="V246" s="3">
        <f t="shared" si="117"/>
        <v>3185.5749507400506</v>
      </c>
      <c r="W246" s="3">
        <f t="shared" si="123"/>
        <v>745424.53847317188</v>
      </c>
      <c r="X246" s="3">
        <f t="shared" si="118"/>
        <v>60.840000000000018</v>
      </c>
      <c r="Y246" s="3">
        <f t="shared" si="119"/>
        <v>60.839999999999996</v>
      </c>
      <c r="Z246" s="3">
        <f t="shared" si="124"/>
        <v>193810.38000302468</v>
      </c>
    </row>
    <row r="247" spans="1:26" x14ac:dyDescent="0.45">
      <c r="A247">
        <f t="shared" si="128"/>
        <v>235</v>
      </c>
      <c r="B247" s="3">
        <f t="shared" si="107"/>
        <v>16.296966953372568</v>
      </c>
      <c r="C247" s="3">
        <f t="shared" si="129"/>
        <v>3829.7872340425533</v>
      </c>
      <c r="D247" s="3">
        <f t="shared" si="108"/>
        <v>1.5923081566225257E-3</v>
      </c>
      <c r="E247" s="3">
        <f t="shared" si="109"/>
        <v>61.3611111111111</v>
      </c>
      <c r="F247" s="3"/>
      <c r="G247" s="3">
        <f t="shared" si="110"/>
        <v>75180930.194281742</v>
      </c>
      <c r="H247" s="3">
        <f t="shared" si="111"/>
        <v>382978.72340425535</v>
      </c>
      <c r="I247" s="3">
        <f t="shared" si="120"/>
        <v>37592415.976124041</v>
      </c>
      <c r="J247" s="3">
        <f t="shared" si="112"/>
        <v>6.3685715740235023E-3</v>
      </c>
      <c r="K247" s="3">
        <f t="shared" si="121"/>
        <v>0.10378840048204893</v>
      </c>
      <c r="L247" s="3">
        <f t="shared" si="127"/>
        <v>0.10378840048204895</v>
      </c>
      <c r="O247" s="9">
        <f t="shared" si="113"/>
        <v>1.0378840048798567E-4</v>
      </c>
      <c r="P247" s="9">
        <f t="shared" si="122"/>
        <v>9633.9880651234998</v>
      </c>
      <c r="Q247" s="3">
        <f t="shared" si="114"/>
        <v>157021.08209345679</v>
      </c>
      <c r="R247" s="3">
        <f t="shared" si="115"/>
        <v>9633988.2726679333</v>
      </c>
      <c r="S247" s="3">
        <f t="shared" si="116"/>
        <v>9633988.2726679333</v>
      </c>
      <c r="T247" s="3"/>
      <c r="U247" s="3"/>
      <c r="V247" s="3">
        <f t="shared" si="117"/>
        <v>3199.1885189056065</v>
      </c>
      <c r="W247" s="3">
        <f t="shared" si="123"/>
        <v>751809.30194281752</v>
      </c>
      <c r="X247" s="3">
        <f t="shared" si="118"/>
        <v>61.361111111111128</v>
      </c>
      <c r="Y247" s="3">
        <f t="shared" si="119"/>
        <v>61.3611111111111</v>
      </c>
      <c r="Z247" s="3">
        <f t="shared" si="124"/>
        <v>196305.76217395789</v>
      </c>
    </row>
    <row r="248" spans="1:26" x14ac:dyDescent="0.45">
      <c r="A248">
        <f t="shared" si="128"/>
        <v>236</v>
      </c>
      <c r="B248" s="3">
        <f t="shared" si="107"/>
        <v>16.159149669635163</v>
      </c>
      <c r="C248" s="3">
        <f t="shared" si="129"/>
        <v>3813.5593220338983</v>
      </c>
      <c r="D248" s="3">
        <f t="shared" si="108"/>
        <v>1.5654909343696441E-3</v>
      </c>
      <c r="E248" s="3">
        <f t="shared" si="109"/>
        <v>61.884444444444448</v>
      </c>
      <c r="F248" s="3"/>
      <c r="G248" s="3">
        <f t="shared" si="110"/>
        <v>75822129.254879415</v>
      </c>
      <c r="H248" s="3">
        <f t="shared" si="111"/>
        <v>381355.93220338982</v>
      </c>
      <c r="I248" s="3">
        <f t="shared" si="120"/>
        <v>37912982.651499964</v>
      </c>
      <c r="J248" s="3">
        <f t="shared" si="112"/>
        <v>6.2613301659437647E-3</v>
      </c>
      <c r="K248" s="3">
        <f t="shared" si="121"/>
        <v>0.10117777128248687</v>
      </c>
      <c r="L248" s="3">
        <f t="shared" si="127"/>
        <v>0.10117777128248689</v>
      </c>
      <c r="O248" s="9">
        <f t="shared" si="113"/>
        <v>1.0117777128827428E-4</v>
      </c>
      <c r="P248" s="9">
        <f t="shared" si="122"/>
        <v>9882.5938691594038</v>
      </c>
      <c r="Q248" s="3">
        <f t="shared" si="114"/>
        <v>159710.4726056353</v>
      </c>
      <c r="R248" s="3">
        <f t="shared" si="115"/>
        <v>9882594.0714841839</v>
      </c>
      <c r="S248" s="3">
        <f t="shared" si="116"/>
        <v>9882594.0714841839</v>
      </c>
      <c r="T248" s="3"/>
      <c r="U248" s="3"/>
      <c r="V248" s="3">
        <f t="shared" si="117"/>
        <v>3212.8020870711621</v>
      </c>
      <c r="W248" s="3">
        <f t="shared" si="123"/>
        <v>758221.2925487943</v>
      </c>
      <c r="X248" s="3">
        <f t="shared" si="118"/>
        <v>61.884444444444455</v>
      </c>
      <c r="Y248" s="3">
        <f t="shared" si="119"/>
        <v>61.884444444444448</v>
      </c>
      <c r="Z248" s="3">
        <f t="shared" si="124"/>
        <v>198822.47226835051</v>
      </c>
    </row>
    <row r="249" spans="1:26" x14ac:dyDescent="0.45">
      <c r="A249">
        <f t="shared" si="128"/>
        <v>237</v>
      </c>
      <c r="B249" s="3">
        <f t="shared" si="107"/>
        <v>16.023073225444641</v>
      </c>
      <c r="C249" s="3">
        <f t="shared" si="129"/>
        <v>3797.4683544303798</v>
      </c>
      <c r="D249" s="3">
        <f t="shared" si="108"/>
        <v>1.5392359030517813E-3</v>
      </c>
      <c r="E249" s="3">
        <f t="shared" si="109"/>
        <v>62.41</v>
      </c>
      <c r="F249" s="3"/>
      <c r="G249" s="3">
        <f t="shared" si="110"/>
        <v>76466051.029110208</v>
      </c>
      <c r="H249" s="3">
        <f t="shared" si="111"/>
        <v>379746.83544303797</v>
      </c>
      <c r="I249" s="3">
        <f t="shared" si="120"/>
        <v>38234911.372404806</v>
      </c>
      <c r="J249" s="3">
        <f t="shared" si="112"/>
        <v>6.1563362701902461E-3</v>
      </c>
      <c r="K249" s="3">
        <f t="shared" si="121"/>
        <v>9.8643426857719055E-2</v>
      </c>
      <c r="L249" s="3">
        <f t="shared" si="127"/>
        <v>9.8643426857719083E-2</v>
      </c>
      <c r="O249" s="9">
        <f t="shared" si="113"/>
        <v>9.8643426863361495E-5</v>
      </c>
      <c r="P249" s="9">
        <f t="shared" si="122"/>
        <v>10136.522912552256</v>
      </c>
      <c r="Q249" s="3">
        <f t="shared" si="114"/>
        <v>162434.27195244763</v>
      </c>
      <c r="R249" s="3">
        <f t="shared" si="115"/>
        <v>10136523.109809866</v>
      </c>
      <c r="S249" s="3">
        <f t="shared" si="116"/>
        <v>10136523.109809866</v>
      </c>
      <c r="T249" s="3"/>
      <c r="U249" s="3"/>
      <c r="V249" s="3">
        <f t="shared" si="117"/>
        <v>3226.4156552367181</v>
      </c>
      <c r="W249" s="3">
        <f t="shared" si="123"/>
        <v>764660.51029110223</v>
      </c>
      <c r="X249" s="3">
        <f t="shared" si="118"/>
        <v>62.410000000000018</v>
      </c>
      <c r="Y249" s="3">
        <f t="shared" si="119"/>
        <v>62.41</v>
      </c>
      <c r="Z249" s="3">
        <f t="shared" si="124"/>
        <v>201360.60104332355</v>
      </c>
    </row>
    <row r="250" spans="1:26" x14ac:dyDescent="0.45">
      <c r="A250">
        <f t="shared" si="128"/>
        <v>238</v>
      </c>
      <c r="B250" s="3">
        <f t="shared" si="107"/>
        <v>15.888708424546289</v>
      </c>
      <c r="C250" s="3">
        <f t="shared" si="129"/>
        <v>3781.5126050420167</v>
      </c>
      <c r="D250" s="3">
        <f t="shared" si="108"/>
        <v>1.5135289789887892E-3</v>
      </c>
      <c r="E250" s="3">
        <f t="shared" si="109"/>
        <v>62.937777777777768</v>
      </c>
      <c r="F250" s="3"/>
      <c r="G250" s="3">
        <f t="shared" si="110"/>
        <v>77112695.516974106</v>
      </c>
      <c r="H250" s="3">
        <f t="shared" si="111"/>
        <v>378151.26050420169</v>
      </c>
      <c r="I250" s="3">
        <f t="shared" si="120"/>
        <v>38558202.121587701</v>
      </c>
      <c r="J250" s="3">
        <f t="shared" si="112"/>
        <v>6.0535336139500035E-3</v>
      </c>
      <c r="K250" s="3">
        <f t="shared" si="121"/>
        <v>9.618283053024157E-2</v>
      </c>
      <c r="L250" s="3">
        <f t="shared" si="127"/>
        <v>9.6182830530241528E-2</v>
      </c>
      <c r="O250" s="9">
        <f t="shared" si="113"/>
        <v>9.6182830535743269E-5</v>
      </c>
      <c r="P250" s="9">
        <f t="shared" si="122"/>
        <v>10395.865993961179</v>
      </c>
      <c r="Q250" s="3">
        <f t="shared" si="114"/>
        <v>165192.77230712981</v>
      </c>
      <c r="R250" s="3">
        <f t="shared" si="115"/>
        <v>10395866.186299032</v>
      </c>
      <c r="S250" s="3">
        <f t="shared" si="116"/>
        <v>10395866.186299033</v>
      </c>
      <c r="T250" s="3"/>
      <c r="U250" s="3"/>
      <c r="V250" s="3">
        <f t="shared" si="117"/>
        <v>3240.0292234022731</v>
      </c>
      <c r="W250" s="3">
        <f t="shared" si="123"/>
        <v>771126.95516974106</v>
      </c>
      <c r="X250" s="3">
        <f t="shared" si="118"/>
        <v>62.937777777777768</v>
      </c>
      <c r="Y250" s="3">
        <f t="shared" si="119"/>
        <v>62.937777777777768</v>
      </c>
      <c r="Z250" s="3">
        <f t="shared" si="124"/>
        <v>203920.23925599814</v>
      </c>
    </row>
    <row r="251" spans="1:26" x14ac:dyDescent="0.45">
      <c r="A251">
        <f t="shared" si="128"/>
        <v>239</v>
      </c>
      <c r="B251" s="3">
        <f t="shared" si="107"/>
        <v>15.756026680205178</v>
      </c>
      <c r="C251" s="3">
        <f t="shared" si="129"/>
        <v>3765.6903765690377</v>
      </c>
      <c r="D251" s="3">
        <f t="shared" si="108"/>
        <v>1.4883564884061418E-3</v>
      </c>
      <c r="E251" s="3">
        <f t="shared" si="109"/>
        <v>63.467777777777769</v>
      </c>
      <c r="F251" s="3"/>
      <c r="G251" s="3">
        <f t="shared" si="110"/>
        <v>77762062.718471125</v>
      </c>
      <c r="H251" s="3">
        <f t="shared" si="111"/>
        <v>376569.03765690379</v>
      </c>
      <c r="I251" s="3">
        <f t="shared" si="120"/>
        <v>38882854.882299744</v>
      </c>
      <c r="J251" s="3">
        <f t="shared" si="112"/>
        <v>5.95286756072859E-3</v>
      </c>
      <c r="K251" s="3">
        <f t="shared" si="121"/>
        <v>9.3793540110567578E-2</v>
      </c>
      <c r="L251" s="3">
        <f t="shared" si="127"/>
        <v>9.3793540110567591E-2</v>
      </c>
      <c r="O251" s="9">
        <f t="shared" si="113"/>
        <v>9.3793540115932612E-5</v>
      </c>
      <c r="P251" s="9">
        <f t="shared" si="122"/>
        <v>10660.715068691932</v>
      </c>
      <c r="Q251" s="3">
        <f t="shared" si="114"/>
        <v>167986.26707905566</v>
      </c>
      <c r="R251" s="3">
        <f t="shared" si="115"/>
        <v>10660715.256252566</v>
      </c>
      <c r="S251" s="3">
        <f t="shared" si="116"/>
        <v>10660715.256252568</v>
      </c>
      <c r="T251" s="3"/>
      <c r="U251" s="3"/>
      <c r="V251" s="3">
        <f t="shared" si="117"/>
        <v>3253.6427915678291</v>
      </c>
      <c r="W251" s="3">
        <f t="shared" si="123"/>
        <v>777620.62718471116</v>
      </c>
      <c r="X251" s="3">
        <f t="shared" si="118"/>
        <v>63.467777777777776</v>
      </c>
      <c r="Y251" s="3">
        <f t="shared" si="119"/>
        <v>63.467777777777769</v>
      </c>
      <c r="Z251" s="3">
        <f t="shared" si="124"/>
        <v>206501.47766349549</v>
      </c>
    </row>
    <row r="252" spans="1:26" x14ac:dyDescent="0.45">
      <c r="A252">
        <f t="shared" si="128"/>
        <v>240</v>
      </c>
      <c r="B252" s="3">
        <f t="shared" si="107"/>
        <v>15.625</v>
      </c>
      <c r="C252" s="3">
        <f t="shared" si="129"/>
        <v>3750</v>
      </c>
      <c r="D252" s="3">
        <f t="shared" si="108"/>
        <v>1.4637051538568119E-3</v>
      </c>
      <c r="E252" s="3">
        <f t="shared" si="109"/>
        <v>64</v>
      </c>
      <c r="F252" s="3"/>
      <c r="G252" s="3">
        <f t="shared" si="110"/>
        <v>78414152.633601248</v>
      </c>
      <c r="H252" s="3">
        <f t="shared" si="111"/>
        <v>375000</v>
      </c>
      <c r="I252" s="3">
        <f t="shared" si="120"/>
        <v>39208869.638277367</v>
      </c>
      <c r="J252" s="3">
        <f t="shared" si="112"/>
        <v>5.8542850562266855E-3</v>
      </c>
      <c r="K252" s="3">
        <f t="shared" si="121"/>
        <v>9.1473204003541961E-2</v>
      </c>
      <c r="L252" s="3">
        <f t="shared" si="127"/>
        <v>9.1473204003542002E-2</v>
      </c>
      <c r="O252" s="9">
        <f t="shared" si="113"/>
        <v>9.1473204008774266E-5</v>
      </c>
      <c r="P252" s="9">
        <f t="shared" si="122"/>
        <v>10931.163258478169</v>
      </c>
      <c r="Q252" s="3">
        <f t="shared" si="114"/>
        <v>170815.05091372138</v>
      </c>
      <c r="R252" s="3">
        <f t="shared" si="115"/>
        <v>10931163.441399422</v>
      </c>
      <c r="S252" s="3">
        <f t="shared" si="116"/>
        <v>10931163.441399423</v>
      </c>
      <c r="T252" s="3"/>
      <c r="U252" s="3"/>
      <c r="V252" s="3">
        <f t="shared" si="117"/>
        <v>3267.2563597333847</v>
      </c>
      <c r="W252" s="3">
        <f t="shared" si="123"/>
        <v>784141.52633601229</v>
      </c>
      <c r="X252" s="3">
        <f t="shared" si="118"/>
        <v>64</v>
      </c>
      <c r="Y252" s="3">
        <f t="shared" si="119"/>
        <v>64</v>
      </c>
      <c r="Z252" s="3">
        <f t="shared" si="124"/>
        <v>209104.40702293662</v>
      </c>
    </row>
    <row r="253" spans="1:26" x14ac:dyDescent="0.45">
      <c r="A253">
        <f t="shared" si="128"/>
        <v>241</v>
      </c>
      <c r="B253" s="3">
        <f t="shared" si="107"/>
        <v>15.495600971057661</v>
      </c>
      <c r="C253" s="3">
        <f t="shared" si="129"/>
        <v>3734.4398340248963</v>
      </c>
      <c r="D253" s="3">
        <f t="shared" si="108"/>
        <v>1.4395620811470582E-3</v>
      </c>
      <c r="E253" s="3">
        <f t="shared" si="109"/>
        <v>64.534444444444446</v>
      </c>
      <c r="F253" s="3"/>
      <c r="G253" s="3">
        <f t="shared" si="110"/>
        <v>79068965.262364477</v>
      </c>
      <c r="H253" s="3">
        <f t="shared" si="111"/>
        <v>373443.98340248963</v>
      </c>
      <c r="I253" s="3">
        <f t="shared" si="120"/>
        <v>39536246.373726346</v>
      </c>
      <c r="J253" s="3">
        <f t="shared" si="112"/>
        <v>5.7577345762207929E-3</v>
      </c>
      <c r="K253" s="3">
        <f t="shared" si="121"/>
        <v>8.9219557490379187E-2</v>
      </c>
      <c r="L253" s="3">
        <f t="shared" si="127"/>
        <v>8.9219557490379187E-2</v>
      </c>
      <c r="O253" s="9">
        <f t="shared" si="113"/>
        <v>8.9219557495482586E-5</v>
      </c>
      <c r="P253" s="9">
        <f t="shared" si="122"/>
        <v>11207.304861303897</v>
      </c>
      <c r="Q253" s="3">
        <f t="shared" si="114"/>
        <v>173679.41969273097</v>
      </c>
      <c r="R253" s="3">
        <f t="shared" si="115"/>
        <v>11207305.039719079</v>
      </c>
      <c r="S253" s="3">
        <f t="shared" si="116"/>
        <v>11207305.039719079</v>
      </c>
      <c r="T253" s="3"/>
      <c r="U253" s="3"/>
      <c r="V253" s="3">
        <f t="shared" si="117"/>
        <v>3280.8699278989407</v>
      </c>
      <c r="W253" s="3">
        <f t="shared" si="123"/>
        <v>790689.65262364468</v>
      </c>
      <c r="X253" s="3">
        <f t="shared" si="118"/>
        <v>64.534444444444446</v>
      </c>
      <c r="Y253" s="3">
        <f t="shared" si="119"/>
        <v>64.534444444444446</v>
      </c>
      <c r="Z253" s="3">
        <f t="shared" si="124"/>
        <v>211729.11809144265</v>
      </c>
    </row>
    <row r="254" spans="1:26" x14ac:dyDescent="0.45">
      <c r="A254">
        <f t="shared" si="128"/>
        <v>242</v>
      </c>
      <c r="B254" s="3">
        <f t="shared" si="107"/>
        <v>15.367802745714091</v>
      </c>
      <c r="C254" s="3">
        <f t="shared" si="129"/>
        <v>3719.0082644628101</v>
      </c>
      <c r="D254" s="3">
        <f t="shared" si="108"/>
        <v>1.4159147467454288E-3</v>
      </c>
      <c r="E254" s="3">
        <f t="shared" si="109"/>
        <v>65.071111111111108</v>
      </c>
      <c r="F254" s="3"/>
      <c r="G254" s="3">
        <f t="shared" si="110"/>
        <v>79726500.604760811</v>
      </c>
      <c r="H254" s="3">
        <f t="shared" si="111"/>
        <v>371900.82644628099</v>
      </c>
      <c r="I254" s="3">
        <f t="shared" si="120"/>
        <v>39864985.073306412</v>
      </c>
      <c r="J254" s="3">
        <f t="shared" si="112"/>
        <v>5.6631660763659985E-3</v>
      </c>
      <c r="K254" s="3">
        <f t="shared" si="121"/>
        <v>8.703041917781229E-2</v>
      </c>
      <c r="L254" s="3">
        <f t="shared" si="127"/>
        <v>8.7030419177812277E-2</v>
      </c>
      <c r="O254" s="9">
        <f t="shared" si="113"/>
        <v>8.703041918279046E-5</v>
      </c>
      <c r="P254" s="9">
        <f t="shared" si="122"/>
        <v>11489.235361267129</v>
      </c>
      <c r="Q254" s="3">
        <f t="shared" si="114"/>
        <v>176579.6705337821</v>
      </c>
      <c r="R254" s="3">
        <f t="shared" si="115"/>
        <v>11489235.535305189</v>
      </c>
      <c r="S254" s="3">
        <f t="shared" si="116"/>
        <v>11489235.535305193</v>
      </c>
      <c r="T254" s="3"/>
      <c r="U254" s="3"/>
      <c r="V254" s="3">
        <f t="shared" si="117"/>
        <v>3294.4834960644966</v>
      </c>
      <c r="W254" s="3">
        <f t="shared" si="123"/>
        <v>797265.00604760821</v>
      </c>
      <c r="X254" s="3">
        <f t="shared" si="118"/>
        <v>65.071111111111122</v>
      </c>
      <c r="Y254" s="3">
        <f t="shared" si="119"/>
        <v>65.071111111111108</v>
      </c>
      <c r="Z254" s="3">
        <f t="shared" si="124"/>
        <v>214375.70162613463</v>
      </c>
    </row>
    <row r="255" spans="1:26" x14ac:dyDescent="0.45">
      <c r="A255">
        <f t="shared" si="128"/>
        <v>243</v>
      </c>
      <c r="B255" s="3">
        <f t="shared" si="107"/>
        <v>15.241579027587258</v>
      </c>
      <c r="C255" s="3">
        <f t="shared" si="129"/>
        <v>3703.7037037037039</v>
      </c>
      <c r="D255" s="3">
        <f t="shared" si="108"/>
        <v>1.3927509856552145E-3</v>
      </c>
      <c r="E255" s="3">
        <f t="shared" si="109"/>
        <v>65.609999999999985</v>
      </c>
      <c r="F255" s="3"/>
      <c r="G255" s="3">
        <f t="shared" si="110"/>
        <v>80386758.660790265</v>
      </c>
      <c r="H255" s="3">
        <f t="shared" si="111"/>
        <v>370370.37037037039</v>
      </c>
      <c r="I255" s="3">
        <f t="shared" si="120"/>
        <v>40195085.722116366</v>
      </c>
      <c r="J255" s="3">
        <f t="shared" si="112"/>
        <v>5.5705309438424605E-3</v>
      </c>
      <c r="K255" s="3">
        <f t="shared" si="121"/>
        <v>8.49036876061951E-2</v>
      </c>
      <c r="L255" s="3">
        <f t="shared" si="127"/>
        <v>8.4903687606195086E-2</v>
      </c>
      <c r="O255" s="9">
        <f t="shared" si="113"/>
        <v>8.4903687611051617E-5</v>
      </c>
      <c r="P255" s="9">
        <f t="shared" si="122"/>
        <v>11777.051438484676</v>
      </c>
      <c r="Q255" s="3">
        <f t="shared" si="114"/>
        <v>179516.10179065197</v>
      </c>
      <c r="R255" s="3">
        <f t="shared" si="115"/>
        <v>11777051.608270369</v>
      </c>
      <c r="S255" s="3">
        <f t="shared" si="116"/>
        <v>11777051.608270371</v>
      </c>
      <c r="T255" s="3"/>
      <c r="U255" s="3"/>
      <c r="V255" s="3">
        <f t="shared" si="117"/>
        <v>3308.0970642300522</v>
      </c>
      <c r="W255" s="3">
        <f t="shared" si="123"/>
        <v>803867.58660790266</v>
      </c>
      <c r="X255" s="3">
        <f t="shared" si="118"/>
        <v>65.61</v>
      </c>
      <c r="Y255" s="3">
        <f t="shared" si="119"/>
        <v>65.609999999999985</v>
      </c>
      <c r="Z255" s="3">
        <f t="shared" si="124"/>
        <v>217044.24838413368</v>
      </c>
    </row>
    <row r="256" spans="1:26" x14ac:dyDescent="0.45">
      <c r="A256">
        <f t="shared" si="128"/>
        <v>244</v>
      </c>
      <c r="B256" s="3">
        <f t="shared" si="107"/>
        <v>15.116904058048911</v>
      </c>
      <c r="C256" s="3">
        <f t="shared" si="129"/>
        <v>3688.5245901639346</v>
      </c>
      <c r="D256" s="3">
        <f t="shared" si="108"/>
        <v>1.3700589797314791E-3</v>
      </c>
      <c r="E256" s="3">
        <f t="shared" si="109"/>
        <v>66.151111111111106</v>
      </c>
      <c r="F256" s="3"/>
      <c r="G256" s="3">
        <f t="shared" si="110"/>
        <v>81049739.430452839</v>
      </c>
      <c r="H256" s="3">
        <f t="shared" si="111"/>
        <v>368852.45901639346</v>
      </c>
      <c r="I256" s="3">
        <f t="shared" si="120"/>
        <v>40526548.305679798</v>
      </c>
      <c r="J256" s="3">
        <f t="shared" si="112"/>
        <v>5.4797819507707308E-3</v>
      </c>
      <c r="K256" s="3">
        <f t="shared" si="121"/>
        <v>8.2837338008829239E-2</v>
      </c>
      <c r="L256" s="3">
        <f t="shared" si="127"/>
        <v>8.2837338008829239E-2</v>
      </c>
      <c r="O256" s="9">
        <f t="shared" si="113"/>
        <v>8.2837338013567568E-5</v>
      </c>
      <c r="P256" s="9">
        <f t="shared" si="122"/>
        <v>12070.850979038152</v>
      </c>
      <c r="Q256" s="3">
        <f t="shared" si="114"/>
        <v>182489.01305318356</v>
      </c>
      <c r="R256" s="3">
        <f t="shared" si="115"/>
        <v>12070851.144692186</v>
      </c>
      <c r="S256" s="3">
        <f t="shared" si="116"/>
        <v>12070851.144692186</v>
      </c>
      <c r="T256" s="3"/>
      <c r="U256" s="3"/>
      <c r="V256" s="3">
        <f t="shared" si="117"/>
        <v>3321.7106323956082</v>
      </c>
      <c r="W256" s="3">
        <f t="shared" si="123"/>
        <v>810497.39430452837</v>
      </c>
      <c r="X256" s="3">
        <f t="shared" si="118"/>
        <v>66.151111111111121</v>
      </c>
      <c r="Y256" s="3">
        <f t="shared" si="119"/>
        <v>66.151111111111106</v>
      </c>
      <c r="Z256" s="3">
        <f t="shared" si="124"/>
        <v>219734.84912256102</v>
      </c>
    </row>
    <row r="257" spans="1:26" x14ac:dyDescent="0.45">
      <c r="A257">
        <f t="shared" si="128"/>
        <v>245</v>
      </c>
      <c r="B257" s="3">
        <f t="shared" si="107"/>
        <v>14.993752603082049</v>
      </c>
      <c r="C257" s="3">
        <f t="shared" si="129"/>
        <v>3673.4693877551022</v>
      </c>
      <c r="D257" s="3">
        <f t="shared" si="108"/>
        <v>1.3478272464246314E-3</v>
      </c>
      <c r="E257" s="3">
        <f t="shared" si="109"/>
        <v>66.694444444444457</v>
      </c>
      <c r="F257" s="3"/>
      <c r="G257" s="3">
        <f t="shared" si="110"/>
        <v>81715442.913748518</v>
      </c>
      <c r="H257" s="3">
        <f t="shared" si="111"/>
        <v>367346.93877551018</v>
      </c>
      <c r="I257" s="3">
        <f t="shared" si="120"/>
        <v>40859372.809931271</v>
      </c>
      <c r="J257" s="3">
        <f t="shared" si="112"/>
        <v>5.3908732093244024E-3</v>
      </c>
      <c r="K257" s="3">
        <f t="shared" si="121"/>
        <v>8.0829419215193044E-2</v>
      </c>
      <c r="L257" s="3">
        <f t="shared" si="127"/>
        <v>8.082941921519303E-2</v>
      </c>
      <c r="O257" s="9">
        <f t="shared" si="113"/>
        <v>8.0829419219816516E-5</v>
      </c>
      <c r="P257" s="9">
        <f t="shared" si="122"/>
        <v>12370.733084961166</v>
      </c>
      <c r="Q257" s="3">
        <f t="shared" si="114"/>
        <v>185498.70514727279</v>
      </c>
      <c r="R257" s="3">
        <f t="shared" si="115"/>
        <v>12370733.24660035</v>
      </c>
      <c r="S257" s="3">
        <f t="shared" si="116"/>
        <v>12370733.246600352</v>
      </c>
      <c r="T257" s="3"/>
      <c r="U257" s="3"/>
      <c r="V257" s="3">
        <f t="shared" si="117"/>
        <v>3335.3242005611642</v>
      </c>
      <c r="W257" s="3">
        <f t="shared" si="123"/>
        <v>817154.42913748522</v>
      </c>
      <c r="X257" s="3">
        <f t="shared" si="118"/>
        <v>66.694444444444471</v>
      </c>
      <c r="Y257" s="3">
        <f t="shared" si="119"/>
        <v>66.694444444444457</v>
      </c>
      <c r="Z257" s="3">
        <f t="shared" si="124"/>
        <v>222447.59459853769</v>
      </c>
    </row>
    <row r="258" spans="1:26" x14ac:dyDescent="0.45">
      <c r="A258">
        <f t="shared" si="128"/>
        <v>246</v>
      </c>
      <c r="B258" s="3">
        <f t="shared" si="107"/>
        <v>14.8720999405116</v>
      </c>
      <c r="C258" s="3">
        <f t="shared" si="129"/>
        <v>3658.5365853658536</v>
      </c>
      <c r="D258" s="3">
        <f t="shared" si="108"/>
        <v>1.326044627933303E-3</v>
      </c>
      <c r="E258" s="3">
        <f t="shared" si="109"/>
        <v>67.240000000000009</v>
      </c>
      <c r="F258" s="3"/>
      <c r="G258" s="3">
        <f t="shared" si="110"/>
        <v>82383869.110677302</v>
      </c>
      <c r="H258" s="3">
        <f t="shared" si="111"/>
        <v>365853.65853658534</v>
      </c>
      <c r="I258" s="3">
        <f t="shared" si="120"/>
        <v>41193559.221203104</v>
      </c>
      <c r="J258" s="3">
        <f t="shared" si="112"/>
        <v>5.3037601284716884E-3</v>
      </c>
      <c r="K258" s="3">
        <f t="shared" si="121"/>
        <v>7.8878050691131588E-2</v>
      </c>
      <c r="L258" s="3">
        <f t="shared" si="127"/>
        <v>7.8878050691131615E-2</v>
      </c>
      <c r="O258" s="9">
        <f t="shared" si="113"/>
        <v>7.8878050695643443E-5</v>
      </c>
      <c r="P258" s="9">
        <f t="shared" si="122"/>
        <v>12676.798084267713</v>
      </c>
      <c r="Q258" s="3">
        <f t="shared" si="114"/>
        <v>188545.48013485593</v>
      </c>
      <c r="R258" s="3">
        <f t="shared" si="115"/>
        <v>12676798.242005097</v>
      </c>
      <c r="S258" s="3">
        <f t="shared" si="116"/>
        <v>12676798.242005093</v>
      </c>
      <c r="T258" s="3"/>
      <c r="U258" s="3"/>
      <c r="V258" s="3">
        <f t="shared" si="117"/>
        <v>3348.9377687267197</v>
      </c>
      <c r="W258" s="3">
        <f t="shared" si="123"/>
        <v>823838.6911067731</v>
      </c>
      <c r="X258" s="3">
        <f t="shared" si="118"/>
        <v>67.240000000000009</v>
      </c>
      <c r="Y258" s="3">
        <f t="shared" si="119"/>
        <v>67.240000000000009</v>
      </c>
      <c r="Z258" s="3">
        <f t="shared" si="124"/>
        <v>225182.57556918467</v>
      </c>
    </row>
    <row r="259" spans="1:26" x14ac:dyDescent="0.45">
      <c r="A259">
        <f t="shared" si="128"/>
        <v>247</v>
      </c>
      <c r="B259" s="3">
        <f t="shared" si="107"/>
        <v>14.751921847596256</v>
      </c>
      <c r="C259" s="3">
        <f t="shared" si="129"/>
        <v>3643.7246963562752</v>
      </c>
      <c r="D259" s="3">
        <f t="shared" si="108"/>
        <v>1.3047002807500643E-3</v>
      </c>
      <c r="E259" s="3">
        <f t="shared" si="109"/>
        <v>67.787777777777777</v>
      </c>
      <c r="F259" s="3"/>
      <c r="G259" s="3">
        <f t="shared" si="110"/>
        <v>83055018.021239206</v>
      </c>
      <c r="H259" s="3">
        <f t="shared" si="111"/>
        <v>364372.46963562752</v>
      </c>
      <c r="I259" s="3">
        <f t="shared" si="120"/>
        <v>41529107.526212506</v>
      </c>
      <c r="J259" s="3">
        <f t="shared" si="112"/>
        <v>5.2183993722806285E-3</v>
      </c>
      <c r="K259" s="3">
        <f t="shared" si="121"/>
        <v>7.6981419709429191E-2</v>
      </c>
      <c r="L259" s="3">
        <f t="shared" si="127"/>
        <v>7.6981419709429191E-2</v>
      </c>
      <c r="O259" s="9">
        <f t="shared" si="113"/>
        <v>7.6981419713832564E-5</v>
      </c>
      <c r="P259" s="9">
        <f t="shared" si="122"/>
        <v>12989.147541021681</v>
      </c>
      <c r="Q259" s="3">
        <f t="shared" si="114"/>
        <v>191629.64131389651</v>
      </c>
      <c r="R259" s="3">
        <f t="shared" si="115"/>
        <v>12989147.694966687</v>
      </c>
      <c r="S259" s="3">
        <f t="shared" si="116"/>
        <v>12989147.694966689</v>
      </c>
      <c r="T259" s="3"/>
      <c r="U259" s="3"/>
      <c r="V259" s="3">
        <f t="shared" si="117"/>
        <v>3362.5513368922757</v>
      </c>
      <c r="W259" s="3">
        <f t="shared" si="123"/>
        <v>830550.18021239212</v>
      </c>
      <c r="X259" s="3">
        <f t="shared" si="118"/>
        <v>67.787777777777805</v>
      </c>
      <c r="Y259" s="3">
        <f t="shared" si="119"/>
        <v>67.787777777777777</v>
      </c>
      <c r="Z259" s="3">
        <f t="shared" si="124"/>
        <v>227939.88279162315</v>
      </c>
    </row>
    <row r="260" spans="1:26" x14ac:dyDescent="0.45">
      <c r="A260">
        <f t="shared" si="128"/>
        <v>248</v>
      </c>
      <c r="B260" s="3">
        <f t="shared" si="107"/>
        <v>14.633194588969824</v>
      </c>
      <c r="C260" s="3">
        <f t="shared" si="129"/>
        <v>3629.0322580645161</v>
      </c>
      <c r="D260" s="3">
        <f t="shared" si="108"/>
        <v>1.2837836655842344E-3</v>
      </c>
      <c r="E260" s="3">
        <f t="shared" si="109"/>
        <v>68.337777777777774</v>
      </c>
      <c r="F260" s="3"/>
      <c r="G260" s="3">
        <f t="shared" si="110"/>
        <v>83728889.645434216</v>
      </c>
      <c r="H260" s="3">
        <f t="shared" si="111"/>
        <v>362903.22580645164</v>
      </c>
      <c r="I260" s="3">
        <f t="shared" si="120"/>
        <v>41866017.712049305</v>
      </c>
      <c r="J260" s="3">
        <f t="shared" si="112"/>
        <v>5.1347488197253672E-3</v>
      </c>
      <c r="K260" s="3">
        <f t="shared" si="121"/>
        <v>7.5137778644524436E-2</v>
      </c>
      <c r="L260" s="3">
        <f t="shared" si="127"/>
        <v>7.5137778644524478E-2</v>
      </c>
      <c r="O260" s="9">
        <f t="shared" si="113"/>
        <v>7.5137778648822349E-5</v>
      </c>
      <c r="P260" s="9">
        <f t="shared" si="122"/>
        <v>13307.884265447648</v>
      </c>
      <c r="Q260" s="3">
        <f t="shared" si="114"/>
        <v>194751.49321837415</v>
      </c>
      <c r="R260" s="3">
        <f t="shared" si="115"/>
        <v>13307884.415706212</v>
      </c>
      <c r="S260" s="3">
        <f t="shared" si="116"/>
        <v>13307884.415706214</v>
      </c>
      <c r="T260" s="3"/>
      <c r="U260" s="3"/>
      <c r="V260" s="3">
        <f t="shared" si="117"/>
        <v>3376.1649050578317</v>
      </c>
      <c r="W260" s="3">
        <f t="shared" si="123"/>
        <v>837288.89645434229</v>
      </c>
      <c r="X260" s="3">
        <f t="shared" si="118"/>
        <v>68.337777777777802</v>
      </c>
      <c r="Y260" s="3">
        <f t="shared" si="119"/>
        <v>68.337777777777774</v>
      </c>
      <c r="Z260" s="3">
        <f t="shared" si="124"/>
        <v>230719.60702297429</v>
      </c>
    </row>
    <row r="261" spans="1:26" x14ac:dyDescent="0.45">
      <c r="A261">
        <f t="shared" si="128"/>
        <v>249</v>
      </c>
      <c r="B261" s="3">
        <f t="shared" si="107"/>
        <v>14.515894904920888</v>
      </c>
      <c r="C261" s="3">
        <f t="shared" si="129"/>
        <v>3614.457831325301</v>
      </c>
      <c r="D261" s="3">
        <f t="shared" si="108"/>
        <v>1.2632845376467283E-3</v>
      </c>
      <c r="E261" s="3">
        <f t="shared" si="109"/>
        <v>68.890000000000015</v>
      </c>
      <c r="F261" s="3"/>
      <c r="G261" s="3">
        <f t="shared" si="110"/>
        <v>84405483.983262345</v>
      </c>
      <c r="H261" s="3">
        <f t="shared" si="111"/>
        <v>361445.78313253011</v>
      </c>
      <c r="I261" s="3">
        <f t="shared" si="120"/>
        <v>42204289.766163975</v>
      </c>
      <c r="J261" s="3">
        <f t="shared" si="112"/>
        <v>5.0527675259338222E-3</v>
      </c>
      <c r="K261" s="3">
        <f t="shared" si="121"/>
        <v>7.3345442385452486E-2</v>
      </c>
      <c r="L261" s="3">
        <f t="shared" si="127"/>
        <v>7.33454423854525E-2</v>
      </c>
      <c r="O261" s="9">
        <f t="shared" si="113"/>
        <v>7.3345442389647874E-5</v>
      </c>
      <c r="P261" s="9">
        <f t="shared" si="122"/>
        <v>13633.112324082758</v>
      </c>
      <c r="Q261" s="3">
        <f t="shared" si="114"/>
        <v>197911.34161827201</v>
      </c>
      <c r="R261" s="3">
        <f t="shared" si="115"/>
        <v>13633112.470757453</v>
      </c>
      <c r="S261" s="3">
        <f t="shared" si="116"/>
        <v>13633112.470757449</v>
      </c>
      <c r="T261" s="3"/>
      <c r="U261" s="3"/>
      <c r="V261" s="3">
        <f t="shared" si="117"/>
        <v>3389.7784732233872</v>
      </c>
      <c r="W261" s="3">
        <f t="shared" si="123"/>
        <v>844054.83983262337</v>
      </c>
      <c r="X261" s="3">
        <f t="shared" si="118"/>
        <v>68.890000000000015</v>
      </c>
      <c r="Y261" s="3">
        <f t="shared" si="119"/>
        <v>68.890000000000015</v>
      </c>
      <c r="Z261" s="3">
        <f t="shared" si="124"/>
        <v>233521.83902035918</v>
      </c>
    </row>
    <row r="262" spans="1:26" x14ac:dyDescent="0.45">
      <c r="A262">
        <f t="shared" si="128"/>
        <v>250</v>
      </c>
      <c r="B262" s="3">
        <f t="shared" si="107"/>
        <v>14.4</v>
      </c>
      <c r="C262" s="3">
        <f t="shared" si="129"/>
        <v>3600</v>
      </c>
      <c r="D262" s="3">
        <f t="shared" si="108"/>
        <v>1.2431929372825538E-3</v>
      </c>
      <c r="E262" s="3">
        <f t="shared" si="109"/>
        <v>69.444444444444443</v>
      </c>
      <c r="F262" s="3"/>
      <c r="G262" s="3">
        <f t="shared" si="110"/>
        <v>85084801.034723565</v>
      </c>
      <c r="H262" s="3">
        <f t="shared" si="111"/>
        <v>360000</v>
      </c>
      <c r="I262" s="3">
        <f t="shared" si="120"/>
        <v>42543923.676356226</v>
      </c>
      <c r="J262" s="3">
        <f t="shared" si="112"/>
        <v>4.9724156848195257E-3</v>
      </c>
      <c r="K262" s="3">
        <f t="shared" si="121"/>
        <v>7.1602785861401175E-2</v>
      </c>
      <c r="L262" s="3">
        <f t="shared" si="127"/>
        <v>7.1602785861401175E-2</v>
      </c>
      <c r="O262" s="9">
        <f t="shared" si="113"/>
        <v>7.1602785865496887E-5</v>
      </c>
      <c r="P262" s="9">
        <f t="shared" si="122"/>
        <v>13964.937049969843</v>
      </c>
      <c r="Q262" s="3">
        <f t="shared" si="114"/>
        <v>201109.49351956576</v>
      </c>
      <c r="R262" s="3">
        <f t="shared" si="115"/>
        <v>13964937.193159981</v>
      </c>
      <c r="S262" s="3">
        <f t="shared" si="116"/>
        <v>13964937.193159983</v>
      </c>
      <c r="T262" s="3"/>
      <c r="U262" s="3"/>
      <c r="V262" s="3">
        <f t="shared" si="117"/>
        <v>3403.3920413889423</v>
      </c>
      <c r="W262" s="3">
        <f t="shared" si="123"/>
        <v>850848.0103472356</v>
      </c>
      <c r="X262" s="3">
        <f t="shared" si="118"/>
        <v>69.444444444444429</v>
      </c>
      <c r="Y262" s="3">
        <f t="shared" si="119"/>
        <v>69.444444444444443</v>
      </c>
      <c r="Z262" s="3">
        <f t="shared" si="124"/>
        <v>236346.66954089876</v>
      </c>
    </row>
    <row r="263" spans="1:26" x14ac:dyDescent="0.45">
      <c r="A263">
        <f t="shared" si="128"/>
        <v>251</v>
      </c>
      <c r="B263" s="3">
        <f t="shared" si="107"/>
        <v>14.285487531943938</v>
      </c>
      <c r="C263" s="3">
        <f t="shared" si="129"/>
        <v>3585.6573705179285</v>
      </c>
      <c r="D263" s="3">
        <f t="shared" si="108"/>
        <v>1.2234991809371828E-3</v>
      </c>
      <c r="E263" s="3">
        <f t="shared" si="109"/>
        <v>70.001111111111101</v>
      </c>
      <c r="F263" s="3"/>
      <c r="G263" s="3">
        <f t="shared" si="110"/>
        <v>85766840.79981792</v>
      </c>
      <c r="H263" s="3">
        <f t="shared" si="111"/>
        <v>358565.73705179285</v>
      </c>
      <c r="I263" s="3">
        <f t="shared" si="120"/>
        <v>42884919.430763952</v>
      </c>
      <c r="J263" s="3">
        <f t="shared" si="112"/>
        <v>4.8936545930430122E-3</v>
      </c>
      <c r="K263" s="3">
        <f t="shared" si="121"/>
        <v>6.9908241674556129E-2</v>
      </c>
      <c r="L263" s="3">
        <f t="shared" si="127"/>
        <v>6.9908241674556157E-2</v>
      </c>
      <c r="O263" s="9">
        <f t="shared" si="113"/>
        <v>6.9908241678554904E-5</v>
      </c>
      <c r="P263" s="9">
        <f t="shared" si="122"/>
        <v>14303.465052891763</v>
      </c>
      <c r="Q263" s="3">
        <f t="shared" si="114"/>
        <v>204346.25716421305</v>
      </c>
      <c r="R263" s="3">
        <f t="shared" si="115"/>
        <v>14303465.192693528</v>
      </c>
      <c r="S263" s="3">
        <f t="shared" si="116"/>
        <v>14303465.192693526</v>
      </c>
      <c r="T263" s="3"/>
      <c r="U263" s="3"/>
      <c r="V263" s="3">
        <f t="shared" si="117"/>
        <v>3417.0056095544983</v>
      </c>
      <c r="W263" s="3">
        <f t="shared" si="123"/>
        <v>857668.40799817909</v>
      </c>
      <c r="X263" s="3">
        <f t="shared" si="118"/>
        <v>70.001111111111101</v>
      </c>
      <c r="Y263" s="3">
        <f t="shared" si="119"/>
        <v>70.001111111111101</v>
      </c>
      <c r="Z263" s="3">
        <f t="shared" si="124"/>
        <v>239194.18934171434</v>
      </c>
    </row>
    <row r="264" spans="1:26" x14ac:dyDescent="0.45">
      <c r="A264">
        <f t="shared" si="128"/>
        <v>252</v>
      </c>
      <c r="B264" s="3">
        <f t="shared" si="107"/>
        <v>14.172335600907029</v>
      </c>
      <c r="C264" s="3">
        <f t="shared" si="129"/>
        <v>3571.4285714285716</v>
      </c>
      <c r="D264" s="3">
        <f t="shared" si="108"/>
        <v>1.2041938524436314E-3</v>
      </c>
      <c r="E264" s="3">
        <f t="shared" si="109"/>
        <v>70.559999999999988</v>
      </c>
      <c r="F264" s="3"/>
      <c r="G264" s="3">
        <f t="shared" si="110"/>
        <v>86451603.278545365</v>
      </c>
      <c r="H264" s="3">
        <f t="shared" si="111"/>
        <v>357142.85714285716</v>
      </c>
      <c r="I264" s="3">
        <f t="shared" si="120"/>
        <v>43227277.017852478</v>
      </c>
      <c r="J264" s="3">
        <f t="shared" si="112"/>
        <v>4.8164466152504498E-3</v>
      </c>
      <c r="K264" s="3">
        <f t="shared" si="121"/>
        <v>6.8260297835182115E-2</v>
      </c>
      <c r="L264" s="3">
        <f t="shared" si="127"/>
        <v>6.8260297835182115E-2</v>
      </c>
      <c r="O264" s="9">
        <f t="shared" si="113"/>
        <v>6.8260297839086632E-5</v>
      </c>
      <c r="P264" s="9">
        <f t="shared" si="122"/>
        <v>14648.804229646776</v>
      </c>
      <c r="Q264" s="3">
        <f t="shared" si="114"/>
        <v>207621.94203014136</v>
      </c>
      <c r="R264" s="3">
        <f t="shared" si="115"/>
        <v>14648804.366153333</v>
      </c>
      <c r="S264" s="3">
        <f t="shared" si="116"/>
        <v>14648804.366153337</v>
      </c>
      <c r="T264" s="3"/>
      <c r="U264" s="3"/>
      <c r="V264" s="3">
        <f t="shared" si="117"/>
        <v>3430.6191777200543</v>
      </c>
      <c r="W264" s="3">
        <f t="shared" si="123"/>
        <v>864516.03278545372</v>
      </c>
      <c r="X264" s="3">
        <f t="shared" si="118"/>
        <v>70.56</v>
      </c>
      <c r="Y264" s="3">
        <f t="shared" si="119"/>
        <v>70.559999999999988</v>
      </c>
      <c r="Z264" s="3">
        <f t="shared" si="124"/>
        <v>242064.48917992698</v>
      </c>
    </row>
    <row r="265" spans="1:26" x14ac:dyDescent="0.45">
      <c r="A265">
        <f t="shared" si="128"/>
        <v>253</v>
      </c>
      <c r="B265" s="3">
        <f t="shared" si="107"/>
        <v>14.06052273898983</v>
      </c>
      <c r="C265" s="3">
        <f t="shared" si="129"/>
        <v>3557.312252964427</v>
      </c>
      <c r="D265" s="3">
        <f t="shared" si="108"/>
        <v>1.1852677946176478E-3</v>
      </c>
      <c r="E265" s="3">
        <f t="shared" si="109"/>
        <v>71.121111111111119</v>
      </c>
      <c r="F265" s="3"/>
      <c r="G265" s="3">
        <f t="shared" si="110"/>
        <v>87139088.47090593</v>
      </c>
      <c r="H265" s="3">
        <f t="shared" si="111"/>
        <v>355731.22529644269</v>
      </c>
      <c r="I265" s="3">
        <f t="shared" si="120"/>
        <v>43570996.426404387</v>
      </c>
      <c r="J265" s="3">
        <f t="shared" si="112"/>
        <v>4.7407551505394005E-3</v>
      </c>
      <c r="K265" s="3">
        <f t="shared" si="121"/>
        <v>6.6657495594142399E-2</v>
      </c>
      <c r="L265" s="3">
        <f t="shared" si="127"/>
        <v>6.6657495594142413E-2</v>
      </c>
      <c r="O265" s="9">
        <f t="shared" si="113"/>
        <v>6.6657495597955235E-5</v>
      </c>
      <c r="P265" s="9">
        <f t="shared" si="122"/>
        <v>15001.063774365321</v>
      </c>
      <c r="Q265" s="3">
        <f t="shared" si="114"/>
        <v>210936.85883123919</v>
      </c>
      <c r="R265" s="3">
        <f t="shared" si="115"/>
        <v>15001063.907666927</v>
      </c>
      <c r="S265" s="3">
        <f t="shared" si="116"/>
        <v>15001063.907666931</v>
      </c>
      <c r="T265" s="3"/>
      <c r="U265" s="3"/>
      <c r="V265" s="3">
        <f t="shared" si="117"/>
        <v>3444.2327458856098</v>
      </c>
      <c r="W265" s="3">
        <f t="shared" si="123"/>
        <v>871390.88470905926</v>
      </c>
      <c r="X265" s="3">
        <f t="shared" si="118"/>
        <v>71.121111111111105</v>
      </c>
      <c r="Y265" s="3">
        <f t="shared" si="119"/>
        <v>71.121111111111119</v>
      </c>
      <c r="Z265" s="3">
        <f t="shared" si="124"/>
        <v>244957.6598126578</v>
      </c>
    </row>
    <row r="266" spans="1:26" x14ac:dyDescent="0.45">
      <c r="A266">
        <f t="shared" si="128"/>
        <v>254</v>
      </c>
      <c r="B266" s="3">
        <f t="shared" si="107"/>
        <v>13.950027900055801</v>
      </c>
      <c r="C266" s="3">
        <f t="shared" si="129"/>
        <v>3543.3070866141734</v>
      </c>
      <c r="D266" s="3">
        <f t="shared" si="108"/>
        <v>1.1667121011489474E-3</v>
      </c>
      <c r="E266" s="3">
        <f t="shared" si="109"/>
        <v>71.684444444444452</v>
      </c>
      <c r="F266" s="3"/>
      <c r="G266" s="3">
        <f t="shared" si="110"/>
        <v>87829296.376899615</v>
      </c>
      <c r="H266" s="3">
        <f t="shared" si="111"/>
        <v>354330.7086614173</v>
      </c>
      <c r="I266" s="3">
        <f t="shared" si="120"/>
        <v>43916077.645509489</v>
      </c>
      <c r="J266" s="3">
        <f t="shared" si="112"/>
        <v>4.6665446001038823E-3</v>
      </c>
      <c r="K266" s="3">
        <f t="shared" si="121"/>
        <v>6.5098427368303902E-2</v>
      </c>
      <c r="L266" s="3">
        <f t="shared" si="127"/>
        <v>6.5098427368303916E-2</v>
      </c>
      <c r="O266" s="9">
        <f t="shared" si="113"/>
        <v>6.5098427372027557E-5</v>
      </c>
      <c r="P266" s="9">
        <f t="shared" si="122"/>
        <v>15360.354188867774</v>
      </c>
      <c r="Q266" s="3">
        <f t="shared" si="114"/>
        <v>214291.3195173445</v>
      </c>
      <c r="R266" s="3">
        <f t="shared" si="115"/>
        <v>15360354.319051864</v>
      </c>
      <c r="S266" s="3">
        <f t="shared" si="116"/>
        <v>15360354.319051864</v>
      </c>
      <c r="T266" s="3"/>
      <c r="U266" s="3"/>
      <c r="V266" s="3">
        <f t="shared" si="117"/>
        <v>3457.8463140511658</v>
      </c>
      <c r="W266" s="3">
        <f t="shared" si="123"/>
        <v>878292.96376899607</v>
      </c>
      <c r="X266" s="3">
        <f t="shared" si="118"/>
        <v>71.684444444444452</v>
      </c>
      <c r="Y266" s="3">
        <f t="shared" si="119"/>
        <v>71.684444444444452</v>
      </c>
      <c r="Z266" s="3">
        <f t="shared" si="124"/>
        <v>247873.79199702782</v>
      </c>
    </row>
    <row r="267" spans="1:26" x14ac:dyDescent="0.45">
      <c r="A267">
        <f t="shared" si="128"/>
        <v>255</v>
      </c>
      <c r="B267" s="3">
        <f t="shared" si="107"/>
        <v>13.84083044982699</v>
      </c>
      <c r="C267" s="3">
        <f t="shared" si="129"/>
        <v>3529.4117647058824</v>
      </c>
      <c r="D267" s="3">
        <f t="shared" si="108"/>
        <v>1.1485181087769547E-3</v>
      </c>
      <c r="E267" s="3">
        <f t="shared" si="109"/>
        <v>72.25</v>
      </c>
      <c r="F267" s="3"/>
      <c r="G267" s="3">
        <f t="shared" si="110"/>
        <v>88522226.996526405</v>
      </c>
      <c r="H267" s="3">
        <f t="shared" si="111"/>
        <v>352941.17647058825</v>
      </c>
      <c r="I267" s="3">
        <f t="shared" si="120"/>
        <v>44262520.664555304</v>
      </c>
      <c r="J267" s="3">
        <f t="shared" si="112"/>
        <v>4.5937803360128066E-3</v>
      </c>
      <c r="K267" s="3">
        <f t="shared" si="121"/>
        <v>6.3581734754502517E-2</v>
      </c>
      <c r="L267" s="3">
        <f t="shared" si="127"/>
        <v>6.3581734754502503E-2</v>
      </c>
      <c r="O267" s="9">
        <f t="shared" si="113"/>
        <v>6.3581734758139422E-5</v>
      </c>
      <c r="P267" s="9">
        <f t="shared" si="122"/>
        <v>15726.787293063515</v>
      </c>
      <c r="Q267" s="3">
        <f t="shared" si="114"/>
        <v>217685.63727423552</v>
      </c>
      <c r="R267" s="3">
        <f t="shared" si="115"/>
        <v>15726787.420214802</v>
      </c>
      <c r="S267" s="3">
        <f t="shared" si="116"/>
        <v>15726787.420214806</v>
      </c>
      <c r="T267" s="3"/>
      <c r="U267" s="3"/>
      <c r="V267" s="3">
        <f t="shared" si="117"/>
        <v>3471.4598822167218</v>
      </c>
      <c r="W267" s="3">
        <f t="shared" si="123"/>
        <v>885222.26996526401</v>
      </c>
      <c r="X267" s="3">
        <f t="shared" si="118"/>
        <v>72.250000000000014</v>
      </c>
      <c r="Y267" s="3">
        <f t="shared" si="119"/>
        <v>72.25</v>
      </c>
      <c r="Z267" s="3">
        <f t="shared" si="124"/>
        <v>250812.97649015815</v>
      </c>
    </row>
    <row r="268" spans="1:26" x14ac:dyDescent="0.45">
      <c r="A268">
        <f t="shared" si="128"/>
        <v>256</v>
      </c>
      <c r="B268" s="3">
        <f t="shared" si="107"/>
        <v>13.73291015625</v>
      </c>
      <c r="C268" s="3">
        <f t="shared" si="129"/>
        <v>3515.625</v>
      </c>
      <c r="D268" s="3">
        <f t="shared" si="108"/>
        <v>1.130677389740007E-3</v>
      </c>
      <c r="E268" s="3">
        <f t="shared" si="109"/>
        <v>72.817777777777778</v>
      </c>
      <c r="F268" s="3"/>
      <c r="G268" s="3">
        <f t="shared" si="110"/>
        <v>89217880.329786301</v>
      </c>
      <c r="H268" s="3">
        <f t="shared" si="111"/>
        <v>351562.5</v>
      </c>
      <c r="I268" s="3">
        <f t="shared" si="120"/>
        <v>44610325.473217785</v>
      </c>
      <c r="J268" s="3">
        <f t="shared" si="112"/>
        <v>4.5224286710779113E-3</v>
      </c>
      <c r="K268" s="3">
        <f t="shared" si="121"/>
        <v>6.2106106627962038E-2</v>
      </c>
      <c r="L268" s="3">
        <f t="shared" si="127"/>
        <v>6.2106106627962045E-2</v>
      </c>
      <c r="O268" s="9">
        <f t="shared" si="113"/>
        <v>6.2106106631514536E-5</v>
      </c>
      <c r="P268" s="9">
        <f t="shared" si="122"/>
        <v>16100.47623539115</v>
      </c>
      <c r="Q268" s="3">
        <f t="shared" si="114"/>
        <v>221120.12652362115</v>
      </c>
      <c r="R268" s="3">
        <f t="shared" si="115"/>
        <v>16100476.359591737</v>
      </c>
      <c r="S268" s="3">
        <f t="shared" si="116"/>
        <v>16100476.359591739</v>
      </c>
      <c r="T268" s="3"/>
      <c r="U268" s="3"/>
      <c r="V268" s="3">
        <f t="shared" si="117"/>
        <v>3485.0734503822773</v>
      </c>
      <c r="W268" s="3">
        <f t="shared" si="123"/>
        <v>892178.80329786299</v>
      </c>
      <c r="X268" s="3">
        <f t="shared" si="118"/>
        <v>72.817777777777792</v>
      </c>
      <c r="Y268" s="3">
        <f t="shared" si="119"/>
        <v>72.817777777777778</v>
      </c>
      <c r="Z268" s="3">
        <f t="shared" si="124"/>
        <v>253775.30404916991</v>
      </c>
    </row>
    <row r="269" spans="1:26" x14ac:dyDescent="0.45">
      <c r="A269">
        <f t="shared" si="128"/>
        <v>257</v>
      </c>
      <c r="B269" s="3">
        <f t="shared" ref="B269:B332" si="130">REQD_MBPS*DIST_RINGS_EM^2/(IMPROVED_MBPS*IMPROVED_KM^2*A269^2)</f>
        <v>13.626247180123848</v>
      </c>
      <c r="C269" s="3">
        <f t="shared" si="129"/>
        <v>3501.9455252918287</v>
      </c>
      <c r="D269" s="3">
        <f t="shared" ref="D269:D332" si="131">IMPROVED_MBPS*IMPROVED_KM^2*B269^2/(4*PI()^2*AVG_SUN_DIST^2)</f>
        <v>1.1131817444874341E-3</v>
      </c>
      <c r="E269" s="3">
        <f t="shared" ref="E269:E332" si="132">IMPROVED_MBPS*IMPROVED_KM^2/(DIST_RINGS_EM/A269)^2</f>
        <v>73.387777777777785</v>
      </c>
      <c r="F269" s="3"/>
      <c r="G269" s="3">
        <f t="shared" ref="G269:G332" si="133">(2*PI()*AVG_SUN_DIST)/B269</f>
        <v>89916256.376679316</v>
      </c>
      <c r="H269" s="3">
        <f t="shared" ref="H269:H332" si="134">DIST_RINGS_EM/A269</f>
        <v>350194.55252918287</v>
      </c>
      <c r="I269" s="3">
        <f t="shared" si="120"/>
        <v>44959492.061452404</v>
      </c>
      <c r="J269" s="3">
        <f t="shared" ref="J269:J332" si="135">IMPROVED_MBPS*IMPROVED_KM^2/I269^2</f>
        <v>4.452456829769148E-3</v>
      </c>
      <c r="K269" s="3">
        <f t="shared" si="121"/>
        <v>6.0670277321265016E-2</v>
      </c>
      <c r="L269" s="3">
        <f t="shared" si="127"/>
        <v>6.0670277321265044E-2</v>
      </c>
      <c r="O269" s="9">
        <f t="shared" ref="O269:O332" si="136">K269/$K$13</f>
        <v>6.0670277324735381E-5</v>
      </c>
      <c r="P269" s="9">
        <f t="shared" si="122"/>
        <v>16481.53550329987</v>
      </c>
      <c r="Q269" s="3">
        <f t="shared" ref="Q269:Q332" si="137">B269*(1+P269)</f>
        <v>224595.10292313105</v>
      </c>
      <c r="R269" s="3">
        <f t="shared" ref="R269:R332" si="138">IMPROVED_MBPS*IMPROVED_KM^2/((PI()*AVG_SUN_DIST/Q269)^2+(DIST_RINGS_EM/A269)^2)*Q269</f>
        <v>16481535.624629326</v>
      </c>
      <c r="S269" s="3">
        <f t="shared" ref="S269:S332" si="139">IMPROVED_MBPS*IMPROVED_KM^2*Q269^3*A269^2/((A269*PI()*AVG_SUN_DIST)^2+(DIST_RINGS_EM*Q269)^2)</f>
        <v>16481535.624629332</v>
      </c>
      <c r="T269" s="3"/>
      <c r="U269" s="3"/>
      <c r="V269" s="3">
        <f t="shared" ref="V269:V332" si="140">2*PI()*AVG_SUN_DIST*A269/DIST_RINGS_EM</f>
        <v>3498.6870185478333</v>
      </c>
      <c r="W269" s="3">
        <f t="shared" si="123"/>
        <v>899162.56376679312</v>
      </c>
      <c r="X269" s="3">
        <f t="shared" ref="X269:X332" si="141">IMPROVED_MBPS*IMPROVED_KM^2*V269^2/(4*PI()^2*AVG_SUN_DIST^2)</f>
        <v>73.387777777777799</v>
      </c>
      <c r="Y269" s="3">
        <f t="shared" ref="Y269:Y332" si="142">IMPROVED_MBPS*IMPROVED_KM^2/(DIST_RINGS_EM/A269)^2</f>
        <v>73.387777777777785</v>
      </c>
      <c r="Z269" s="3">
        <f t="shared" si="124"/>
        <v>256760.8654311843</v>
      </c>
    </row>
    <row r="270" spans="1:26" x14ac:dyDescent="0.45">
      <c r="A270">
        <f t="shared" si="128"/>
        <v>258</v>
      </c>
      <c r="B270" s="3">
        <f t="shared" si="130"/>
        <v>13.520822065981612</v>
      </c>
      <c r="C270" s="3">
        <f t="shared" si="129"/>
        <v>3488.3720930232557</v>
      </c>
      <c r="D270" s="3">
        <f t="shared" si="131"/>
        <v>1.0960231946443909E-3</v>
      </c>
      <c r="E270" s="3">
        <f t="shared" si="132"/>
        <v>73.960000000000008</v>
      </c>
      <c r="F270" s="3"/>
      <c r="G270" s="3">
        <f t="shared" si="133"/>
        <v>90617355.137205437</v>
      </c>
      <c r="H270" s="3">
        <f t="shared" si="134"/>
        <v>348837.20930232556</v>
      </c>
      <c r="I270" s="3">
        <f t="shared" ref="I270:I333" si="143">SQRT((G270/2)^2+H270^2)</f>
        <v>45310020.419485547</v>
      </c>
      <c r="J270" s="3">
        <f t="shared" si="135"/>
        <v>4.3838329201372206E-3</v>
      </c>
      <c r="K270" s="3">
        <f t="shared" ref="K270:K333" si="144">J270*B270</f>
        <v>5.9273024880167939E-2</v>
      </c>
      <c r="L270" s="3">
        <f t="shared" si="127"/>
        <v>5.9273024880167974E-2</v>
      </c>
      <c r="O270" s="9">
        <f t="shared" si="136"/>
        <v>5.9273024883558382E-5</v>
      </c>
      <c r="P270" s="9">
        <f t="shared" ref="P270:P333" si="145">1/O270-1</f>
        <v>16870.080933772082</v>
      </c>
      <c r="Q270" s="3">
        <f t="shared" si="137"/>
        <v>228110.88336630721</v>
      </c>
      <c r="R270" s="3">
        <f t="shared" si="138"/>
        <v>16870081.052307539</v>
      </c>
      <c r="S270" s="3">
        <f t="shared" si="139"/>
        <v>16870081.052307535</v>
      </c>
      <c r="T270" s="3"/>
      <c r="U270" s="3"/>
      <c r="V270" s="3">
        <f t="shared" si="140"/>
        <v>3512.3005867133893</v>
      </c>
      <c r="W270" s="3">
        <f t="shared" ref="W270:W333" si="146">V270*A270</f>
        <v>906173.55137205438</v>
      </c>
      <c r="X270" s="3">
        <f t="shared" si="141"/>
        <v>73.960000000000022</v>
      </c>
      <c r="Y270" s="3">
        <f t="shared" si="142"/>
        <v>73.960000000000008</v>
      </c>
      <c r="Z270" s="3">
        <f t="shared" ref="Z270:Z333" si="147">Y270*V270</f>
        <v>259769.75139332231</v>
      </c>
    </row>
    <row r="271" spans="1:26" x14ac:dyDescent="0.45">
      <c r="A271">
        <f t="shared" si="128"/>
        <v>259</v>
      </c>
      <c r="B271" s="3">
        <f t="shared" si="130"/>
        <v>13.41661573321805</v>
      </c>
      <c r="C271" s="3">
        <f t="shared" si="129"/>
        <v>3474.9034749034749</v>
      </c>
      <c r="D271" s="3">
        <f t="shared" si="131"/>
        <v>1.0791939762197394E-3</v>
      </c>
      <c r="E271" s="3">
        <f t="shared" si="132"/>
        <v>74.534444444444432</v>
      </c>
      <c r="F271" s="3"/>
      <c r="G271" s="3">
        <f t="shared" si="133"/>
        <v>91321176.611364663</v>
      </c>
      <c r="H271" s="3">
        <f t="shared" si="134"/>
        <v>347490.34749034751</v>
      </c>
      <c r="I271" s="3">
        <f t="shared" si="143"/>
        <v>45661910.537806161</v>
      </c>
      <c r="J271" s="3">
        <f t="shared" si="135"/>
        <v>4.3165259067047467E-3</v>
      </c>
      <c r="K271" s="3">
        <f t="shared" si="144"/>
        <v>5.7913169392738217E-2</v>
      </c>
      <c r="L271" s="3">
        <f t="shared" si="127"/>
        <v>5.7913169392738231E-2</v>
      </c>
      <c r="O271" s="9">
        <f t="shared" si="136"/>
        <v>5.7913169396050876E-5</v>
      </c>
      <c r="P271" s="9">
        <f t="shared" si="145"/>
        <v>17266.229723887129</v>
      </c>
      <c r="Q271" s="3">
        <f t="shared" si="137"/>
        <v>231667.78598259442</v>
      </c>
      <c r="R271" s="3">
        <f t="shared" si="138"/>
        <v>17266229.839703348</v>
      </c>
      <c r="S271" s="3">
        <f t="shared" si="139"/>
        <v>17266229.839703355</v>
      </c>
      <c r="T271" s="3"/>
      <c r="U271" s="3"/>
      <c r="V271" s="3">
        <f t="shared" si="140"/>
        <v>3525.9141548789448</v>
      </c>
      <c r="W271" s="3">
        <f t="shared" si="146"/>
        <v>913211.76611364668</v>
      </c>
      <c r="X271" s="3">
        <f t="shared" si="141"/>
        <v>74.534444444444446</v>
      </c>
      <c r="Y271" s="3">
        <f t="shared" si="142"/>
        <v>74.534444444444432</v>
      </c>
      <c r="Z271" s="3">
        <f t="shared" si="147"/>
        <v>262802.05269270495</v>
      </c>
    </row>
    <row r="272" spans="1:26" x14ac:dyDescent="0.45">
      <c r="A272">
        <f t="shared" si="128"/>
        <v>260</v>
      </c>
      <c r="B272" s="3">
        <f t="shared" si="130"/>
        <v>13.31360946745562</v>
      </c>
      <c r="C272" s="3">
        <f t="shared" si="129"/>
        <v>3461.5384615384614</v>
      </c>
      <c r="D272" s="3">
        <f t="shared" si="131"/>
        <v>1.0626865330476819E-3</v>
      </c>
      <c r="E272" s="3">
        <f t="shared" si="132"/>
        <v>75.111111111111128</v>
      </c>
      <c r="F272" s="3"/>
      <c r="G272" s="3">
        <f t="shared" si="133"/>
        <v>92027720.799157023</v>
      </c>
      <c r="H272" s="3">
        <f t="shared" si="134"/>
        <v>346153.84615384613</v>
      </c>
      <c r="I272" s="3">
        <f t="shared" si="143"/>
        <v>46015162.407157779</v>
      </c>
      <c r="J272" s="3">
        <f t="shared" si="135"/>
        <v>4.2505055842890259E-3</v>
      </c>
      <c r="K272" s="3">
        <f t="shared" si="144"/>
        <v>5.6589571388463357E-2</v>
      </c>
      <c r="L272" s="3">
        <f t="shared" si="127"/>
        <v>5.6589571388463371E-2</v>
      </c>
      <c r="O272" s="9">
        <f t="shared" si="136"/>
        <v>5.6589571391700302E-5</v>
      </c>
      <c r="P272" s="9">
        <f t="shared" si="145"/>
        <v>17670.100441426293</v>
      </c>
      <c r="Q272" s="3">
        <f t="shared" si="137"/>
        <v>235266.13013733231</v>
      </c>
      <c r="R272" s="3">
        <f t="shared" si="138"/>
        <v>17670100.55459578</v>
      </c>
      <c r="S272" s="3">
        <f t="shared" si="139"/>
        <v>17670100.554595776</v>
      </c>
      <c r="T272" s="3"/>
      <c r="U272" s="3"/>
      <c r="V272" s="3">
        <f t="shared" si="140"/>
        <v>3539.5277230445008</v>
      </c>
      <c r="W272" s="3">
        <f t="shared" si="146"/>
        <v>920277.20799157023</v>
      </c>
      <c r="X272" s="3">
        <f t="shared" si="141"/>
        <v>75.111111111111143</v>
      </c>
      <c r="Y272" s="3">
        <f t="shared" si="142"/>
        <v>75.111111111111128</v>
      </c>
      <c r="Z272" s="3">
        <f t="shared" si="147"/>
        <v>265857.86008645367</v>
      </c>
    </row>
    <row r="273" spans="1:26" x14ac:dyDescent="0.45">
      <c r="A273">
        <f t="shared" si="128"/>
        <v>261</v>
      </c>
      <c r="B273" s="3">
        <f t="shared" si="130"/>
        <v>13.21178491214163</v>
      </c>
      <c r="C273" s="3">
        <f t="shared" si="129"/>
        <v>3448.2758620689651</v>
      </c>
      <c r="D273" s="3">
        <f t="shared" si="131"/>
        <v>1.0464935104542504E-3</v>
      </c>
      <c r="E273" s="3">
        <f t="shared" si="132"/>
        <v>75.689999999999984</v>
      </c>
      <c r="F273" s="3"/>
      <c r="G273" s="3">
        <f t="shared" si="133"/>
        <v>92736987.700582474</v>
      </c>
      <c r="H273" s="3">
        <f t="shared" si="134"/>
        <v>344827.58620689658</v>
      </c>
      <c r="I273" s="3">
        <f t="shared" si="143"/>
        <v>46369776.018530704</v>
      </c>
      <c r="J273" s="3">
        <f t="shared" si="135"/>
        <v>4.1857425527210652E-3</v>
      </c>
      <c r="K273" s="3">
        <f t="shared" si="144"/>
        <v>5.5301130304149355E-2</v>
      </c>
      <c r="L273" s="3">
        <f t="shared" si="127"/>
        <v>5.5301130304149362E-2</v>
      </c>
      <c r="O273" s="9">
        <f t="shared" si="136"/>
        <v>5.53011303073126E-5</v>
      </c>
      <c r="P273" s="9">
        <f t="shared" si="145"/>
        <v>18081.81303551887</v>
      </c>
      <c r="Q273" s="3">
        <f t="shared" si="137"/>
        <v>238906.23643174619</v>
      </c>
      <c r="R273" s="3">
        <f t="shared" si="138"/>
        <v>18081813.146111898</v>
      </c>
      <c r="S273" s="3">
        <f t="shared" si="139"/>
        <v>18081813.146111902</v>
      </c>
      <c r="T273" s="3"/>
      <c r="U273" s="3"/>
      <c r="V273" s="3">
        <f t="shared" si="140"/>
        <v>3553.1412912100564</v>
      </c>
      <c r="W273" s="3">
        <f t="shared" si="146"/>
        <v>927369.8770058247</v>
      </c>
      <c r="X273" s="3">
        <f t="shared" si="141"/>
        <v>75.69</v>
      </c>
      <c r="Y273" s="3">
        <f t="shared" si="142"/>
        <v>75.689999999999984</v>
      </c>
      <c r="Z273" s="3">
        <f t="shared" si="147"/>
        <v>268937.2643316891</v>
      </c>
    </row>
    <row r="274" spans="1:26" x14ac:dyDescent="0.45">
      <c r="A274">
        <f t="shared" si="128"/>
        <v>262</v>
      </c>
      <c r="B274" s="3">
        <f t="shared" si="130"/>
        <v>13.111124060369443</v>
      </c>
      <c r="C274" s="3">
        <f t="shared" si="129"/>
        <v>3435.1145038167942</v>
      </c>
      <c r="D274" s="3">
        <f t="shared" si="131"/>
        <v>1.0306077491401043E-3</v>
      </c>
      <c r="E274" s="3">
        <f t="shared" si="132"/>
        <v>76.271111111111097</v>
      </c>
      <c r="F274" s="3"/>
      <c r="G274" s="3">
        <f t="shared" si="133"/>
        <v>93448977.315641031</v>
      </c>
      <c r="H274" s="3">
        <f t="shared" si="134"/>
        <v>343511.4503816794</v>
      </c>
      <c r="I274" s="3">
        <f t="shared" si="143"/>
        <v>46725751.363154568</v>
      </c>
      <c r="J274" s="3">
        <f t="shared" si="135"/>
        <v>4.1222081924268579E-3</v>
      </c>
      <c r="K274" s="3">
        <f t="shared" si="144"/>
        <v>5.4046783013579805E-2</v>
      </c>
      <c r="L274" s="3">
        <f t="shared" si="127"/>
        <v>5.4046783013579805E-2</v>
      </c>
      <c r="O274" s="9">
        <f t="shared" si="136"/>
        <v>5.4046783016671302E-5</v>
      </c>
      <c r="P274" s="9">
        <f t="shared" si="145"/>
        <v>18501.488847329532</v>
      </c>
      <c r="Q274" s="3">
        <f t="shared" si="137"/>
        <v>242588.42670293953</v>
      </c>
      <c r="R274" s="3">
        <f t="shared" si="138"/>
        <v>18501488.95541428</v>
      </c>
      <c r="S274" s="3">
        <f t="shared" si="139"/>
        <v>18501488.95541428</v>
      </c>
      <c r="T274" s="3"/>
      <c r="U274" s="3"/>
      <c r="V274" s="3">
        <f t="shared" si="140"/>
        <v>3566.7548593756123</v>
      </c>
      <c r="W274" s="3">
        <f t="shared" si="146"/>
        <v>934489.77315641043</v>
      </c>
      <c r="X274" s="3">
        <f t="shared" si="141"/>
        <v>76.271111111111139</v>
      </c>
      <c r="Y274" s="3">
        <f t="shared" si="142"/>
        <v>76.271111111111097</v>
      </c>
      <c r="Z274" s="3">
        <f t="shared" si="147"/>
        <v>272040.35618553276</v>
      </c>
    </row>
    <row r="275" spans="1:26" x14ac:dyDescent="0.45">
      <c r="A275">
        <f t="shared" si="128"/>
        <v>263</v>
      </c>
      <c r="B275" s="3">
        <f t="shared" si="130"/>
        <v>13.011609246916972</v>
      </c>
      <c r="C275" s="3">
        <f t="shared" si="129"/>
        <v>3422.0532319391637</v>
      </c>
      <c r="D275" s="3">
        <f t="shared" si="131"/>
        <v>1.0150222792714742E-3</v>
      </c>
      <c r="E275" s="3">
        <f t="shared" si="132"/>
        <v>76.854444444444439</v>
      </c>
      <c r="F275" s="3"/>
      <c r="G275" s="3">
        <f t="shared" si="133"/>
        <v>94163689.644332707</v>
      </c>
      <c r="H275" s="3">
        <f t="shared" si="134"/>
        <v>342205.32319391635</v>
      </c>
      <c r="I275" s="3">
        <f t="shared" si="143"/>
        <v>47083088.432491079</v>
      </c>
      <c r="J275" s="3">
        <f t="shared" si="135"/>
        <v>4.0598746408384238E-3</v>
      </c>
      <c r="K275" s="3">
        <f t="shared" si="144"/>
        <v>5.2825502418056954E-2</v>
      </c>
      <c r="L275" s="3">
        <f t="shared" si="127"/>
        <v>5.2825502418056967E-2</v>
      </c>
      <c r="O275" s="9">
        <f t="shared" si="136"/>
        <v>5.2825502421078594E-5</v>
      </c>
      <c r="P275" s="9">
        <f t="shared" si="145"/>
        <v>18929.250620786843</v>
      </c>
      <c r="Q275" s="3">
        <f t="shared" si="137"/>
        <v>246313.02402388584</v>
      </c>
      <c r="R275" s="3">
        <f t="shared" si="138"/>
        <v>18929250.726429418</v>
      </c>
      <c r="S275" s="3">
        <f t="shared" si="139"/>
        <v>18929250.726429414</v>
      </c>
      <c r="T275" s="3"/>
      <c r="U275" s="3"/>
      <c r="V275" s="3">
        <f t="shared" si="140"/>
        <v>3580.3684275411674</v>
      </c>
      <c r="W275" s="3">
        <f t="shared" si="146"/>
        <v>941636.89644332707</v>
      </c>
      <c r="X275" s="3">
        <f t="shared" si="141"/>
        <v>76.854444444444425</v>
      </c>
      <c r="Y275" s="3">
        <f t="shared" si="142"/>
        <v>76.854444444444439</v>
      </c>
      <c r="Z275" s="3">
        <f t="shared" si="147"/>
        <v>275167.22640510555</v>
      </c>
    </row>
    <row r="276" spans="1:26" x14ac:dyDescent="0.45">
      <c r="A276">
        <f t="shared" si="128"/>
        <v>264</v>
      </c>
      <c r="B276" s="3">
        <f t="shared" si="130"/>
        <v>12.913223140495868</v>
      </c>
      <c r="C276" s="3">
        <f t="shared" si="129"/>
        <v>3409.090909090909</v>
      </c>
      <c r="D276" s="3">
        <f t="shared" si="131"/>
        <v>9.9973031477140349E-4</v>
      </c>
      <c r="E276" s="3">
        <f t="shared" si="132"/>
        <v>77.440000000000012</v>
      </c>
      <c r="F276" s="3"/>
      <c r="G276" s="3">
        <f t="shared" si="133"/>
        <v>94881124.686657503</v>
      </c>
      <c r="H276" s="3">
        <f t="shared" si="134"/>
        <v>340909.09090909088</v>
      </c>
      <c r="I276" s="3">
        <f t="shared" si="143"/>
        <v>47441787.218226999</v>
      </c>
      <c r="J276" s="3">
        <f t="shared" si="135"/>
        <v>3.9987147696034179E-3</v>
      </c>
      <c r="K276" s="3">
        <f t="shared" si="144"/>
        <v>5.1636296095085459E-2</v>
      </c>
      <c r="L276" s="3">
        <f t="shared" si="127"/>
        <v>5.1636296095085465E-2</v>
      </c>
      <c r="O276" s="9">
        <f t="shared" si="136"/>
        <v>5.1636296098039078E-5</v>
      </c>
      <c r="P276" s="9">
        <f t="shared" si="145"/>
        <v>19365.222513352885</v>
      </c>
      <c r="Q276" s="3">
        <f t="shared" si="137"/>
        <v>250080.3527034205</v>
      </c>
      <c r="R276" s="3">
        <f t="shared" si="138"/>
        <v>19365222.616617423</v>
      </c>
      <c r="S276" s="3">
        <f t="shared" si="139"/>
        <v>19365222.616617423</v>
      </c>
      <c r="T276" s="3"/>
      <c r="U276" s="3"/>
      <c r="V276" s="3">
        <f t="shared" si="140"/>
        <v>3593.9819957067234</v>
      </c>
      <c r="W276" s="3">
        <f t="shared" si="146"/>
        <v>948811.24686657498</v>
      </c>
      <c r="X276" s="3">
        <f t="shared" si="141"/>
        <v>77.44</v>
      </c>
      <c r="Y276" s="3">
        <f t="shared" si="142"/>
        <v>77.440000000000012</v>
      </c>
      <c r="Z276" s="3">
        <f t="shared" si="147"/>
        <v>278317.96574752871</v>
      </c>
    </row>
    <row r="277" spans="1:26" x14ac:dyDescent="0.45">
      <c r="A277">
        <f t="shared" si="128"/>
        <v>265</v>
      </c>
      <c r="B277" s="3">
        <f t="shared" si="130"/>
        <v>12.815948736205055</v>
      </c>
      <c r="C277" s="3">
        <f t="shared" si="129"/>
        <v>3396.2264150943397</v>
      </c>
      <c r="D277" s="3">
        <f t="shared" si="131"/>
        <v>9.8472524780377261E-4</v>
      </c>
      <c r="E277" s="3">
        <f t="shared" si="132"/>
        <v>78.027777777777771</v>
      </c>
      <c r="F277" s="3"/>
      <c r="G277" s="3">
        <f t="shared" si="133"/>
        <v>95601282.442615405</v>
      </c>
      <c r="H277" s="3">
        <f t="shared" si="134"/>
        <v>339622.64150943398</v>
      </c>
      <c r="I277" s="3">
        <f t="shared" si="143"/>
        <v>47801847.712267429</v>
      </c>
      <c r="J277" s="3">
        <f t="shared" si="135"/>
        <v>3.9387021625633713E-3</v>
      </c>
      <c r="K277" s="3">
        <f t="shared" si="144"/>
        <v>5.0478205002592154E-2</v>
      </c>
      <c r="L277" s="3">
        <f t="shared" si="127"/>
        <v>5.0478205002592154E-2</v>
      </c>
      <c r="O277" s="9">
        <f t="shared" si="136"/>
        <v>5.0478205005479525E-5</v>
      </c>
      <c r="P277" s="9">
        <f t="shared" si="145"/>
        <v>19809.53010683418</v>
      </c>
      <c r="Q277" s="3">
        <f t="shared" si="137"/>
        <v>253890.73828623368</v>
      </c>
      <c r="R277" s="3">
        <f t="shared" si="138"/>
        <v>19809530.207782887</v>
      </c>
      <c r="S277" s="3">
        <f t="shared" si="139"/>
        <v>19809530.207782891</v>
      </c>
      <c r="T277" s="3"/>
      <c r="U277" s="3"/>
      <c r="V277" s="3">
        <f t="shared" si="140"/>
        <v>3607.5955638722794</v>
      </c>
      <c r="W277" s="3">
        <f t="shared" si="146"/>
        <v>956012.82442615402</v>
      </c>
      <c r="X277" s="3">
        <f t="shared" si="141"/>
        <v>78.027777777777786</v>
      </c>
      <c r="Y277" s="3">
        <f t="shared" si="142"/>
        <v>78.027777777777771</v>
      </c>
      <c r="Z277" s="3">
        <f t="shared" si="147"/>
        <v>281492.66496992309</v>
      </c>
    </row>
    <row r="278" spans="1:26" x14ac:dyDescent="0.45">
      <c r="A278">
        <f t="shared" si="128"/>
        <v>266</v>
      </c>
      <c r="B278" s="3">
        <f t="shared" si="130"/>
        <v>12.719769348182487</v>
      </c>
      <c r="C278" s="3">
        <f t="shared" si="129"/>
        <v>3383.4586466165415</v>
      </c>
      <c r="D278" s="3">
        <f t="shared" si="131"/>
        <v>9.7000064344290383E-4</v>
      </c>
      <c r="E278" s="3">
        <f t="shared" si="132"/>
        <v>78.617777777777789</v>
      </c>
      <c r="F278" s="3"/>
      <c r="G278" s="3">
        <f t="shared" si="133"/>
        <v>96324162.912206411</v>
      </c>
      <c r="H278" s="3">
        <f t="shared" si="134"/>
        <v>338345.86466165411</v>
      </c>
      <c r="I278" s="3">
        <f t="shared" si="143"/>
        <v>48163269.906729273</v>
      </c>
      <c r="J278" s="3">
        <f t="shared" si="135"/>
        <v>3.8798110944719228E-3</v>
      </c>
      <c r="K278" s="3">
        <f t="shared" si="144"/>
        <v>4.9350302236202313E-2</v>
      </c>
      <c r="L278" s="3">
        <f t="shared" ref="L278:L341" si="148">IMPROVED_MBPS*IMPROVED_KM^2*B278^3*A278^2/((A278*PI()*AVG_SUN_DIST)^2+(DIST_RINGS_EM*B278)^2)</f>
        <v>4.9350302236202299E-2</v>
      </c>
      <c r="O278" s="9">
        <f t="shared" si="136"/>
        <v>4.9350302239025169E-5</v>
      </c>
      <c r="P278" s="9">
        <f t="shared" si="145"/>
        <v>20262.300418233735</v>
      </c>
      <c r="Q278" s="3">
        <f t="shared" si="137"/>
        <v>257744.50755286284</v>
      </c>
      <c r="R278" s="3">
        <f t="shared" si="138"/>
        <v>20262300.516926978</v>
      </c>
      <c r="S278" s="3">
        <f t="shared" si="139"/>
        <v>20262300.516926978</v>
      </c>
      <c r="T278" s="3"/>
      <c r="U278" s="3"/>
      <c r="V278" s="3">
        <f t="shared" si="140"/>
        <v>3621.2091320378349</v>
      </c>
      <c r="W278" s="3">
        <f t="shared" si="146"/>
        <v>963241.6291220641</v>
      </c>
      <c r="X278" s="3">
        <f t="shared" si="141"/>
        <v>78.617777777777789</v>
      </c>
      <c r="Y278" s="3">
        <f t="shared" si="142"/>
        <v>78.617777777777789</v>
      </c>
      <c r="Z278" s="3">
        <f t="shared" si="147"/>
        <v>284691.41482941009</v>
      </c>
    </row>
    <row r="279" spans="1:26" x14ac:dyDescent="0.45">
      <c r="A279">
        <f t="shared" si="128"/>
        <v>267</v>
      </c>
      <c r="B279" s="3">
        <f t="shared" si="130"/>
        <v>12.624668602449185</v>
      </c>
      <c r="C279" s="3">
        <f t="shared" si="129"/>
        <v>3370.7865168539324</v>
      </c>
      <c r="D279" s="3">
        <f t="shared" si="131"/>
        <v>9.555502345218273E-4</v>
      </c>
      <c r="E279" s="3">
        <f t="shared" si="132"/>
        <v>79.210000000000008</v>
      </c>
      <c r="F279" s="3"/>
      <c r="G279" s="3">
        <f t="shared" si="133"/>
        <v>97049766.095430538</v>
      </c>
      <c r="H279" s="3">
        <f t="shared" si="134"/>
        <v>337078.65168539324</v>
      </c>
      <c r="I279" s="3">
        <f t="shared" si="143"/>
        <v>48526053.793934926</v>
      </c>
      <c r="J279" s="3">
        <f t="shared" si="135"/>
        <v>3.8220165104255049E-3</v>
      </c>
      <c r="K279" s="3">
        <f t="shared" si="144"/>
        <v>4.8251691837211272E-2</v>
      </c>
      <c r="L279" s="3">
        <f t="shared" si="148"/>
        <v>4.8251691837211258E-2</v>
      </c>
      <c r="O279" s="9">
        <f t="shared" si="136"/>
        <v>4.8251691839971287E-5</v>
      </c>
      <c r="P279" s="9">
        <f t="shared" si="145"/>
        <v>20723.661910644314</v>
      </c>
      <c r="Q279" s="3">
        <f t="shared" si="137"/>
        <v>261641.98851968581</v>
      </c>
      <c r="R279" s="3">
        <f t="shared" si="138"/>
        <v>20723662.007140655</v>
      </c>
      <c r="S279" s="3">
        <f t="shared" si="139"/>
        <v>20723662.007140655</v>
      </c>
      <c r="T279" s="3"/>
      <c r="U279" s="3"/>
      <c r="V279" s="3">
        <f t="shared" si="140"/>
        <v>3634.8227002033909</v>
      </c>
      <c r="W279" s="3">
        <f t="shared" si="146"/>
        <v>970497.66095430532</v>
      </c>
      <c r="X279" s="3">
        <f t="shared" si="141"/>
        <v>79.210000000000008</v>
      </c>
      <c r="Y279" s="3">
        <f t="shared" si="142"/>
        <v>79.210000000000008</v>
      </c>
      <c r="Z279" s="3">
        <f t="shared" si="147"/>
        <v>287914.30608311063</v>
      </c>
    </row>
    <row r="280" spans="1:26" x14ac:dyDescent="0.45">
      <c r="A280">
        <f t="shared" ref="A280:A343" si="149">A279+1</f>
        <v>268</v>
      </c>
      <c r="B280" s="3">
        <f t="shared" si="130"/>
        <v>12.530630429939853</v>
      </c>
      <c r="C280" s="3">
        <f t="shared" ref="C280:C343" si="150">B280*A280</f>
        <v>3358.2089552238808</v>
      </c>
      <c r="D280" s="3">
        <f t="shared" si="131"/>
        <v>9.4136791665259143E-4</v>
      </c>
      <c r="E280" s="3">
        <f t="shared" si="132"/>
        <v>79.804444444444457</v>
      </c>
      <c r="F280" s="3"/>
      <c r="G280" s="3">
        <f t="shared" si="133"/>
        <v>97778091.99228777</v>
      </c>
      <c r="H280" s="3">
        <f t="shared" si="134"/>
        <v>335820.89552238805</v>
      </c>
      <c r="I280" s="3">
        <f t="shared" si="143"/>
        <v>48890199.366406165</v>
      </c>
      <c r="J280" s="3">
        <f t="shared" si="135"/>
        <v>3.7652940059801246E-3</v>
      </c>
      <c r="K280" s="3">
        <f t="shared" si="144"/>
        <v>4.7181507649004681E-2</v>
      </c>
      <c r="L280" s="3">
        <f t="shared" si="148"/>
        <v>4.7181507649004688E-2</v>
      </c>
      <c r="O280" s="9">
        <f t="shared" si="136"/>
        <v>4.7181507651703485E-5</v>
      </c>
      <c r="P280" s="9">
        <f t="shared" si="145"/>
        <v>21193.744504182774</v>
      </c>
      <c r="Q280" s="3">
        <f t="shared" si="137"/>
        <v>265583.51043891313</v>
      </c>
      <c r="R280" s="3">
        <f t="shared" si="138"/>
        <v>21193744.598539058</v>
      </c>
      <c r="S280" s="3">
        <f t="shared" si="139"/>
        <v>21193744.598539051</v>
      </c>
      <c r="T280" s="3"/>
      <c r="U280" s="3"/>
      <c r="V280" s="3">
        <f t="shared" si="140"/>
        <v>3648.4362683689465</v>
      </c>
      <c r="W280" s="3">
        <f t="shared" si="146"/>
        <v>977780.91992287769</v>
      </c>
      <c r="X280" s="3">
        <f t="shared" si="141"/>
        <v>79.804444444444457</v>
      </c>
      <c r="Y280" s="3">
        <f t="shared" si="142"/>
        <v>79.804444444444457</v>
      </c>
      <c r="Z280" s="3">
        <f t="shared" si="147"/>
        <v>291161.4294881458</v>
      </c>
    </row>
    <row r="281" spans="1:26" x14ac:dyDescent="0.45">
      <c r="A281">
        <f t="shared" si="149"/>
        <v>269</v>
      </c>
      <c r="B281" s="3">
        <f t="shared" si="130"/>
        <v>12.437639059714487</v>
      </c>
      <c r="C281" s="3">
        <f t="shared" si="150"/>
        <v>3345.724907063197</v>
      </c>
      <c r="D281" s="3">
        <f t="shared" si="131"/>
        <v>9.2744774341224244E-4</v>
      </c>
      <c r="E281" s="3">
        <f t="shared" si="132"/>
        <v>80.401111111111121</v>
      </c>
      <c r="F281" s="3"/>
      <c r="G281" s="3">
        <f t="shared" si="133"/>
        <v>98509140.602778122</v>
      </c>
      <c r="H281" s="3">
        <f t="shared" si="134"/>
        <v>334572.49070631969</v>
      </c>
      <c r="I281" s="3">
        <f t="shared" si="143"/>
        <v>49255706.616858266</v>
      </c>
      <c r="J281" s="3">
        <f t="shared" si="135"/>
        <v>3.7096198079288817E-3</v>
      </c>
      <c r="K281" s="3">
        <f t="shared" si="144"/>
        <v>4.6138912219786811E-2</v>
      </c>
      <c r="L281" s="3">
        <f t="shared" si="148"/>
        <v>4.6138912219786832E-2</v>
      </c>
      <c r="O281" s="9">
        <f t="shared" si="136"/>
        <v>4.6138912222425972E-5</v>
      </c>
      <c r="P281" s="9">
        <f t="shared" si="145"/>
        <v>21672.679586965787</v>
      </c>
      <c r="Q281" s="3">
        <f t="shared" si="137"/>
        <v>269569.40379858221</v>
      </c>
      <c r="R281" s="3">
        <f t="shared" si="138"/>
        <v>21672679.679237168</v>
      </c>
      <c r="S281" s="3">
        <f t="shared" si="139"/>
        <v>21672679.679237172</v>
      </c>
      <c r="T281" s="3"/>
      <c r="U281" s="3"/>
      <c r="V281" s="3">
        <f t="shared" si="140"/>
        <v>3662.0498365345024</v>
      </c>
      <c r="W281" s="3">
        <f t="shared" si="146"/>
        <v>985091.4060277812</v>
      </c>
      <c r="X281" s="3">
        <f t="shared" si="141"/>
        <v>80.401111111111121</v>
      </c>
      <c r="Y281" s="3">
        <f t="shared" si="142"/>
        <v>80.401111111111121</v>
      </c>
      <c r="Z281" s="3">
        <f t="shared" si="147"/>
        <v>294432.87580163684</v>
      </c>
    </row>
    <row r="282" spans="1:26" x14ac:dyDescent="0.45">
      <c r="A282">
        <f t="shared" si="149"/>
        <v>270</v>
      </c>
      <c r="B282" s="3">
        <f t="shared" si="130"/>
        <v>12.345679012345679</v>
      </c>
      <c r="C282" s="3">
        <f t="shared" si="150"/>
        <v>3333.3333333333335</v>
      </c>
      <c r="D282" s="3">
        <f t="shared" si="131"/>
        <v>9.1378392168838614E-4</v>
      </c>
      <c r="E282" s="3">
        <f t="shared" si="132"/>
        <v>81.000000000000014</v>
      </c>
      <c r="F282" s="3"/>
      <c r="G282" s="3">
        <f t="shared" si="133"/>
        <v>99242911.926901579</v>
      </c>
      <c r="H282" s="3">
        <f t="shared" si="134"/>
        <v>333333.33333333331</v>
      </c>
      <c r="I282" s="3">
        <f t="shared" si="143"/>
        <v>49622575.538194276</v>
      </c>
      <c r="J282" s="3">
        <f t="shared" si="135"/>
        <v>3.6549707557159724E-3</v>
      </c>
      <c r="K282" s="3">
        <f t="shared" si="144"/>
        <v>4.5123095749579907E-2</v>
      </c>
      <c r="L282" s="3">
        <f t="shared" si="148"/>
        <v>4.5123095749579921E-2</v>
      </c>
      <c r="O282" s="9">
        <f t="shared" si="136"/>
        <v>4.5123095752160969E-5</v>
      </c>
      <c r="P282" s="9">
        <f t="shared" si="145"/>
        <v>22160.600026126522</v>
      </c>
      <c r="Q282" s="3">
        <f t="shared" si="137"/>
        <v>273600.00032254966</v>
      </c>
      <c r="R282" s="3">
        <f t="shared" si="138"/>
        <v>22160600.11636655</v>
      </c>
      <c r="S282" s="3">
        <f t="shared" si="139"/>
        <v>22160600.116366547</v>
      </c>
      <c r="T282" s="3"/>
      <c r="U282" s="3"/>
      <c r="V282" s="3">
        <f t="shared" si="140"/>
        <v>3675.6634047000584</v>
      </c>
      <c r="W282" s="3">
        <f t="shared" si="146"/>
        <v>992429.11926901573</v>
      </c>
      <c r="X282" s="3">
        <f t="shared" si="141"/>
        <v>81.000000000000014</v>
      </c>
      <c r="Y282" s="3">
        <f t="shared" si="142"/>
        <v>81.000000000000014</v>
      </c>
      <c r="Z282" s="3">
        <f t="shared" si="147"/>
        <v>297728.73578070477</v>
      </c>
    </row>
    <row r="283" spans="1:26" x14ac:dyDescent="0.45">
      <c r="A283">
        <f t="shared" si="149"/>
        <v>271</v>
      </c>
      <c r="B283" s="3">
        <f t="shared" si="130"/>
        <v>12.254735093476397</v>
      </c>
      <c r="C283" s="3">
        <f t="shared" si="150"/>
        <v>3321.0332103321034</v>
      </c>
      <c r="D283" s="3">
        <f t="shared" si="131"/>
        <v>9.0037080717846366E-4</v>
      </c>
      <c r="E283" s="3">
        <f t="shared" si="132"/>
        <v>81.601111111111123</v>
      </c>
      <c r="F283" s="3"/>
      <c r="G283" s="3">
        <f t="shared" si="133"/>
        <v>99979405.964658141</v>
      </c>
      <c r="H283" s="3">
        <f t="shared" si="134"/>
        <v>332103.32103321032</v>
      </c>
      <c r="I283" s="3">
        <f t="shared" si="143"/>
        <v>49990806.123499565</v>
      </c>
      <c r="J283" s="3">
        <f t="shared" si="135"/>
        <v>3.6013242834638266E-3</v>
      </c>
      <c r="K283" s="3">
        <f t="shared" si="144"/>
        <v>4.4133275079552892E-2</v>
      </c>
      <c r="L283" s="3">
        <f t="shared" si="148"/>
        <v>4.4133275079552926E-2</v>
      </c>
      <c r="O283" s="9">
        <f t="shared" si="136"/>
        <v>4.4133275082077335E-5</v>
      </c>
      <c r="P283" s="9">
        <f t="shared" si="145"/>
        <v>22657.640178872727</v>
      </c>
      <c r="Q283" s="3">
        <f t="shared" si="137"/>
        <v>277675.63297048589</v>
      </c>
      <c r="R283" s="3">
        <f t="shared" si="138"/>
        <v>22657640.267133377</v>
      </c>
      <c r="S283" s="3">
        <f t="shared" si="139"/>
        <v>22657640.267133381</v>
      </c>
      <c r="T283" s="3"/>
      <c r="U283" s="3"/>
      <c r="V283" s="3">
        <f t="shared" si="140"/>
        <v>3689.276972865614</v>
      </c>
      <c r="W283" s="3">
        <f t="shared" si="146"/>
        <v>999794.05964658142</v>
      </c>
      <c r="X283" s="3">
        <f t="shared" si="141"/>
        <v>81.601111111111123</v>
      </c>
      <c r="Y283" s="3">
        <f t="shared" si="142"/>
        <v>81.601111111111123</v>
      </c>
      <c r="Z283" s="3">
        <f t="shared" si="147"/>
        <v>301049.10018247069</v>
      </c>
    </row>
    <row r="284" spans="1:26" x14ac:dyDescent="0.45">
      <c r="A284">
        <f t="shared" si="149"/>
        <v>272</v>
      </c>
      <c r="B284" s="3">
        <f t="shared" si="130"/>
        <v>12.164792387543253</v>
      </c>
      <c r="C284" s="3">
        <f t="shared" si="150"/>
        <v>3308.8235294117649</v>
      </c>
      <c r="D284" s="3">
        <f t="shared" si="131"/>
        <v>8.872029000371297E-4</v>
      </c>
      <c r="E284" s="3">
        <f t="shared" si="132"/>
        <v>82.204444444444462</v>
      </c>
      <c r="F284" s="3"/>
      <c r="G284" s="3">
        <f t="shared" si="133"/>
        <v>100718622.71604781</v>
      </c>
      <c r="H284" s="3">
        <f t="shared" si="134"/>
        <v>330882.35294117645</v>
      </c>
      <c r="I284" s="3">
        <f t="shared" si="143"/>
        <v>50360398.366036415</v>
      </c>
      <c r="J284" s="3">
        <f t="shared" si="135"/>
        <v>3.5486584025910244E-3</v>
      </c>
      <c r="K284" s="3">
        <f t="shared" si="144"/>
        <v>4.3168692721830694E-2</v>
      </c>
      <c r="L284" s="3">
        <f t="shared" si="148"/>
        <v>4.316869272183068E-2</v>
      </c>
      <c r="O284" s="9">
        <f t="shared" si="136"/>
        <v>4.3168692724299957E-5</v>
      </c>
      <c r="P284" s="9">
        <f t="shared" si="145"/>
        <v>23163.935903585818</v>
      </c>
      <c r="Q284" s="3">
        <f t="shared" si="137"/>
        <v>281796.63593786815</v>
      </c>
      <c r="R284" s="3">
        <f t="shared" si="138"/>
        <v>23163935.989917565</v>
      </c>
      <c r="S284" s="3">
        <f t="shared" si="139"/>
        <v>23163935.989917558</v>
      </c>
      <c r="T284" s="3"/>
      <c r="U284" s="3"/>
      <c r="V284" s="3">
        <f t="shared" si="140"/>
        <v>3702.89054103117</v>
      </c>
      <c r="W284" s="3">
        <f t="shared" si="146"/>
        <v>1007186.2271604782</v>
      </c>
      <c r="X284" s="3">
        <f t="shared" si="141"/>
        <v>82.204444444444462</v>
      </c>
      <c r="Y284" s="3">
        <f t="shared" si="142"/>
        <v>82.204444444444462</v>
      </c>
      <c r="Z284" s="3">
        <f t="shared" si="147"/>
        <v>304394.05976405571</v>
      </c>
    </row>
    <row r="285" spans="1:26" x14ac:dyDescent="0.45">
      <c r="A285">
        <f t="shared" si="149"/>
        <v>273</v>
      </c>
      <c r="B285" s="3">
        <f t="shared" si="130"/>
        <v>12.075836251660428</v>
      </c>
      <c r="C285" s="3">
        <f t="shared" si="150"/>
        <v>3296.7032967032969</v>
      </c>
      <c r="D285" s="3">
        <f t="shared" si="131"/>
        <v>8.7427484066633328E-4</v>
      </c>
      <c r="E285" s="3">
        <f t="shared" si="132"/>
        <v>82.809999999999988</v>
      </c>
      <c r="F285" s="3"/>
      <c r="G285" s="3">
        <f t="shared" si="133"/>
        <v>101460562.1810706</v>
      </c>
      <c r="H285" s="3">
        <f t="shared" si="134"/>
        <v>329670.32967032969</v>
      </c>
      <c r="I285" s="3">
        <f t="shared" si="143"/>
        <v>50731352.259238943</v>
      </c>
      <c r="J285" s="3">
        <f t="shared" si="135"/>
        <v>3.4969516849994845E-3</v>
      </c>
      <c r="K285" s="3">
        <f t="shared" si="144"/>
        <v>4.2228615928021795E-2</v>
      </c>
      <c r="L285" s="3">
        <f t="shared" si="148"/>
        <v>4.2228615928021795E-2</v>
      </c>
      <c r="O285" s="9">
        <f t="shared" si="136"/>
        <v>4.2228615930437292E-5</v>
      </c>
      <c r="P285" s="9">
        <f t="shared" si="145"/>
        <v>23679.624570961274</v>
      </c>
      <c r="Q285" s="3">
        <f t="shared" si="137"/>
        <v>285963.34465597483</v>
      </c>
      <c r="R285" s="3">
        <f t="shared" si="138"/>
        <v>23679624.655413095</v>
      </c>
      <c r="S285" s="3">
        <f t="shared" si="139"/>
        <v>23679624.655413099</v>
      </c>
      <c r="T285" s="3"/>
      <c r="U285" s="3"/>
      <c r="V285" s="3">
        <f t="shared" si="140"/>
        <v>3716.5041091967259</v>
      </c>
      <c r="W285" s="3">
        <f t="shared" si="146"/>
        <v>1014605.6218107062</v>
      </c>
      <c r="X285" s="3">
        <f t="shared" si="141"/>
        <v>82.810000000000016</v>
      </c>
      <c r="Y285" s="3">
        <f t="shared" si="142"/>
        <v>82.809999999999988</v>
      </c>
      <c r="Z285" s="3">
        <f t="shared" si="147"/>
        <v>307763.70528258081</v>
      </c>
    </row>
    <row r="286" spans="1:26" x14ac:dyDescent="0.45">
      <c r="A286">
        <f t="shared" si="149"/>
        <v>274</v>
      </c>
      <c r="B286" s="3">
        <f t="shared" si="130"/>
        <v>11.987852309659544</v>
      </c>
      <c r="C286" s="3">
        <f t="shared" si="150"/>
        <v>3284.6715328467153</v>
      </c>
      <c r="D286" s="3">
        <f t="shared" si="131"/>
        <v>8.6158140564292392E-4</v>
      </c>
      <c r="E286" s="3">
        <f t="shared" si="132"/>
        <v>83.417777777777772</v>
      </c>
      <c r="F286" s="3"/>
      <c r="G286" s="3">
        <f t="shared" si="133"/>
        <v>102205224.35972652</v>
      </c>
      <c r="H286" s="3">
        <f t="shared" si="134"/>
        <v>328467.15328467154</v>
      </c>
      <c r="I286" s="3">
        <f t="shared" si="143"/>
        <v>51103667.796708047</v>
      </c>
      <c r="J286" s="3">
        <f t="shared" si="135"/>
        <v>3.4461832468103181E-3</v>
      </c>
      <c r="K286" s="3">
        <f t="shared" si="144"/>
        <v>4.1312335794785097E-2</v>
      </c>
      <c r="L286" s="3">
        <f t="shared" si="148"/>
        <v>4.1312335794785111E-2</v>
      </c>
      <c r="O286" s="9">
        <f t="shared" si="136"/>
        <v>4.1312335797148178E-5</v>
      </c>
      <c r="P286" s="9">
        <f t="shared" si="145"/>
        <v>24204.845075190125</v>
      </c>
      <c r="Q286" s="3">
        <f t="shared" si="137"/>
        <v>290176.09579187905</v>
      </c>
      <c r="R286" s="3">
        <f t="shared" si="138"/>
        <v>24204845.157809619</v>
      </c>
      <c r="S286" s="3">
        <f t="shared" si="139"/>
        <v>24204845.157809619</v>
      </c>
      <c r="T286" s="3"/>
      <c r="U286" s="3"/>
      <c r="V286" s="3">
        <f t="shared" si="140"/>
        <v>3730.1176773622815</v>
      </c>
      <c r="W286" s="3">
        <f t="shared" si="146"/>
        <v>1022052.2435972651</v>
      </c>
      <c r="X286" s="3">
        <f t="shared" si="141"/>
        <v>83.4177777777778</v>
      </c>
      <c r="Y286" s="3">
        <f t="shared" si="142"/>
        <v>83.417777777777772</v>
      </c>
      <c r="Z286" s="3">
        <f t="shared" si="147"/>
        <v>311158.12749516737</v>
      </c>
    </row>
    <row r="287" spans="1:26" x14ac:dyDescent="0.45">
      <c r="A287">
        <f t="shared" si="149"/>
        <v>275</v>
      </c>
      <c r="B287" s="3">
        <f t="shared" si="130"/>
        <v>11.900826446280991</v>
      </c>
      <c r="C287" s="3">
        <f t="shared" si="150"/>
        <v>3272.7272727272725</v>
      </c>
      <c r="D287" s="3">
        <f t="shared" si="131"/>
        <v>8.4911750377880874E-4</v>
      </c>
      <c r="E287" s="3">
        <f t="shared" si="132"/>
        <v>84.027777777777757</v>
      </c>
      <c r="F287" s="3"/>
      <c r="G287" s="3">
        <f t="shared" si="133"/>
        <v>102952609.25201553</v>
      </c>
      <c r="H287" s="3">
        <f t="shared" si="134"/>
        <v>327272.72727272729</v>
      </c>
      <c r="I287" s="3">
        <f t="shared" si="143"/>
        <v>51477344.972206607</v>
      </c>
      <c r="J287" s="3">
        <f t="shared" si="135"/>
        <v>3.396332732628504E-3</v>
      </c>
      <c r="K287" s="3">
        <f t="shared" si="144"/>
        <v>4.0419166404835088E-2</v>
      </c>
      <c r="L287" s="3">
        <f t="shared" si="148"/>
        <v>4.0419166404835102E-2</v>
      </c>
      <c r="O287" s="9">
        <f t="shared" si="136"/>
        <v>4.0419166407147082E-5</v>
      </c>
      <c r="P287" s="9">
        <f t="shared" si="145"/>
        <v>24739.737845181684</v>
      </c>
      <c r="Q287" s="3">
        <f t="shared" si="137"/>
        <v>294435.22724844317</v>
      </c>
      <c r="R287" s="3">
        <f t="shared" si="138"/>
        <v>24739737.926015057</v>
      </c>
      <c r="S287" s="3">
        <f t="shared" si="139"/>
        <v>24739737.926015053</v>
      </c>
      <c r="T287" s="3"/>
      <c r="U287" s="3"/>
      <c r="V287" s="3">
        <f t="shared" si="140"/>
        <v>3743.7312455278366</v>
      </c>
      <c r="W287" s="3">
        <f t="shared" si="146"/>
        <v>1029526.092520155</v>
      </c>
      <c r="X287" s="3">
        <f t="shared" si="141"/>
        <v>84.027777777777757</v>
      </c>
      <c r="Y287" s="3">
        <f t="shared" si="142"/>
        <v>84.027777777777757</v>
      </c>
      <c r="Z287" s="3">
        <f t="shared" si="147"/>
        <v>314577.41715893621</v>
      </c>
    </row>
    <row r="288" spans="1:26" x14ac:dyDescent="0.45">
      <c r="A288">
        <f t="shared" si="149"/>
        <v>276</v>
      </c>
      <c r="B288" s="3">
        <f t="shared" si="130"/>
        <v>11.814744801512287</v>
      </c>
      <c r="C288" s="3">
        <f t="shared" si="150"/>
        <v>3260.869565217391</v>
      </c>
      <c r="D288" s="3">
        <f t="shared" si="131"/>
        <v>8.3687817230888211E-4</v>
      </c>
      <c r="E288" s="3">
        <f t="shared" si="132"/>
        <v>84.639999999999986</v>
      </c>
      <c r="F288" s="3"/>
      <c r="G288" s="3">
        <f t="shared" si="133"/>
        <v>103702716.85793765</v>
      </c>
      <c r="H288" s="3">
        <f t="shared" si="134"/>
        <v>326086.95652173914</v>
      </c>
      <c r="I288" s="3">
        <f t="shared" si="143"/>
        <v>51852383.779654816</v>
      </c>
      <c r="J288" s="3">
        <f t="shared" si="135"/>
        <v>3.3473803003173921E-3</v>
      </c>
      <c r="K288" s="3">
        <f t="shared" si="144"/>
        <v>3.9548444001859549E-2</v>
      </c>
      <c r="L288" s="3">
        <f t="shared" si="148"/>
        <v>3.9548444001859556E-2</v>
      </c>
      <c r="O288" s="9">
        <f t="shared" si="136"/>
        <v>3.9548444004121733E-5</v>
      </c>
      <c r="P288" s="9">
        <f t="shared" si="145"/>
        <v>25284.444855827453</v>
      </c>
      <c r="Q288" s="3">
        <f t="shared" si="137"/>
        <v>298741.07816431299</v>
      </c>
      <c r="R288" s="3">
        <f t="shared" si="138"/>
        <v>25284444.934919588</v>
      </c>
      <c r="S288" s="3">
        <f t="shared" si="139"/>
        <v>25284444.934919596</v>
      </c>
      <c r="T288" s="3"/>
      <c r="U288" s="3"/>
      <c r="V288" s="3">
        <f t="shared" si="140"/>
        <v>3757.3448136933926</v>
      </c>
      <c r="W288" s="3">
        <f t="shared" si="146"/>
        <v>1037027.1685793763</v>
      </c>
      <c r="X288" s="3">
        <f t="shared" si="141"/>
        <v>84.64</v>
      </c>
      <c r="Y288" s="3">
        <f t="shared" si="142"/>
        <v>84.639999999999986</v>
      </c>
      <c r="Z288" s="3">
        <f t="shared" si="147"/>
        <v>318021.66503100871</v>
      </c>
    </row>
    <row r="289" spans="1:26" x14ac:dyDescent="0.45">
      <c r="A289">
        <f t="shared" si="149"/>
        <v>277</v>
      </c>
      <c r="B289" s="3">
        <f t="shared" si="130"/>
        <v>11.72959376506927</v>
      </c>
      <c r="C289" s="3">
        <f t="shared" si="150"/>
        <v>3249.0974729241875</v>
      </c>
      <c r="D289" s="3">
        <f t="shared" si="131"/>
        <v>8.248585732021454E-4</v>
      </c>
      <c r="E289" s="3">
        <f t="shared" si="132"/>
        <v>85.254444444444431</v>
      </c>
      <c r="F289" s="3"/>
      <c r="G289" s="3">
        <f t="shared" si="133"/>
        <v>104455547.17749287</v>
      </c>
      <c r="H289" s="3">
        <f t="shared" si="134"/>
        <v>324909.74729241879</v>
      </c>
      <c r="I289" s="3">
        <f t="shared" si="143"/>
        <v>52228784.213125676</v>
      </c>
      <c r="J289" s="3">
        <f t="shared" si="135"/>
        <v>3.2993066062647278E-3</v>
      </c>
      <c r="K289" s="3">
        <f t="shared" si="144"/>
        <v>3.8699526197894601E-2</v>
      </c>
      <c r="L289" s="3">
        <f t="shared" si="148"/>
        <v>3.8699526197894615E-2</v>
      </c>
      <c r="O289" s="9">
        <f t="shared" si="136"/>
        <v>3.8699526200108229E-5</v>
      </c>
      <c r="P289" s="9">
        <f t="shared" si="145"/>
        <v>25839.109639306214</v>
      </c>
      <c r="Q289" s="3">
        <f t="shared" si="137"/>
        <v>303093.9889139125</v>
      </c>
      <c r="R289" s="3">
        <f t="shared" si="138"/>
        <v>25839109.716700714</v>
      </c>
      <c r="S289" s="3">
        <f t="shared" si="139"/>
        <v>25839109.716700718</v>
      </c>
      <c r="T289" s="3"/>
      <c r="U289" s="3"/>
      <c r="V289" s="3">
        <f t="shared" si="140"/>
        <v>3770.9583818589485</v>
      </c>
      <c r="W289" s="3">
        <f t="shared" si="146"/>
        <v>1044555.4717749287</v>
      </c>
      <c r="X289" s="3">
        <f t="shared" si="141"/>
        <v>85.254444444444445</v>
      </c>
      <c r="Y289" s="3">
        <f t="shared" si="142"/>
        <v>85.254444444444431</v>
      </c>
      <c r="Z289" s="3">
        <f t="shared" si="147"/>
        <v>321490.96186850581</v>
      </c>
    </row>
    <row r="290" spans="1:26" x14ac:dyDescent="0.45">
      <c r="A290">
        <f t="shared" si="149"/>
        <v>278</v>
      </c>
      <c r="B290" s="3">
        <f t="shared" si="130"/>
        <v>11.645359971015992</v>
      </c>
      <c r="C290" s="3">
        <f t="shared" si="150"/>
        <v>3237.4100719424459</v>
      </c>
      <c r="D290" s="3">
        <f t="shared" si="131"/>
        <v>8.1305398959160267E-4</v>
      </c>
      <c r="E290" s="3">
        <f t="shared" si="132"/>
        <v>85.871111111111105</v>
      </c>
      <c r="F290" s="3"/>
      <c r="G290" s="3">
        <f t="shared" si="133"/>
        <v>105211100.21068123</v>
      </c>
      <c r="H290" s="3">
        <f t="shared" si="134"/>
        <v>323741.00719424459</v>
      </c>
      <c r="I290" s="3">
        <f t="shared" si="143"/>
        <v>52606546.266840599</v>
      </c>
      <c r="J290" s="3">
        <f t="shared" si="135"/>
        <v>3.2520927911226607E-3</v>
      </c>
      <c r="K290" s="3">
        <f t="shared" si="144"/>
        <v>3.7871791211769507E-2</v>
      </c>
      <c r="L290" s="3">
        <f t="shared" si="148"/>
        <v>3.7871791211769493E-2</v>
      </c>
      <c r="O290" s="9">
        <f t="shared" si="136"/>
        <v>3.787179121393579E-5</v>
      </c>
      <c r="P290" s="9">
        <f t="shared" si="145"/>
        <v>26403.877296430255</v>
      </c>
      <c r="Q290" s="3">
        <f t="shared" si="137"/>
        <v>307494.30110743787</v>
      </c>
      <c r="R290" s="3">
        <f t="shared" si="138"/>
        <v>26403877.372169476</v>
      </c>
      <c r="S290" s="3">
        <f t="shared" si="139"/>
        <v>26403877.372169476</v>
      </c>
      <c r="T290" s="3"/>
      <c r="U290" s="3"/>
      <c r="V290" s="3">
        <f t="shared" si="140"/>
        <v>3784.5719500245041</v>
      </c>
      <c r="W290" s="3">
        <f t="shared" si="146"/>
        <v>1052111.0021068121</v>
      </c>
      <c r="X290" s="3">
        <f t="shared" si="141"/>
        <v>85.871111111111105</v>
      </c>
      <c r="Y290" s="3">
        <f t="shared" si="142"/>
        <v>85.871111111111105</v>
      </c>
      <c r="Z290" s="3">
        <f t="shared" si="147"/>
        <v>324985.39842854859</v>
      </c>
    </row>
    <row r="291" spans="1:26" x14ac:dyDescent="0.45">
      <c r="A291">
        <f t="shared" si="149"/>
        <v>279</v>
      </c>
      <c r="B291" s="3">
        <f t="shared" si="130"/>
        <v>11.562030292519367</v>
      </c>
      <c r="C291" s="3">
        <f t="shared" si="150"/>
        <v>3225.8064516129034</v>
      </c>
      <c r="D291" s="3">
        <f t="shared" si="131"/>
        <v>8.0145982231870502E-4</v>
      </c>
      <c r="E291" s="3">
        <f t="shared" si="132"/>
        <v>86.490000000000009</v>
      </c>
      <c r="F291" s="3"/>
      <c r="G291" s="3">
        <f t="shared" si="133"/>
        <v>105969375.95750268</v>
      </c>
      <c r="H291" s="3">
        <f t="shared" si="134"/>
        <v>322580.6451612903</v>
      </c>
      <c r="I291" s="3">
        <f t="shared" si="143"/>
        <v>52985669.935165197</v>
      </c>
      <c r="J291" s="3">
        <f t="shared" si="135"/>
        <v>3.2057204660048428E-3</v>
      </c>
      <c r="K291" s="3">
        <f t="shared" si="144"/>
        <v>3.7064637137297296E-2</v>
      </c>
      <c r="L291" s="3">
        <f t="shared" si="148"/>
        <v>3.7064637137297289E-2</v>
      </c>
      <c r="O291" s="9">
        <f t="shared" si="136"/>
        <v>3.7064637139417407E-5</v>
      </c>
      <c r="P291" s="9">
        <f t="shared" si="145"/>
        <v>26978.894508032899</v>
      </c>
      <c r="Q291" s="3">
        <f t="shared" si="137"/>
        <v>311942.35759085329</v>
      </c>
      <c r="R291" s="3">
        <f t="shared" si="138"/>
        <v>26978894.582157999</v>
      </c>
      <c r="S291" s="3">
        <f t="shared" si="139"/>
        <v>26978894.582157996</v>
      </c>
      <c r="T291" s="3"/>
      <c r="U291" s="3"/>
      <c r="V291" s="3">
        <f t="shared" si="140"/>
        <v>3798.1855181900601</v>
      </c>
      <c r="W291" s="3">
        <f t="shared" si="146"/>
        <v>1059693.7595750268</v>
      </c>
      <c r="X291" s="3">
        <f t="shared" si="141"/>
        <v>86.490000000000009</v>
      </c>
      <c r="Y291" s="3">
        <f t="shared" si="142"/>
        <v>86.490000000000009</v>
      </c>
      <c r="Z291" s="3">
        <f t="shared" si="147"/>
        <v>328505.06546825834</v>
      </c>
    </row>
    <row r="292" spans="1:26" x14ac:dyDescent="0.45">
      <c r="A292">
        <f t="shared" si="149"/>
        <v>280</v>
      </c>
      <c r="B292" s="3">
        <f t="shared" si="130"/>
        <v>11.479591836734693</v>
      </c>
      <c r="C292" s="3">
        <f t="shared" si="150"/>
        <v>3214.2857142857142</v>
      </c>
      <c r="D292" s="3">
        <f t="shared" si="131"/>
        <v>7.900715865882665E-4</v>
      </c>
      <c r="E292" s="3">
        <f t="shared" si="132"/>
        <v>87.111111111111114</v>
      </c>
      <c r="F292" s="3"/>
      <c r="G292" s="3">
        <f t="shared" si="133"/>
        <v>106730374.41795725</v>
      </c>
      <c r="H292" s="3">
        <f t="shared" si="134"/>
        <v>321428.57142857142</v>
      </c>
      <c r="I292" s="3">
        <f t="shared" si="143"/>
        <v>53366155.212605171</v>
      </c>
      <c r="J292" s="3">
        <f t="shared" si="135"/>
        <v>3.160171699124424E-3</v>
      </c>
      <c r="K292" s="3">
        <f t="shared" si="144"/>
        <v>3.6277481239948742E-2</v>
      </c>
      <c r="L292" s="3">
        <f t="shared" si="148"/>
        <v>3.6277481239948749E-2</v>
      </c>
      <c r="O292" s="9">
        <f t="shared" si="136"/>
        <v>3.6277481242023829E-5</v>
      </c>
      <c r="P292" s="9">
        <f t="shared" si="145"/>
        <v>27564.309546397068</v>
      </c>
      <c r="Q292" s="3">
        <f t="shared" si="137"/>
        <v>316438.50244588469</v>
      </c>
      <c r="R292" s="3">
        <f t="shared" si="138"/>
        <v>27564309.618948024</v>
      </c>
      <c r="S292" s="3">
        <f t="shared" si="139"/>
        <v>27564309.618948024</v>
      </c>
      <c r="T292" s="3"/>
      <c r="U292" s="3"/>
      <c r="V292" s="3">
        <f t="shared" si="140"/>
        <v>3811.7990863556161</v>
      </c>
      <c r="W292" s="3">
        <f t="shared" si="146"/>
        <v>1067303.7441795724</v>
      </c>
      <c r="X292" s="3">
        <f t="shared" si="141"/>
        <v>87.111111111111128</v>
      </c>
      <c r="Y292" s="3">
        <f t="shared" si="142"/>
        <v>87.111111111111114</v>
      </c>
      <c r="Z292" s="3">
        <f t="shared" si="147"/>
        <v>332050.05374475592</v>
      </c>
    </row>
    <row r="293" spans="1:26" x14ac:dyDescent="0.45">
      <c r="A293">
        <f t="shared" si="149"/>
        <v>281</v>
      </c>
      <c r="B293" s="3">
        <f t="shared" si="130"/>
        <v>11.398031939818392</v>
      </c>
      <c r="C293" s="3">
        <f t="shared" si="150"/>
        <v>3202.8469750889681</v>
      </c>
      <c r="D293" s="3">
        <f t="shared" si="131"/>
        <v>7.7888490872995097E-4</v>
      </c>
      <c r="E293" s="3">
        <f t="shared" si="132"/>
        <v>87.734444444444435</v>
      </c>
      <c r="F293" s="3"/>
      <c r="G293" s="3">
        <f t="shared" si="133"/>
        <v>107494095.59204492</v>
      </c>
      <c r="H293" s="3">
        <f t="shared" si="134"/>
        <v>320284.69750889682</v>
      </c>
      <c r="I293" s="3">
        <f t="shared" si="143"/>
        <v>53748002.093802348</v>
      </c>
      <c r="J293" s="3">
        <f t="shared" si="135"/>
        <v>3.1154290028573375E-3</v>
      </c>
      <c r="K293" s="3">
        <f t="shared" si="144"/>
        <v>3.5509759280804493E-2</v>
      </c>
      <c r="L293" s="3">
        <f t="shared" si="148"/>
        <v>3.5509759280804506E-2</v>
      </c>
      <c r="O293" s="9">
        <f t="shared" si="136"/>
        <v>3.5509759282835663E-5</v>
      </c>
      <c r="P293" s="9">
        <f t="shared" si="145"/>
        <v>28160.272286725118</v>
      </c>
      <c r="Q293" s="3">
        <f t="shared" si="137"/>
        <v>320983.08099001541</v>
      </c>
      <c r="R293" s="3">
        <f t="shared" si="138"/>
        <v>28160272.357740797</v>
      </c>
      <c r="S293" s="3">
        <f t="shared" si="139"/>
        <v>28160272.357740801</v>
      </c>
      <c r="T293" s="3"/>
      <c r="U293" s="3"/>
      <c r="V293" s="3">
        <f t="shared" si="140"/>
        <v>3825.4126545211716</v>
      </c>
      <c r="W293" s="3">
        <f t="shared" si="146"/>
        <v>1074940.9559204492</v>
      </c>
      <c r="X293" s="3">
        <f t="shared" si="141"/>
        <v>87.734444444444449</v>
      </c>
      <c r="Y293" s="3">
        <f t="shared" si="142"/>
        <v>87.734444444444435</v>
      </c>
      <c r="Z293" s="3">
        <f t="shared" si="147"/>
        <v>335620.45401516242</v>
      </c>
    </row>
    <row r="294" spans="1:26" x14ac:dyDescent="0.45">
      <c r="A294">
        <f t="shared" si="149"/>
        <v>282</v>
      </c>
      <c r="B294" s="3">
        <f t="shared" si="130"/>
        <v>11.317338162064283</v>
      </c>
      <c r="C294" s="3">
        <f t="shared" si="150"/>
        <v>3191.489361702128</v>
      </c>
      <c r="D294" s="3">
        <f t="shared" si="131"/>
        <v>7.678955230625607E-4</v>
      </c>
      <c r="E294" s="3">
        <f t="shared" si="132"/>
        <v>88.36</v>
      </c>
      <c r="F294" s="3"/>
      <c r="G294" s="3">
        <f t="shared" si="133"/>
        <v>108260539.47976571</v>
      </c>
      <c r="H294" s="3">
        <f t="shared" si="134"/>
        <v>319148.93617021275</v>
      </c>
      <c r="I294" s="3">
        <f t="shared" si="143"/>
        <v>54131210.57353083</v>
      </c>
      <c r="J294" s="3">
        <f t="shared" si="135"/>
        <v>3.0714753212159117E-3</v>
      </c>
      <c r="K294" s="3">
        <f t="shared" si="144"/>
        <v>3.4760924866635491E-2</v>
      </c>
      <c r="L294" s="3">
        <f t="shared" si="148"/>
        <v>3.4760924866635505E-2</v>
      </c>
      <c r="O294" s="9">
        <f t="shared" si="136"/>
        <v>3.4760924868623831E-5</v>
      </c>
      <c r="P294" s="9">
        <f t="shared" si="145"/>
        <v>28766.934218649847</v>
      </c>
      <c r="Q294" s="3">
        <f t="shared" si="137"/>
        <v>325576.43977648084</v>
      </c>
      <c r="R294" s="3">
        <f t="shared" si="138"/>
        <v>28766934.288168021</v>
      </c>
      <c r="S294" s="3">
        <f t="shared" si="139"/>
        <v>28766934.288168017</v>
      </c>
      <c r="T294" s="3"/>
      <c r="U294" s="3"/>
      <c r="V294" s="3">
        <f t="shared" si="140"/>
        <v>3839.0262226867276</v>
      </c>
      <c r="W294" s="3">
        <f t="shared" si="146"/>
        <v>1082605.3947976572</v>
      </c>
      <c r="X294" s="3">
        <f t="shared" si="141"/>
        <v>88.360000000000028</v>
      </c>
      <c r="Y294" s="3">
        <f t="shared" si="142"/>
        <v>88.36</v>
      </c>
      <c r="Z294" s="3">
        <f t="shared" si="147"/>
        <v>339216.35703659925</v>
      </c>
    </row>
    <row r="295" spans="1:26" x14ac:dyDescent="0.45">
      <c r="A295">
        <f t="shared" si="149"/>
        <v>283</v>
      </c>
      <c r="B295" s="3">
        <f t="shared" si="130"/>
        <v>11.237498283159985</v>
      </c>
      <c r="C295" s="3">
        <f t="shared" si="150"/>
        <v>3180.2120141342757</v>
      </c>
      <c r="D295" s="3">
        <f t="shared" si="131"/>
        <v>7.5709926885752143E-4</v>
      </c>
      <c r="E295" s="3">
        <f t="shared" si="132"/>
        <v>88.987777777777794</v>
      </c>
      <c r="F295" s="3"/>
      <c r="G295" s="3">
        <f t="shared" si="133"/>
        <v>109029706.08111961</v>
      </c>
      <c r="H295" s="3">
        <f t="shared" si="134"/>
        <v>318021.20141342754</v>
      </c>
      <c r="I295" s="3">
        <f t="shared" si="143"/>
        <v>54515780.646693312</v>
      </c>
      <c r="J295" s="3">
        <f t="shared" si="135"/>
        <v>3.0282940177183879E-3</v>
      </c>
      <c r="K295" s="3">
        <f t="shared" si="144"/>
        <v>3.4030448825014034E-2</v>
      </c>
      <c r="L295" s="3">
        <f t="shared" si="148"/>
        <v>3.4030448825014027E-2</v>
      </c>
      <c r="O295" s="9">
        <f t="shared" si="136"/>
        <v>3.4030448826960587E-5</v>
      </c>
      <c r="P295" s="9">
        <f t="shared" si="145"/>
        <v>29384.448457786752</v>
      </c>
      <c r="Q295" s="3">
        <f t="shared" si="137"/>
        <v>330218.92659426486</v>
      </c>
      <c r="R295" s="3">
        <f t="shared" si="138"/>
        <v>29384448.525844123</v>
      </c>
      <c r="S295" s="3">
        <f t="shared" si="139"/>
        <v>29384448.525844123</v>
      </c>
      <c r="T295" s="3"/>
      <c r="U295" s="3"/>
      <c r="V295" s="3">
        <f t="shared" si="140"/>
        <v>3852.6397908522836</v>
      </c>
      <c r="W295" s="3">
        <f t="shared" si="146"/>
        <v>1090297.0608111962</v>
      </c>
      <c r="X295" s="3">
        <f t="shared" si="141"/>
        <v>88.987777777777808</v>
      </c>
      <c r="Y295" s="3">
        <f t="shared" si="142"/>
        <v>88.987777777777794</v>
      </c>
      <c r="Z295" s="3">
        <f t="shared" si="147"/>
        <v>342837.85356618732</v>
      </c>
    </row>
    <row r="296" spans="1:26" x14ac:dyDescent="0.45">
      <c r="A296">
        <f t="shared" si="149"/>
        <v>284</v>
      </c>
      <c r="B296" s="3">
        <f t="shared" si="130"/>
        <v>11.158500297560009</v>
      </c>
      <c r="C296" s="3">
        <f t="shared" si="150"/>
        <v>3169.0140845070423</v>
      </c>
      <c r="D296" s="3">
        <f t="shared" si="131"/>
        <v>7.4649208739808613E-4</v>
      </c>
      <c r="E296" s="3">
        <f t="shared" si="132"/>
        <v>89.617777777777761</v>
      </c>
      <c r="F296" s="3"/>
      <c r="G296" s="3">
        <f t="shared" si="133"/>
        <v>109801595.39610662</v>
      </c>
      <c r="H296" s="3">
        <f t="shared" si="134"/>
        <v>316901.40845070424</v>
      </c>
      <c r="I296" s="3">
        <f t="shared" si="143"/>
        <v>54901712.30831743</v>
      </c>
      <c r="J296" s="3">
        <f t="shared" si="135"/>
        <v>2.9858688636405172E-3</v>
      </c>
      <c r="K296" s="3">
        <f t="shared" si="144"/>
        <v>3.3317818603407878E-2</v>
      </c>
      <c r="L296" s="3">
        <f t="shared" si="148"/>
        <v>3.3317818603407878E-2</v>
      </c>
      <c r="O296" s="9">
        <f t="shared" si="136"/>
        <v>3.3317818605313668E-5</v>
      </c>
      <c r="P296" s="9">
        <f t="shared" si="145"/>
        <v>30012.969757327261</v>
      </c>
      <c r="Q296" s="3">
        <f t="shared" si="137"/>
        <v>334910.89046809333</v>
      </c>
      <c r="R296" s="3">
        <f t="shared" si="138"/>
        <v>30012969.823959507</v>
      </c>
      <c r="S296" s="3">
        <f t="shared" si="139"/>
        <v>30012969.823959514</v>
      </c>
      <c r="T296" s="3"/>
      <c r="U296" s="3"/>
      <c r="V296" s="3">
        <f t="shared" si="140"/>
        <v>3866.2533590178391</v>
      </c>
      <c r="W296" s="3">
        <f t="shared" si="146"/>
        <v>1098015.9539610662</v>
      </c>
      <c r="X296" s="3">
        <f t="shared" si="141"/>
        <v>89.617777777777789</v>
      </c>
      <c r="Y296" s="3">
        <f t="shared" si="142"/>
        <v>89.617777777777761</v>
      </c>
      <c r="Z296" s="3">
        <f t="shared" si="147"/>
        <v>346485.0343610475</v>
      </c>
    </row>
    <row r="297" spans="1:26" x14ac:dyDescent="0.45">
      <c r="A297">
        <f t="shared" si="149"/>
        <v>285</v>
      </c>
      <c r="B297" s="3">
        <f t="shared" si="130"/>
        <v>11.0803324099723</v>
      </c>
      <c r="C297" s="3">
        <f t="shared" si="150"/>
        <v>3157.8947368421054</v>
      </c>
      <c r="D297" s="3">
        <f t="shared" si="131"/>
        <v>7.3607001913091551E-4</v>
      </c>
      <c r="E297" s="3">
        <f t="shared" si="132"/>
        <v>90.250000000000014</v>
      </c>
      <c r="F297" s="3"/>
      <c r="G297" s="3">
        <f t="shared" si="133"/>
        <v>110576207.42472674</v>
      </c>
      <c r="H297" s="3">
        <f t="shared" si="134"/>
        <v>315789.4736842105</v>
      </c>
      <c r="I297" s="3">
        <f t="shared" si="143"/>
        <v>55289005.553552307</v>
      </c>
      <c r="J297" s="3">
        <f t="shared" si="135"/>
        <v>2.9441840266358917E-3</v>
      </c>
      <c r="K297" s="3">
        <f t="shared" si="144"/>
        <v>3.262253769125642E-2</v>
      </c>
      <c r="L297" s="3">
        <f t="shared" si="148"/>
        <v>3.2622537691256427E-2</v>
      </c>
      <c r="O297" s="9">
        <f t="shared" si="136"/>
        <v>3.2622537693122442E-5</v>
      </c>
      <c r="P297" s="9">
        <f t="shared" si="145"/>
        <v>30652.654519673444</v>
      </c>
      <c r="Q297" s="3">
        <f t="shared" si="137"/>
        <v>339652.68165843154</v>
      </c>
      <c r="R297" s="3">
        <f t="shared" si="138"/>
        <v>30652654.58491528</v>
      </c>
      <c r="S297" s="3">
        <f t="shared" si="139"/>
        <v>30652654.584915269</v>
      </c>
      <c r="T297" s="3"/>
      <c r="U297" s="3"/>
      <c r="V297" s="3">
        <f t="shared" si="140"/>
        <v>3879.8669271833951</v>
      </c>
      <c r="W297" s="3">
        <f t="shared" si="146"/>
        <v>1105762.0742472676</v>
      </c>
      <c r="X297" s="3">
        <f t="shared" si="141"/>
        <v>90.250000000000028</v>
      </c>
      <c r="Y297" s="3">
        <f t="shared" si="142"/>
        <v>90.250000000000014</v>
      </c>
      <c r="Z297" s="3">
        <f t="shared" si="147"/>
        <v>350157.99017830146</v>
      </c>
    </row>
    <row r="298" spans="1:26" x14ac:dyDescent="0.45">
      <c r="A298">
        <f t="shared" si="149"/>
        <v>286</v>
      </c>
      <c r="B298" s="3">
        <f t="shared" si="130"/>
        <v>11.002983030955059</v>
      </c>
      <c r="C298" s="3">
        <f t="shared" si="150"/>
        <v>3146.8531468531469</v>
      </c>
      <c r="D298" s="3">
        <f t="shared" si="131"/>
        <v>7.2582920090682491E-4</v>
      </c>
      <c r="E298" s="3">
        <f t="shared" si="132"/>
        <v>90.884444444444455</v>
      </c>
      <c r="F298" s="3"/>
      <c r="G298" s="3">
        <f t="shared" si="133"/>
        <v>111353542.16697998</v>
      </c>
      <c r="H298" s="3">
        <f t="shared" si="134"/>
        <v>314685.31468531466</v>
      </c>
      <c r="I298" s="3">
        <f t="shared" si="143"/>
        <v>55677660.37766517</v>
      </c>
      <c r="J298" s="3">
        <f t="shared" si="135"/>
        <v>2.9032240597122233E-3</v>
      </c>
      <c r="K298" s="3">
        <f t="shared" si="144"/>
        <v>3.1944125064074048E-2</v>
      </c>
      <c r="L298" s="3">
        <f t="shared" si="148"/>
        <v>3.1944125064074062E-2</v>
      </c>
      <c r="O298" s="9">
        <f t="shared" si="136"/>
        <v>3.1944125065901264E-5</v>
      </c>
      <c r="P298" s="9">
        <f t="shared" si="145"/>
        <v>31303.660808113644</v>
      </c>
      <c r="Q298" s="3">
        <f t="shared" si="137"/>
        <v>344444.65166147833</v>
      </c>
      <c r="R298" s="3">
        <f t="shared" si="138"/>
        <v>31303660.871998779</v>
      </c>
      <c r="S298" s="3">
        <f t="shared" si="139"/>
        <v>31303660.871998776</v>
      </c>
      <c r="T298" s="3"/>
      <c r="U298" s="3"/>
      <c r="V298" s="3">
        <f t="shared" si="140"/>
        <v>3893.4804953489511</v>
      </c>
      <c r="W298" s="3">
        <f t="shared" si="146"/>
        <v>1113535.4216698001</v>
      </c>
      <c r="X298" s="3">
        <f t="shared" si="141"/>
        <v>90.884444444444483</v>
      </c>
      <c r="Y298" s="3">
        <f t="shared" si="142"/>
        <v>90.884444444444455</v>
      </c>
      <c r="Z298" s="3">
        <f t="shared" si="147"/>
        <v>353856.8117750698</v>
      </c>
    </row>
    <row r="299" spans="1:26" x14ac:dyDescent="0.45">
      <c r="A299">
        <f t="shared" si="149"/>
        <v>287</v>
      </c>
      <c r="B299" s="3">
        <f t="shared" si="130"/>
        <v>10.926440772620767</v>
      </c>
      <c r="C299" s="3">
        <f t="shared" si="150"/>
        <v>3135.8885017421599</v>
      </c>
      <c r="D299" s="3">
        <f t="shared" si="131"/>
        <v>7.1576586330760535E-4</v>
      </c>
      <c r="E299" s="3">
        <f t="shared" si="132"/>
        <v>91.521111111111111</v>
      </c>
      <c r="F299" s="3"/>
      <c r="G299" s="3">
        <f t="shared" si="133"/>
        <v>112133599.62286633</v>
      </c>
      <c r="H299" s="3">
        <f t="shared" si="134"/>
        <v>313588.85017421603</v>
      </c>
      <c r="I299" s="3">
        <f t="shared" si="143"/>
        <v>56067676.776038043</v>
      </c>
      <c r="J299" s="3">
        <f t="shared" si="135"/>
        <v>2.8629738905512313E-3</v>
      </c>
      <c r="K299" s="3">
        <f t="shared" si="144"/>
        <v>3.1282114648667675E-2</v>
      </c>
      <c r="L299" s="3">
        <f t="shared" si="148"/>
        <v>3.1282114648667682E-2</v>
      </c>
      <c r="O299" s="9">
        <f t="shared" si="136"/>
        <v>3.1282114650457025E-5</v>
      </c>
      <c r="P299" s="9">
        <f t="shared" si="145"/>
        <v>31966.148358539445</v>
      </c>
      <c r="Q299" s="3">
        <f t="shared" si="137"/>
        <v>349287.15320916241</v>
      </c>
      <c r="R299" s="3">
        <f t="shared" si="138"/>
        <v>31966148.421100672</v>
      </c>
      <c r="S299" s="3">
        <f t="shared" si="139"/>
        <v>31966148.42110068</v>
      </c>
      <c r="T299" s="3"/>
      <c r="U299" s="3"/>
      <c r="V299" s="3">
        <f t="shared" si="140"/>
        <v>3907.0940635145062</v>
      </c>
      <c r="W299" s="3">
        <f t="shared" si="146"/>
        <v>1121335.9962286633</v>
      </c>
      <c r="X299" s="3">
        <f t="shared" si="141"/>
        <v>91.521111111111125</v>
      </c>
      <c r="Y299" s="3">
        <f t="shared" si="142"/>
        <v>91.521111111111111</v>
      </c>
      <c r="Z299" s="3">
        <f t="shared" si="147"/>
        <v>357581.58990847372</v>
      </c>
    </row>
    <row r="300" spans="1:26" x14ac:dyDescent="0.45">
      <c r="A300">
        <f t="shared" si="149"/>
        <v>288</v>
      </c>
      <c r="B300" s="3">
        <f t="shared" si="130"/>
        <v>10.850694444444445</v>
      </c>
      <c r="C300" s="3">
        <f t="shared" si="150"/>
        <v>3125</v>
      </c>
      <c r="D300" s="3">
        <f t="shared" si="131"/>
        <v>7.0587632805594702E-4</v>
      </c>
      <c r="E300" s="3">
        <f t="shared" si="132"/>
        <v>92.16</v>
      </c>
      <c r="F300" s="3"/>
      <c r="G300" s="3">
        <f t="shared" si="133"/>
        <v>112916379.79238579</v>
      </c>
      <c r="H300" s="3">
        <f t="shared" si="134"/>
        <v>312500</v>
      </c>
      <c r="I300" s="3">
        <f t="shared" si="143"/>
        <v>56459054.744164623</v>
      </c>
      <c r="J300" s="3">
        <f t="shared" si="135"/>
        <v>2.8234188111602898E-3</v>
      </c>
      <c r="K300" s="3">
        <f t="shared" si="144"/>
        <v>3.0636054808596894E-2</v>
      </c>
      <c r="L300" s="3">
        <f t="shared" si="148"/>
        <v>3.0636054808596904E-2</v>
      </c>
      <c r="O300" s="9">
        <f t="shared" si="136"/>
        <v>3.0636054810349289E-5</v>
      </c>
      <c r="P300" s="9">
        <f t="shared" si="145"/>
        <v>32640.278591203787</v>
      </c>
      <c r="Q300" s="3">
        <f t="shared" si="137"/>
        <v>354180.54026913835</v>
      </c>
      <c r="R300" s="3">
        <f t="shared" si="138"/>
        <v>32640278.652473029</v>
      </c>
      <c r="S300" s="3">
        <f t="shared" si="139"/>
        <v>32640278.652473029</v>
      </c>
      <c r="T300" s="3"/>
      <c r="U300" s="3"/>
      <c r="V300" s="3">
        <f t="shared" si="140"/>
        <v>3920.7076316800617</v>
      </c>
      <c r="W300" s="3">
        <f t="shared" si="146"/>
        <v>1129163.7979238578</v>
      </c>
      <c r="X300" s="3">
        <f t="shared" si="141"/>
        <v>92.159999999999982</v>
      </c>
      <c r="Y300" s="3">
        <f t="shared" si="142"/>
        <v>92.16</v>
      </c>
      <c r="Z300" s="3">
        <f t="shared" si="147"/>
        <v>361332.41533563449</v>
      </c>
    </row>
    <row r="301" spans="1:26" x14ac:dyDescent="0.45">
      <c r="A301">
        <f t="shared" si="149"/>
        <v>289</v>
      </c>
      <c r="B301" s="3">
        <f t="shared" si="130"/>
        <v>10.775733049173262</v>
      </c>
      <c r="C301" s="3">
        <f t="shared" si="150"/>
        <v>3114.1868512110727</v>
      </c>
      <c r="D301" s="3">
        <f t="shared" si="131"/>
        <v>6.9615700550560127E-4</v>
      </c>
      <c r="E301" s="3">
        <f t="shared" si="132"/>
        <v>92.801111111111112</v>
      </c>
      <c r="F301" s="3"/>
      <c r="G301" s="3">
        <f t="shared" si="133"/>
        <v>113701882.67553836</v>
      </c>
      <c r="H301" s="3">
        <f t="shared" si="134"/>
        <v>311418.68512110726</v>
      </c>
      <c r="I301" s="3">
        <f t="shared" si="143"/>
        <v>56851794.277647167</v>
      </c>
      <c r="J301" s="3">
        <f t="shared" si="135"/>
        <v>2.7845444678444332E-3</v>
      </c>
      <c r="K301" s="3">
        <f t="shared" si="144"/>
        <v>3.0005507849043832E-2</v>
      </c>
      <c r="L301" s="3">
        <f t="shared" si="148"/>
        <v>3.0005507849043839E-2</v>
      </c>
      <c r="O301" s="9">
        <f t="shared" si="136"/>
        <v>3.0005507850760158E-5</v>
      </c>
      <c r="P301" s="9">
        <f t="shared" si="145"/>
        <v>33326.214622520245</v>
      </c>
      <c r="Q301" s="3">
        <f t="shared" si="137"/>
        <v>359125.16804478178</v>
      </c>
      <c r="R301" s="3">
        <f t="shared" si="138"/>
        <v>33326214.682528503</v>
      </c>
      <c r="S301" s="3">
        <f t="shared" si="139"/>
        <v>33326214.6825285</v>
      </c>
      <c r="T301" s="3"/>
      <c r="U301" s="3"/>
      <c r="V301" s="3">
        <f t="shared" si="140"/>
        <v>3934.3211998456177</v>
      </c>
      <c r="W301" s="3">
        <f t="shared" si="146"/>
        <v>1137018.8267553835</v>
      </c>
      <c r="X301" s="3">
        <f t="shared" si="141"/>
        <v>92.801111111111126</v>
      </c>
      <c r="Y301" s="3">
        <f t="shared" si="142"/>
        <v>92.801111111111112</v>
      </c>
      <c r="Z301" s="3">
        <f t="shared" si="147"/>
        <v>365109.37881367316</v>
      </c>
    </row>
    <row r="302" spans="1:26" x14ac:dyDescent="0.45">
      <c r="A302">
        <f t="shared" si="149"/>
        <v>290</v>
      </c>
      <c r="B302" s="3">
        <f t="shared" si="130"/>
        <v>10.701545778834721</v>
      </c>
      <c r="C302" s="3">
        <f t="shared" si="150"/>
        <v>3103.4482758620688</v>
      </c>
      <c r="D302" s="3">
        <f t="shared" si="131"/>
        <v>6.8660439220903375E-4</v>
      </c>
      <c r="E302" s="3">
        <f t="shared" si="132"/>
        <v>93.444444444444443</v>
      </c>
      <c r="F302" s="3"/>
      <c r="G302" s="3">
        <f t="shared" si="133"/>
        <v>114490108.27232404</v>
      </c>
      <c r="H302" s="3">
        <f t="shared" si="134"/>
        <v>310344.8275862069</v>
      </c>
      <c r="I302" s="3">
        <f t="shared" si="143"/>
        <v>57245895.372193545</v>
      </c>
      <c r="J302" s="3">
        <f t="shared" si="135"/>
        <v>2.7463368514877278E-3</v>
      </c>
      <c r="K302" s="3">
        <f t="shared" si="144"/>
        <v>2.9390049540296729E-2</v>
      </c>
      <c r="L302" s="3">
        <f t="shared" si="148"/>
        <v>2.9390049540296739E-2</v>
      </c>
      <c r="O302" s="9">
        <f t="shared" si="136"/>
        <v>2.9390049541977852E-5</v>
      </c>
      <c r="P302" s="9">
        <f t="shared" si="145"/>
        <v>34024.121276903548</v>
      </c>
      <c r="Q302" s="3">
        <f t="shared" si="137"/>
        <v>364121.39297518658</v>
      </c>
      <c r="R302" s="3">
        <f t="shared" si="138"/>
        <v>34024121.335680999</v>
      </c>
      <c r="S302" s="3">
        <f t="shared" si="139"/>
        <v>34024121.335680999</v>
      </c>
      <c r="T302" s="3"/>
      <c r="U302" s="3"/>
      <c r="V302" s="3">
        <f t="shared" si="140"/>
        <v>3947.9347680111737</v>
      </c>
      <c r="W302" s="3">
        <f t="shared" si="146"/>
        <v>1144901.0827232404</v>
      </c>
      <c r="X302" s="3">
        <f t="shared" si="141"/>
        <v>93.444444444444457</v>
      </c>
      <c r="Y302" s="3">
        <f t="shared" si="142"/>
        <v>93.444444444444443</v>
      </c>
      <c r="Z302" s="3">
        <f t="shared" si="147"/>
        <v>368912.57109971077</v>
      </c>
    </row>
    <row r="303" spans="1:26" x14ac:dyDescent="0.45">
      <c r="A303">
        <f t="shared" si="149"/>
        <v>291</v>
      </c>
      <c r="B303" s="3">
        <f t="shared" si="130"/>
        <v>10.628122010840684</v>
      </c>
      <c r="C303" s="3">
        <f t="shared" si="150"/>
        <v>3092.783505154639</v>
      </c>
      <c r="D303" s="3">
        <f t="shared" si="131"/>
        <v>6.7721506855991545E-4</v>
      </c>
      <c r="E303" s="3">
        <f t="shared" si="132"/>
        <v>94.09</v>
      </c>
      <c r="F303" s="3"/>
      <c r="G303" s="3">
        <f t="shared" si="133"/>
        <v>115281056.58274283</v>
      </c>
      <c r="H303" s="3">
        <f t="shared" si="134"/>
        <v>309278.35051546391</v>
      </c>
      <c r="I303" s="3">
        <f t="shared" si="143"/>
        <v>57641358.02361431</v>
      </c>
      <c r="J303" s="3">
        <f t="shared" si="135"/>
        <v>2.7087822881334662E-3</v>
      </c>
      <c r="K303" s="3">
        <f t="shared" si="144"/>
        <v>2.8789268659086684E-2</v>
      </c>
      <c r="L303" s="3">
        <f t="shared" si="148"/>
        <v>2.8789268659086691E-2</v>
      </c>
      <c r="O303" s="9">
        <f t="shared" si="136"/>
        <v>2.8789268660733442E-5</v>
      </c>
      <c r="P303" s="9">
        <f t="shared" si="145"/>
        <v>34734.165098651167</v>
      </c>
      <c r="Q303" s="3">
        <f t="shared" si="137"/>
        <v>369169.5727351596</v>
      </c>
      <c r="R303" s="3">
        <f t="shared" si="138"/>
        <v>34734165.156227157</v>
      </c>
      <c r="S303" s="3">
        <f t="shared" si="139"/>
        <v>34734165.156227171</v>
      </c>
      <c r="T303" s="3"/>
      <c r="U303" s="3"/>
      <c r="V303" s="3">
        <f t="shared" si="140"/>
        <v>3961.5483361767292</v>
      </c>
      <c r="W303" s="3">
        <f t="shared" si="146"/>
        <v>1152810.5658274281</v>
      </c>
      <c r="X303" s="3">
        <f t="shared" si="141"/>
        <v>94.089999999999989</v>
      </c>
      <c r="Y303" s="3">
        <f t="shared" si="142"/>
        <v>94.09</v>
      </c>
      <c r="Z303" s="3">
        <f t="shared" si="147"/>
        <v>372742.08295086847</v>
      </c>
    </row>
    <row r="304" spans="1:26" x14ac:dyDescent="0.45">
      <c r="A304">
        <f t="shared" si="149"/>
        <v>292</v>
      </c>
      <c r="B304" s="3">
        <f t="shared" si="130"/>
        <v>10.55545130418465</v>
      </c>
      <c r="C304" s="3">
        <f t="shared" si="150"/>
        <v>3082.1917808219177</v>
      </c>
      <c r="D304" s="3">
        <f t="shared" si="131"/>
        <v>6.6798569650790285E-4</v>
      </c>
      <c r="E304" s="3">
        <f t="shared" si="132"/>
        <v>94.737777777777765</v>
      </c>
      <c r="F304" s="3"/>
      <c r="G304" s="3">
        <f t="shared" si="133"/>
        <v>116074727.60679471</v>
      </c>
      <c r="H304" s="3">
        <f t="shared" si="134"/>
        <v>308219.17808219179</v>
      </c>
      <c r="I304" s="3">
        <f t="shared" si="143"/>
        <v>58038182.227819949</v>
      </c>
      <c r="J304" s="3">
        <f t="shared" si="135"/>
        <v>2.6718674298529901E-3</v>
      </c>
      <c r="K304" s="3">
        <f t="shared" si="144"/>
        <v>2.8202766547050236E-2</v>
      </c>
      <c r="L304" s="3">
        <f t="shared" si="148"/>
        <v>2.8202766547050236E-2</v>
      </c>
      <c r="O304" s="9">
        <f t="shared" si="136"/>
        <v>2.8202766548663444E-5</v>
      </c>
      <c r="P304" s="9">
        <f t="shared" si="145"/>
        <v>35456.514363866227</v>
      </c>
      <c r="Q304" s="3">
        <f t="shared" si="137"/>
        <v>374270.06623521773</v>
      </c>
      <c r="R304" s="3">
        <f t="shared" si="138"/>
        <v>35456514.42026931</v>
      </c>
      <c r="S304" s="3">
        <f t="shared" si="139"/>
        <v>35456514.42026931</v>
      </c>
      <c r="T304" s="3"/>
      <c r="U304" s="3"/>
      <c r="V304" s="3">
        <f t="shared" si="140"/>
        <v>3975.1619043422852</v>
      </c>
      <c r="W304" s="3">
        <f t="shared" si="146"/>
        <v>1160747.2760679473</v>
      </c>
      <c r="X304" s="3">
        <f t="shared" si="141"/>
        <v>94.737777777777794</v>
      </c>
      <c r="Y304" s="3">
        <f t="shared" si="142"/>
        <v>94.737777777777765</v>
      </c>
      <c r="Z304" s="3">
        <f t="shared" si="147"/>
        <v>376598.00512426731</v>
      </c>
    </row>
    <row r="305" spans="1:26" x14ac:dyDescent="0.45">
      <c r="A305">
        <f t="shared" si="149"/>
        <v>293</v>
      </c>
      <c r="B305" s="3">
        <f t="shared" si="130"/>
        <v>10.483523395729712</v>
      </c>
      <c r="C305" s="3">
        <f t="shared" si="150"/>
        <v>3071.6723549488056</v>
      </c>
      <c r="D305" s="3">
        <f t="shared" si="131"/>
        <v>6.5891301734325412E-4</v>
      </c>
      <c r="E305" s="3">
        <f t="shared" si="132"/>
        <v>95.387777777777785</v>
      </c>
      <c r="F305" s="3"/>
      <c r="G305" s="3">
        <f t="shared" si="133"/>
        <v>116871121.34447974</v>
      </c>
      <c r="H305" s="3">
        <f t="shared" si="134"/>
        <v>307167.23549488053</v>
      </c>
      <c r="I305" s="3">
        <f t="shared" si="143"/>
        <v>58436367.980818145</v>
      </c>
      <c r="J305" s="3">
        <f t="shared" si="135"/>
        <v>2.6355792458933706E-3</v>
      </c>
      <c r="K305" s="3">
        <f t="shared" si="144"/>
        <v>2.7630156685622822E-2</v>
      </c>
      <c r="L305" s="3">
        <f t="shared" si="148"/>
        <v>2.7630156685622832E-2</v>
      </c>
      <c r="O305" s="9">
        <f t="shared" si="136"/>
        <v>2.7630156687203276E-5</v>
      </c>
      <c r="P305" s="9">
        <f t="shared" si="145"/>
        <v>36191.339092421556</v>
      </c>
      <c r="Q305" s="3">
        <f t="shared" si="137"/>
        <v>379423.23362158443</v>
      </c>
      <c r="R305" s="3">
        <f t="shared" si="138"/>
        <v>36191339.147679523</v>
      </c>
      <c r="S305" s="3">
        <f t="shared" si="139"/>
        <v>36191339.147679523</v>
      </c>
      <c r="T305" s="3"/>
      <c r="U305" s="3"/>
      <c r="V305" s="3">
        <f t="shared" si="140"/>
        <v>3988.7754725078412</v>
      </c>
      <c r="W305" s="3">
        <f t="shared" si="146"/>
        <v>1168711.2134447976</v>
      </c>
      <c r="X305" s="3">
        <f t="shared" si="141"/>
        <v>95.387777777777785</v>
      </c>
      <c r="Y305" s="3">
        <f t="shared" si="142"/>
        <v>95.387777777777785</v>
      </c>
      <c r="Z305" s="3">
        <f t="shared" si="147"/>
        <v>380480.42837702855</v>
      </c>
    </row>
    <row r="306" spans="1:26" x14ac:dyDescent="0.45">
      <c r="A306">
        <f t="shared" si="149"/>
        <v>294</v>
      </c>
      <c r="B306" s="3">
        <f t="shared" si="130"/>
        <v>10.412328196584756</v>
      </c>
      <c r="C306" s="3">
        <f t="shared" si="150"/>
        <v>3061.2244897959181</v>
      </c>
      <c r="D306" s="3">
        <f t="shared" si="131"/>
        <v>6.4999384954891556E-4</v>
      </c>
      <c r="E306" s="3">
        <f t="shared" si="132"/>
        <v>96.04</v>
      </c>
      <c r="F306" s="3"/>
      <c r="G306" s="3">
        <f t="shared" si="133"/>
        <v>117670237.79579787</v>
      </c>
      <c r="H306" s="3">
        <f t="shared" si="134"/>
        <v>306122.44897959183</v>
      </c>
      <c r="I306" s="3">
        <f t="shared" si="143"/>
        <v>58835915.278711133</v>
      </c>
      <c r="J306" s="3">
        <f t="shared" si="135"/>
        <v>2.5999050140945133E-3</v>
      </c>
      <c r="K306" s="3">
        <f t="shared" si="144"/>
        <v>2.707106428669839E-2</v>
      </c>
      <c r="L306" s="3">
        <f t="shared" si="148"/>
        <v>2.707106428669839E-2</v>
      </c>
      <c r="O306" s="9">
        <f t="shared" si="136"/>
        <v>2.7071064288246864E-5</v>
      </c>
      <c r="P306" s="9">
        <f t="shared" si="145"/>
        <v>36938.811059964813</v>
      </c>
      <c r="Q306" s="3">
        <f t="shared" si="137"/>
        <v>384629.43627618504</v>
      </c>
      <c r="R306" s="3">
        <f t="shared" si="138"/>
        <v>36938811.114104688</v>
      </c>
      <c r="S306" s="3">
        <f t="shared" si="139"/>
        <v>36938811.114104688</v>
      </c>
      <c r="T306" s="3"/>
      <c r="U306" s="3"/>
      <c r="V306" s="3">
        <f t="shared" si="140"/>
        <v>4002.3890406733967</v>
      </c>
      <c r="W306" s="3">
        <f t="shared" si="146"/>
        <v>1176702.3779579788</v>
      </c>
      <c r="X306" s="3">
        <f t="shared" si="141"/>
        <v>96.04000000000002</v>
      </c>
      <c r="Y306" s="3">
        <f t="shared" si="142"/>
        <v>96.04</v>
      </c>
      <c r="Z306" s="3">
        <f t="shared" si="147"/>
        <v>384389.44346627302</v>
      </c>
    </row>
    <row r="307" spans="1:26" x14ac:dyDescent="0.45">
      <c r="A307">
        <f t="shared" si="149"/>
        <v>295</v>
      </c>
      <c r="B307" s="3">
        <f t="shared" si="130"/>
        <v>10.341855788566503</v>
      </c>
      <c r="C307" s="3">
        <f t="shared" si="150"/>
        <v>3050.8474576271187</v>
      </c>
      <c r="D307" s="3">
        <f t="shared" si="131"/>
        <v>6.4122508671780615E-4</v>
      </c>
      <c r="E307" s="3">
        <f t="shared" si="132"/>
        <v>96.694444444444457</v>
      </c>
      <c r="F307" s="3"/>
      <c r="G307" s="3">
        <f t="shared" si="133"/>
        <v>118472076.9607491</v>
      </c>
      <c r="H307" s="3">
        <f t="shared" si="134"/>
        <v>305084.74576271186</v>
      </c>
      <c r="I307" s="3">
        <f t="shared" si="143"/>
        <v>59236824.117693141</v>
      </c>
      <c r="J307" s="3">
        <f t="shared" si="135"/>
        <v>2.5648323125666062E-3</v>
      </c>
      <c r="K307" s="3">
        <f t="shared" si="144"/>
        <v>2.6525125898419367E-2</v>
      </c>
      <c r="L307" s="3">
        <f t="shared" si="148"/>
        <v>2.652512589841937E-2</v>
      </c>
      <c r="O307" s="9">
        <f t="shared" si="136"/>
        <v>2.6525125899936616E-5</v>
      </c>
      <c r="P307" s="9">
        <f t="shared" si="145"/>
        <v>37699.103809964938</v>
      </c>
      <c r="Q307" s="3">
        <f t="shared" si="137"/>
        <v>389889.03681664396</v>
      </c>
      <c r="R307" s="3">
        <f t="shared" si="138"/>
        <v>37699103.863013014</v>
      </c>
      <c r="S307" s="3">
        <f t="shared" si="139"/>
        <v>37699103.863013007</v>
      </c>
      <c r="T307" s="3"/>
      <c r="U307" s="3"/>
      <c r="V307" s="3">
        <f t="shared" si="140"/>
        <v>4016.0026088389527</v>
      </c>
      <c r="W307" s="3">
        <f t="shared" si="146"/>
        <v>1184720.7696074911</v>
      </c>
      <c r="X307" s="3">
        <f t="shared" si="141"/>
        <v>96.694444444444457</v>
      </c>
      <c r="Y307" s="3">
        <f t="shared" si="142"/>
        <v>96.694444444444457</v>
      </c>
      <c r="Z307" s="3">
        <f t="shared" si="147"/>
        <v>388325.14114912209</v>
      </c>
    </row>
    <row r="308" spans="1:26" x14ac:dyDescent="0.45">
      <c r="A308">
        <f t="shared" si="149"/>
        <v>296</v>
      </c>
      <c r="B308" s="3">
        <f t="shared" si="130"/>
        <v>10.27209642074507</v>
      </c>
      <c r="C308" s="3">
        <f t="shared" si="150"/>
        <v>3040.5405405405409</v>
      </c>
      <c r="D308" s="3">
        <f t="shared" si="131"/>
        <v>6.3260369553310412E-4</v>
      </c>
      <c r="E308" s="3">
        <f t="shared" si="132"/>
        <v>97.351111111111095</v>
      </c>
      <c r="F308" s="3"/>
      <c r="G308" s="3">
        <f t="shared" si="133"/>
        <v>119276638.83933343</v>
      </c>
      <c r="H308" s="3">
        <f t="shared" si="134"/>
        <v>304054.05405405408</v>
      </c>
      <c r="I308" s="3">
        <f t="shared" si="143"/>
        <v>59639094.49404797</v>
      </c>
      <c r="J308" s="3">
        <f t="shared" si="135"/>
        <v>2.530349011619169E-3</v>
      </c>
      <c r="K308" s="3">
        <f t="shared" si="144"/>
        <v>2.5991989025489094E-2</v>
      </c>
      <c r="L308" s="3">
        <f t="shared" si="148"/>
        <v>2.59919890254891E-2</v>
      </c>
      <c r="O308" s="9">
        <f t="shared" si="136"/>
        <v>2.5991989026975846E-5</v>
      </c>
      <c r="P308" s="9">
        <f t="shared" si="145"/>
        <v>38472.392665799744</v>
      </c>
      <c r="Q308" s="3">
        <f t="shared" si="137"/>
        <v>395202.39909628121</v>
      </c>
      <c r="R308" s="3">
        <f t="shared" si="138"/>
        <v>38472392.717781633</v>
      </c>
      <c r="S308" s="3">
        <f t="shared" si="139"/>
        <v>38472392.717781633</v>
      </c>
      <c r="T308" s="3"/>
      <c r="U308" s="3"/>
      <c r="V308" s="3">
        <f t="shared" si="140"/>
        <v>4029.6161770045082</v>
      </c>
      <c r="W308" s="3">
        <f t="shared" si="146"/>
        <v>1192766.3883933343</v>
      </c>
      <c r="X308" s="3">
        <f t="shared" si="141"/>
        <v>97.351111111111123</v>
      </c>
      <c r="Y308" s="3">
        <f t="shared" si="142"/>
        <v>97.351111111111095</v>
      </c>
      <c r="Z308" s="3">
        <f t="shared" si="147"/>
        <v>392287.61218269658</v>
      </c>
    </row>
    <row r="309" spans="1:26" x14ac:dyDescent="0.45">
      <c r="A309">
        <f t="shared" si="149"/>
        <v>297</v>
      </c>
      <c r="B309" s="3">
        <f t="shared" si="130"/>
        <v>10.20304050607081</v>
      </c>
      <c r="C309" s="3">
        <f t="shared" si="150"/>
        <v>3030.3030303030305</v>
      </c>
      <c r="D309" s="3">
        <f t="shared" si="131"/>
        <v>6.2412671380942988E-4</v>
      </c>
      <c r="E309" s="3">
        <f t="shared" si="132"/>
        <v>98.01</v>
      </c>
      <c r="F309" s="3"/>
      <c r="G309" s="3">
        <f t="shared" si="133"/>
        <v>120083923.43155089</v>
      </c>
      <c r="H309" s="3">
        <f t="shared" si="134"/>
        <v>303030.30303030304</v>
      </c>
      <c r="I309" s="3">
        <f t="shared" si="143"/>
        <v>60042726.40414656</v>
      </c>
      <c r="J309" s="3">
        <f t="shared" si="135"/>
        <v>2.4964432659332902E-3</v>
      </c>
      <c r="K309" s="3">
        <f t="shared" si="144"/>
        <v>2.5471311763425063E-2</v>
      </c>
      <c r="L309" s="3">
        <f t="shared" si="148"/>
        <v>2.5471311763425063E-2</v>
      </c>
      <c r="O309" s="9">
        <f t="shared" si="136"/>
        <v>2.5471311764882032E-5</v>
      </c>
      <c r="P309" s="9">
        <f t="shared" si="145"/>
        <v>39258.854742884752</v>
      </c>
      <c r="Q309" s="3">
        <f t="shared" si="137"/>
        <v>400569.88820410933</v>
      </c>
      <c r="R309" s="3">
        <f t="shared" si="138"/>
        <v>39258854.793825373</v>
      </c>
      <c r="S309" s="3">
        <f t="shared" si="139"/>
        <v>39258854.793825395</v>
      </c>
      <c r="T309" s="3"/>
      <c r="U309" s="3"/>
      <c r="V309" s="3">
        <f t="shared" si="140"/>
        <v>4043.2297451700642</v>
      </c>
      <c r="W309" s="3">
        <f t="shared" si="146"/>
        <v>1200839.234315509</v>
      </c>
      <c r="X309" s="3">
        <f t="shared" si="141"/>
        <v>98.010000000000019</v>
      </c>
      <c r="Y309" s="3">
        <f t="shared" si="142"/>
        <v>98.01</v>
      </c>
      <c r="Z309" s="3">
        <f t="shared" si="147"/>
        <v>396276.94732411799</v>
      </c>
    </row>
    <row r="310" spans="1:26" x14ac:dyDescent="0.45">
      <c r="A310">
        <f t="shared" si="149"/>
        <v>298</v>
      </c>
      <c r="B310" s="3">
        <f t="shared" si="130"/>
        <v>10.134678618080267</v>
      </c>
      <c r="C310" s="3">
        <f t="shared" si="150"/>
        <v>3020.1342281879197</v>
      </c>
      <c r="D310" s="3">
        <f t="shared" si="131"/>
        <v>6.1579124859288974E-4</v>
      </c>
      <c r="E310" s="3">
        <f t="shared" si="132"/>
        <v>98.671111111111117</v>
      </c>
      <c r="F310" s="3"/>
      <c r="G310" s="3">
        <f t="shared" si="133"/>
        <v>120893930.73740147</v>
      </c>
      <c r="H310" s="3">
        <f t="shared" si="134"/>
        <v>302013.42281879194</v>
      </c>
      <c r="I310" s="3">
        <f t="shared" si="143"/>
        <v>60447719.844444655</v>
      </c>
      <c r="J310" s="3">
        <f t="shared" si="135"/>
        <v>2.4631035069689385E-3</v>
      </c>
      <c r="K310" s="3">
        <f t="shared" si="144"/>
        <v>2.4962762446196621E-2</v>
      </c>
      <c r="L310" s="3">
        <f t="shared" si="148"/>
        <v>2.4962762446196621E-2</v>
      </c>
      <c r="O310" s="9">
        <f t="shared" si="136"/>
        <v>2.4962762447624502E-5</v>
      </c>
      <c r="P310" s="9">
        <f t="shared" si="145"/>
        <v>40058.668960842981</v>
      </c>
      <c r="Q310" s="3">
        <f t="shared" si="137"/>
        <v>405991.87046482909</v>
      </c>
      <c r="R310" s="3">
        <f t="shared" si="138"/>
        <v>40058669.010766581</v>
      </c>
      <c r="S310" s="3">
        <f t="shared" si="139"/>
        <v>40058669.010766581</v>
      </c>
      <c r="T310" s="3"/>
      <c r="U310" s="3"/>
      <c r="V310" s="3">
        <f t="shared" si="140"/>
        <v>4056.8433133356202</v>
      </c>
      <c r="W310" s="3">
        <f t="shared" si="146"/>
        <v>1208939.3073740148</v>
      </c>
      <c r="X310" s="3">
        <f t="shared" si="141"/>
        <v>98.671111111111145</v>
      </c>
      <c r="Y310" s="3">
        <f t="shared" si="142"/>
        <v>98.671111111111117</v>
      </c>
      <c r="Z310" s="3">
        <f t="shared" si="147"/>
        <v>400293.23733050714</v>
      </c>
    </row>
    <row r="311" spans="1:26" x14ac:dyDescent="0.45">
      <c r="A311">
        <f t="shared" si="149"/>
        <v>299</v>
      </c>
      <c r="B311" s="3">
        <f t="shared" si="130"/>
        <v>10.067001487679109</v>
      </c>
      <c r="C311" s="3">
        <f t="shared" si="150"/>
        <v>3010.0334448160534</v>
      </c>
      <c r="D311" s="3">
        <f t="shared" si="131"/>
        <v>6.0759447431802055E-4</v>
      </c>
      <c r="E311" s="3">
        <f t="shared" si="132"/>
        <v>99.334444444444458</v>
      </c>
      <c r="F311" s="3"/>
      <c r="G311" s="3">
        <f t="shared" si="133"/>
        <v>121706660.75688514</v>
      </c>
      <c r="H311" s="3">
        <f t="shared" si="134"/>
        <v>301003.34448160534</v>
      </c>
      <c r="I311" s="3">
        <f t="shared" si="143"/>
        <v>60854074.811480545</v>
      </c>
      <c r="J311" s="3">
        <f t="shared" si="135"/>
        <v>2.4303184355995242E-3</v>
      </c>
      <c r="K311" s="3">
        <f t="shared" si="144"/>
        <v>2.4466019306714375E-2</v>
      </c>
      <c r="L311" s="3">
        <f t="shared" si="148"/>
        <v>2.4466019306714382E-2</v>
      </c>
      <c r="O311" s="9">
        <f t="shared" si="136"/>
        <v>2.446601930811384E-5</v>
      </c>
      <c r="P311" s="9">
        <f t="shared" si="145"/>
        <v>40872.016055716216</v>
      </c>
      <c r="Q311" s="3">
        <f t="shared" si="137"/>
        <v>411468.71343882725</v>
      </c>
      <c r="R311" s="3">
        <f t="shared" si="138"/>
        <v>40872016.104646407</v>
      </c>
      <c r="S311" s="3">
        <f t="shared" si="139"/>
        <v>40872016.104646407</v>
      </c>
      <c r="T311" s="3"/>
      <c r="U311" s="3"/>
      <c r="V311" s="3">
        <f t="shared" si="140"/>
        <v>4070.4568815011753</v>
      </c>
      <c r="W311" s="3">
        <f t="shared" si="146"/>
        <v>1217066.6075688514</v>
      </c>
      <c r="X311" s="3">
        <f t="shared" si="141"/>
        <v>99.334444444444443</v>
      </c>
      <c r="Y311" s="3">
        <f t="shared" si="142"/>
        <v>99.334444444444458</v>
      </c>
      <c r="Z311" s="3">
        <f t="shared" si="147"/>
        <v>404336.57295898511</v>
      </c>
    </row>
    <row r="312" spans="1:26" x14ac:dyDescent="0.45">
      <c r="A312">
        <f t="shared" si="149"/>
        <v>300</v>
      </c>
      <c r="B312" s="3">
        <f t="shared" si="130"/>
        <v>10</v>
      </c>
      <c r="C312" s="3">
        <f t="shared" si="150"/>
        <v>3000</v>
      </c>
      <c r="D312" s="3">
        <f t="shared" si="131"/>
        <v>5.995336310197502E-4</v>
      </c>
      <c r="E312" s="3">
        <f t="shared" si="132"/>
        <v>100</v>
      </c>
      <c r="F312" s="3"/>
      <c r="G312" s="3">
        <f t="shared" si="133"/>
        <v>122522113.49000195</v>
      </c>
      <c r="H312" s="3">
        <f t="shared" si="134"/>
        <v>300000</v>
      </c>
      <c r="I312" s="3">
        <f t="shared" si="143"/>
        <v>61261791.301872894</v>
      </c>
      <c r="J312" s="3">
        <f t="shared" si="135"/>
        <v>2.3980770149661899E-3</v>
      </c>
      <c r="K312" s="3">
        <f t="shared" si="144"/>
        <v>2.3980770149661899E-2</v>
      </c>
      <c r="L312" s="3">
        <f t="shared" si="148"/>
        <v>2.3980770149661906E-2</v>
      </c>
      <c r="O312" s="9">
        <f t="shared" si="136"/>
        <v>2.3980770151033608E-5</v>
      </c>
      <c r="P312" s="9">
        <f t="shared" si="145"/>
        <v>41699.078592217294</v>
      </c>
      <c r="Q312" s="3">
        <f t="shared" si="137"/>
        <v>417000.78592217294</v>
      </c>
      <c r="R312" s="3">
        <f t="shared" si="138"/>
        <v>41699078.640177049</v>
      </c>
      <c r="S312" s="3">
        <f t="shared" si="139"/>
        <v>41699078.640177056</v>
      </c>
      <c r="T312" s="3"/>
      <c r="U312" s="3"/>
      <c r="V312" s="3">
        <f t="shared" si="140"/>
        <v>4084.0704496667313</v>
      </c>
      <c r="W312" s="3">
        <f t="shared" si="146"/>
        <v>1225221.1349000195</v>
      </c>
      <c r="X312" s="3">
        <f t="shared" si="141"/>
        <v>100.00000000000001</v>
      </c>
      <c r="Y312" s="3">
        <f t="shared" si="142"/>
        <v>100</v>
      </c>
      <c r="Z312" s="3">
        <f t="shared" si="147"/>
        <v>408407.04496667313</v>
      </c>
    </row>
    <row r="313" spans="1:26" x14ac:dyDescent="0.45">
      <c r="A313">
        <f t="shared" si="149"/>
        <v>301</v>
      </c>
      <c r="B313" s="3">
        <f t="shared" si="130"/>
        <v>9.9336651913334286</v>
      </c>
      <c r="C313" s="3">
        <f t="shared" si="150"/>
        <v>2990.0332225913621</v>
      </c>
      <c r="D313" s="3">
        <f t="shared" si="131"/>
        <v>5.9160602259855503E-4</v>
      </c>
      <c r="E313" s="3">
        <f t="shared" si="132"/>
        <v>100.6677777777778</v>
      </c>
      <c r="F313" s="3"/>
      <c r="G313" s="3">
        <f t="shared" si="133"/>
        <v>123340288.93675184</v>
      </c>
      <c r="H313" s="3">
        <f t="shared" si="134"/>
        <v>299003.32225913618</v>
      </c>
      <c r="I313" s="3">
        <f t="shared" si="143"/>
        <v>61670869.312318593</v>
      </c>
      <c r="J313" s="3">
        <f t="shared" si="135"/>
        <v>2.3663684635445719E-3</v>
      </c>
      <c r="K313" s="3">
        <f t="shared" si="144"/>
        <v>2.3506712036181879E-2</v>
      </c>
      <c r="L313" s="3">
        <f t="shared" si="148"/>
        <v>2.3506712036181879E-2</v>
      </c>
      <c r="O313" s="9">
        <f t="shared" si="136"/>
        <v>2.3506712037526473E-5</v>
      </c>
      <c r="P313" s="9">
        <f t="shared" si="145"/>
        <v>42540.040976023563</v>
      </c>
      <c r="Q313" s="3">
        <f t="shared" si="137"/>
        <v>422588.45794661436</v>
      </c>
      <c r="R313" s="3">
        <f t="shared" si="138"/>
        <v>42540041.023035288</v>
      </c>
      <c r="S313" s="3">
        <f t="shared" si="139"/>
        <v>42540041.023035273</v>
      </c>
      <c r="T313" s="3"/>
      <c r="U313" s="3"/>
      <c r="V313" s="3">
        <f t="shared" si="140"/>
        <v>4097.6840178322873</v>
      </c>
      <c r="W313" s="3">
        <f t="shared" si="146"/>
        <v>1233402.8893675185</v>
      </c>
      <c r="X313" s="3">
        <f t="shared" si="141"/>
        <v>100.6677777777778</v>
      </c>
      <c r="Y313" s="3">
        <f t="shared" si="142"/>
        <v>100.6677777777778</v>
      </c>
      <c r="Z313" s="3">
        <f t="shared" si="147"/>
        <v>412504.74411069241</v>
      </c>
    </row>
    <row r="314" spans="1:26" x14ac:dyDescent="0.45">
      <c r="A314">
        <f t="shared" si="149"/>
        <v>302</v>
      </c>
      <c r="B314" s="3">
        <f t="shared" si="130"/>
        <v>9.8679882461295563</v>
      </c>
      <c r="C314" s="3">
        <f t="shared" si="150"/>
        <v>2980.1324503311262</v>
      </c>
      <c r="D314" s="3">
        <f t="shared" si="131"/>
        <v>5.8380901513706003E-4</v>
      </c>
      <c r="E314" s="3">
        <f t="shared" si="132"/>
        <v>101.33777777777777</v>
      </c>
      <c r="F314" s="3"/>
      <c r="G314" s="3">
        <f t="shared" si="133"/>
        <v>124161187.09713484</v>
      </c>
      <c r="H314" s="3">
        <f t="shared" si="134"/>
        <v>298013.24503311259</v>
      </c>
      <c r="I314" s="3">
        <f t="shared" si="143"/>
        <v>62081308.839590728</v>
      </c>
      <c r="J314" s="3">
        <f t="shared" si="135"/>
        <v>2.3351822484170286E-3</v>
      </c>
      <c r="K314" s="3">
        <f t="shared" si="144"/>
        <v>2.3043550979949628E-2</v>
      </c>
      <c r="L314" s="3">
        <f t="shared" si="148"/>
        <v>2.3043550979949628E-2</v>
      </c>
      <c r="O314" s="9">
        <f t="shared" si="136"/>
        <v>2.3043550981267727E-5</v>
      </c>
      <c r="P314" s="9">
        <f t="shared" si="145"/>
        <v>43395.089466111684</v>
      </c>
      <c r="Q314" s="3">
        <f t="shared" si="137"/>
        <v>428232.10077957675</v>
      </c>
      <c r="R314" s="3">
        <f t="shared" si="138"/>
        <v>43395089.512197144</v>
      </c>
      <c r="S314" s="3">
        <f t="shared" si="139"/>
        <v>43395089.512197144</v>
      </c>
      <c r="T314" s="3"/>
      <c r="U314" s="3"/>
      <c r="V314" s="3">
        <f t="shared" si="140"/>
        <v>4111.2975859978424</v>
      </c>
      <c r="W314" s="3">
        <f t="shared" si="146"/>
        <v>1241611.8709713484</v>
      </c>
      <c r="X314" s="3">
        <f t="shared" si="141"/>
        <v>101.33777777777776</v>
      </c>
      <c r="Y314" s="3">
        <f t="shared" si="142"/>
        <v>101.33777777777777</v>
      </c>
      <c r="Z314" s="3">
        <f t="shared" si="147"/>
        <v>416629.76114816358</v>
      </c>
    </row>
    <row r="315" spans="1:26" x14ac:dyDescent="0.45">
      <c r="A315">
        <f t="shared" si="149"/>
        <v>303</v>
      </c>
      <c r="B315" s="3">
        <f t="shared" si="130"/>
        <v>9.8029604940692092</v>
      </c>
      <c r="C315" s="3">
        <f t="shared" si="150"/>
        <v>2970.2970297029706</v>
      </c>
      <c r="D315" s="3">
        <f t="shared" si="131"/>
        <v>5.7614003526639326E-4</v>
      </c>
      <c r="E315" s="3">
        <f t="shared" si="132"/>
        <v>102.01</v>
      </c>
      <c r="F315" s="3"/>
      <c r="G315" s="3">
        <f t="shared" si="133"/>
        <v>124984807.97115098</v>
      </c>
      <c r="H315" s="3">
        <f t="shared" si="134"/>
        <v>297029.70297029702</v>
      </c>
      <c r="I315" s="3">
        <f t="shared" si="143"/>
        <v>62493109.880536571</v>
      </c>
      <c r="J315" s="3">
        <f t="shared" si="135"/>
        <v>2.3045080787436139E-3</v>
      </c>
      <c r="K315" s="3">
        <f t="shared" si="144"/>
        <v>2.2591001654186982E-2</v>
      </c>
      <c r="L315" s="3">
        <f t="shared" si="148"/>
        <v>2.2591001654186985E-2</v>
      </c>
      <c r="O315" s="9">
        <f t="shared" si="136"/>
        <v>2.2591001655479194E-5</v>
      </c>
      <c r="P315" s="9">
        <f t="shared" si="145"/>
        <v>44264.412187133421</v>
      </c>
      <c r="Q315" s="3">
        <f t="shared" si="137"/>
        <v>433932.08692415862</v>
      </c>
      <c r="R315" s="3">
        <f t="shared" si="138"/>
        <v>44264412.232313842</v>
      </c>
      <c r="S315" s="3">
        <f t="shared" si="139"/>
        <v>44264412.232313849</v>
      </c>
      <c r="T315" s="3"/>
      <c r="U315" s="3"/>
      <c r="V315" s="3">
        <f t="shared" si="140"/>
        <v>4124.9111541633984</v>
      </c>
      <c r="W315" s="3">
        <f t="shared" si="146"/>
        <v>1249848.0797115096</v>
      </c>
      <c r="X315" s="3">
        <f t="shared" si="141"/>
        <v>102.00999999999999</v>
      </c>
      <c r="Y315" s="3">
        <f t="shared" si="142"/>
        <v>102.01</v>
      </c>
      <c r="Z315" s="3">
        <f t="shared" si="147"/>
        <v>420782.18683620828</v>
      </c>
    </row>
    <row r="316" spans="1:26" x14ac:dyDescent="0.45">
      <c r="A316">
        <f t="shared" si="149"/>
        <v>304</v>
      </c>
      <c r="B316" s="3">
        <f t="shared" si="130"/>
        <v>9.7385734072022156</v>
      </c>
      <c r="C316" s="3">
        <f t="shared" si="150"/>
        <v>2960.5263157894738</v>
      </c>
      <c r="D316" s="3">
        <f t="shared" si="131"/>
        <v>5.6859656858066691E-4</v>
      </c>
      <c r="E316" s="3">
        <f t="shared" si="132"/>
        <v>102.68444444444444</v>
      </c>
      <c r="F316" s="3"/>
      <c r="G316" s="3">
        <f t="shared" si="133"/>
        <v>125811151.55880022</v>
      </c>
      <c r="H316" s="3">
        <f t="shared" si="134"/>
        <v>296052.63157894736</v>
      </c>
      <c r="I316" s="3">
        <f t="shared" si="143"/>
        <v>62906272.432075605</v>
      </c>
      <c r="J316" s="3">
        <f t="shared" si="135"/>
        <v>2.2743358994252731E-3</v>
      </c>
      <c r="K316" s="3">
        <f t="shared" si="144"/>
        <v>2.2148787109188297E-2</v>
      </c>
      <c r="L316" s="3">
        <f t="shared" si="148"/>
        <v>2.2148787109188304E-2</v>
      </c>
      <c r="O316" s="9">
        <f t="shared" si="136"/>
        <v>2.2148787110455215E-5</v>
      </c>
      <c r="P316" s="9">
        <f t="shared" si="145"/>
        <v>45148.199141832709</v>
      </c>
      <c r="Q316" s="3">
        <f t="shared" si="137"/>
        <v>439688.79011912912</v>
      </c>
      <c r="R316" s="3">
        <f t="shared" si="138"/>
        <v>45148199.18612875</v>
      </c>
      <c r="S316" s="3">
        <f t="shared" si="139"/>
        <v>45148199.186128765</v>
      </c>
      <c r="T316" s="3"/>
      <c r="U316" s="3"/>
      <c r="V316" s="3">
        <f t="shared" si="140"/>
        <v>4138.5247223289543</v>
      </c>
      <c r="W316" s="3">
        <f t="shared" si="146"/>
        <v>1258111.515588002</v>
      </c>
      <c r="X316" s="3">
        <f t="shared" si="141"/>
        <v>102.68444444444445</v>
      </c>
      <c r="Y316" s="3">
        <f t="shared" si="142"/>
        <v>102.68444444444444</v>
      </c>
      <c r="Z316" s="3">
        <f t="shared" si="147"/>
        <v>424962.11193194735</v>
      </c>
    </row>
    <row r="317" spans="1:26" x14ac:dyDescent="0.45">
      <c r="A317">
        <f t="shared" si="149"/>
        <v>305</v>
      </c>
      <c r="B317" s="3">
        <f t="shared" si="130"/>
        <v>9.6748185971513028</v>
      </c>
      <c r="C317" s="3">
        <f t="shared" si="150"/>
        <v>2950.8196721311474</v>
      </c>
      <c r="D317" s="3">
        <f t="shared" si="131"/>
        <v>5.6117615809801377E-4</v>
      </c>
      <c r="E317" s="3">
        <f t="shared" si="132"/>
        <v>103.3611111111111</v>
      </c>
      <c r="F317" s="3"/>
      <c r="G317" s="3">
        <f t="shared" si="133"/>
        <v>126640217.86008257</v>
      </c>
      <c r="H317" s="3">
        <f t="shared" si="134"/>
        <v>295081.96721311478</v>
      </c>
      <c r="I317" s="3">
        <f t="shared" si="143"/>
        <v>63320796.491197646</v>
      </c>
      <c r="J317" s="3">
        <f t="shared" si="135"/>
        <v>2.2446558849530144E-3</v>
      </c>
      <c r="K317" s="3">
        <f t="shared" si="144"/>
        <v>2.1716638499948541E-2</v>
      </c>
      <c r="L317" s="3">
        <f t="shared" si="148"/>
        <v>2.1716638499948534E-2</v>
      </c>
      <c r="O317" s="9">
        <f t="shared" si="136"/>
        <v>2.1716638501190742E-5</v>
      </c>
      <c r="P317" s="9">
        <f t="shared" si="145"/>
        <v>46046.642223503841</v>
      </c>
      <c r="Q317" s="3">
        <f t="shared" si="137"/>
        <v>445502.58533892455</v>
      </c>
      <c r="R317" s="3">
        <f t="shared" si="138"/>
        <v>46046642.266935647</v>
      </c>
      <c r="S317" s="3">
        <f t="shared" si="139"/>
        <v>46046642.266935639</v>
      </c>
      <c r="T317" s="3"/>
      <c r="U317" s="3"/>
      <c r="V317" s="3">
        <f t="shared" si="140"/>
        <v>4152.1382904945103</v>
      </c>
      <c r="W317" s="3">
        <f t="shared" si="146"/>
        <v>1266402.1786008256</v>
      </c>
      <c r="X317" s="3">
        <f t="shared" si="141"/>
        <v>103.36111111111114</v>
      </c>
      <c r="Y317" s="3">
        <f t="shared" si="142"/>
        <v>103.3611111111111</v>
      </c>
      <c r="Z317" s="3">
        <f t="shared" si="147"/>
        <v>429169.62719250197</v>
      </c>
    </row>
    <row r="318" spans="1:26" x14ac:dyDescent="0.45">
      <c r="A318">
        <f t="shared" si="149"/>
        <v>306</v>
      </c>
      <c r="B318" s="3">
        <f t="shared" si="130"/>
        <v>9.6116878123798539</v>
      </c>
      <c r="C318" s="3">
        <f t="shared" si="150"/>
        <v>2941.1764705882351</v>
      </c>
      <c r="D318" s="3">
        <f t="shared" si="131"/>
        <v>5.5387640276666401E-4</v>
      </c>
      <c r="E318" s="3">
        <f t="shared" si="132"/>
        <v>104.03999999999998</v>
      </c>
      <c r="F318" s="3"/>
      <c r="G318" s="3">
        <f t="shared" si="133"/>
        <v>127472006.87499802</v>
      </c>
      <c r="H318" s="3">
        <f t="shared" si="134"/>
        <v>294117.64705882355</v>
      </c>
      <c r="I318" s="3">
        <f t="shared" si="143"/>
        <v>63736682.05496107</v>
      </c>
      <c r="J318" s="3">
        <f t="shared" si="135"/>
        <v>2.2154584334369912E-3</v>
      </c>
      <c r="K318" s="3">
        <f t="shared" si="144"/>
        <v>2.1294294823500492E-2</v>
      </c>
      <c r="L318" s="3">
        <f t="shared" si="148"/>
        <v>2.1294294823500485E-2</v>
      </c>
      <c r="O318" s="9">
        <f t="shared" si="136"/>
        <v>2.1294294824718532E-5</v>
      </c>
      <c r="P318" s="9">
        <f t="shared" si="145"/>
        <v>46959.935228491086</v>
      </c>
      <c r="Q318" s="3">
        <f t="shared" si="137"/>
        <v>451373.84879364748</v>
      </c>
      <c r="R318" s="3">
        <f t="shared" si="138"/>
        <v>46959935.271078244</v>
      </c>
      <c r="S318" s="3">
        <f t="shared" si="139"/>
        <v>46959935.271078259</v>
      </c>
      <c r="T318" s="3"/>
      <c r="U318" s="3"/>
      <c r="V318" s="3">
        <f t="shared" si="140"/>
        <v>4165.7518586600663</v>
      </c>
      <c r="W318" s="3">
        <f t="shared" si="146"/>
        <v>1274720.0687499803</v>
      </c>
      <c r="X318" s="3">
        <f t="shared" si="141"/>
        <v>104.04000000000003</v>
      </c>
      <c r="Y318" s="3">
        <f t="shared" si="142"/>
        <v>104.03999999999998</v>
      </c>
      <c r="Z318" s="3">
        <f t="shared" si="147"/>
        <v>433404.82337499323</v>
      </c>
    </row>
    <row r="319" spans="1:26" x14ac:dyDescent="0.45">
      <c r="A319">
        <f t="shared" si="149"/>
        <v>307</v>
      </c>
      <c r="B319" s="3">
        <f t="shared" si="130"/>
        <v>9.5491729355218631</v>
      </c>
      <c r="C319" s="3">
        <f t="shared" si="150"/>
        <v>2931.5960912052119</v>
      </c>
      <c r="D319" s="3">
        <f t="shared" si="131"/>
        <v>5.4669495601460539E-4</v>
      </c>
      <c r="E319" s="3">
        <f t="shared" si="132"/>
        <v>104.72111111111111</v>
      </c>
      <c r="F319" s="3"/>
      <c r="G319" s="3">
        <f t="shared" si="133"/>
        <v>128306518.60354657</v>
      </c>
      <c r="H319" s="3">
        <f t="shared" si="134"/>
        <v>293159.60912052117</v>
      </c>
      <c r="I319" s="3">
        <f t="shared" si="143"/>
        <v>64153929.120490983</v>
      </c>
      <c r="J319" s="3">
        <f t="shared" si="135"/>
        <v>2.1867341608096959E-3</v>
      </c>
      <c r="K319" s="3">
        <f t="shared" si="144"/>
        <v>2.0881502665585062E-2</v>
      </c>
      <c r="L319" s="3">
        <f t="shared" si="148"/>
        <v>2.0881502665585066E-2</v>
      </c>
      <c r="O319" s="9">
        <f t="shared" si="136"/>
        <v>2.0881502666779493E-5</v>
      </c>
      <c r="P319" s="9">
        <f t="shared" si="145"/>
        <v>47888.273868729091</v>
      </c>
      <c r="Q319" s="3">
        <f t="shared" si="137"/>
        <v>457302.95792906225</v>
      </c>
      <c r="R319" s="3">
        <f t="shared" si="138"/>
        <v>47888273.910490736</v>
      </c>
      <c r="S319" s="3">
        <f t="shared" si="139"/>
        <v>47888273.910490751</v>
      </c>
      <c r="T319" s="3"/>
      <c r="U319" s="3"/>
      <c r="V319" s="3">
        <f t="shared" si="140"/>
        <v>4179.3654268256223</v>
      </c>
      <c r="W319" s="3">
        <f t="shared" si="146"/>
        <v>1283065.1860354661</v>
      </c>
      <c r="X319" s="3">
        <f t="shared" si="141"/>
        <v>104.72111111111116</v>
      </c>
      <c r="Y319" s="3">
        <f t="shared" si="142"/>
        <v>104.72111111111111</v>
      </c>
      <c r="Z319" s="3">
        <f t="shared" si="147"/>
        <v>437667.79123654234</v>
      </c>
    </row>
    <row r="320" spans="1:26" x14ac:dyDescent="0.45">
      <c r="A320">
        <f t="shared" si="149"/>
        <v>308</v>
      </c>
      <c r="B320" s="3">
        <f t="shared" si="130"/>
        <v>9.4872659807724737</v>
      </c>
      <c r="C320" s="3">
        <f t="shared" si="150"/>
        <v>2922.0779220779218</v>
      </c>
      <c r="D320" s="3">
        <f t="shared" si="131"/>
        <v>5.3962952434141558E-4</v>
      </c>
      <c r="E320" s="3">
        <f t="shared" si="132"/>
        <v>105.40444444444442</v>
      </c>
      <c r="F320" s="3"/>
      <c r="G320" s="3">
        <f t="shared" si="133"/>
        <v>129143753.04572828</v>
      </c>
      <c r="H320" s="3">
        <f t="shared" si="134"/>
        <v>292207.79220779223</v>
      </c>
      <c r="I320" s="3">
        <f t="shared" si="143"/>
        <v>64572537.684977502</v>
      </c>
      <c r="J320" s="3">
        <f t="shared" si="135"/>
        <v>2.1584738951976224E-3</v>
      </c>
      <c r="K320" s="3">
        <f t="shared" si="144"/>
        <v>2.0478015956293852E-2</v>
      </c>
      <c r="L320" s="3">
        <f t="shared" si="148"/>
        <v>2.0478015956293859E-2</v>
      </c>
      <c r="O320" s="9">
        <f t="shared" si="136"/>
        <v>2.0478015957465204E-5</v>
      </c>
      <c r="P320" s="9">
        <f t="shared" si="145"/>
        <v>48831.855784324791</v>
      </c>
      <c r="Q320" s="3">
        <f t="shared" si="137"/>
        <v>463290.29142659291</v>
      </c>
      <c r="R320" s="3">
        <f t="shared" si="138"/>
        <v>48831855.825279489</v>
      </c>
      <c r="S320" s="3">
        <f t="shared" si="139"/>
        <v>48831855.825279526</v>
      </c>
      <c r="T320" s="3"/>
      <c r="U320" s="3"/>
      <c r="V320" s="3">
        <f t="shared" si="140"/>
        <v>4192.9789949911774</v>
      </c>
      <c r="W320" s="3">
        <f t="shared" si="146"/>
        <v>1291437.5304572827</v>
      </c>
      <c r="X320" s="3">
        <f t="shared" si="141"/>
        <v>105.40444444444445</v>
      </c>
      <c r="Y320" s="3">
        <f t="shared" si="142"/>
        <v>105.40444444444442</v>
      </c>
      <c r="Z320" s="3">
        <f t="shared" si="147"/>
        <v>441958.62153426994</v>
      </c>
    </row>
    <row r="321" spans="1:26" x14ac:dyDescent="0.45">
      <c r="A321">
        <f t="shared" si="149"/>
        <v>309</v>
      </c>
      <c r="B321" s="3">
        <f t="shared" si="130"/>
        <v>9.4259590913375444</v>
      </c>
      <c r="C321" s="3">
        <f t="shared" si="150"/>
        <v>2912.6213592233012</v>
      </c>
      <c r="D321" s="3">
        <f t="shared" si="131"/>
        <v>5.3267786595091174E-4</v>
      </c>
      <c r="E321" s="3">
        <f t="shared" si="132"/>
        <v>106.09</v>
      </c>
      <c r="F321" s="3"/>
      <c r="G321" s="3">
        <f t="shared" si="133"/>
        <v>129983710.20154305</v>
      </c>
      <c r="H321" s="3">
        <f t="shared" si="134"/>
        <v>291262.13592233008</v>
      </c>
      <c r="I321" s="3">
        <f t="shared" si="143"/>
        <v>64992507.745674066</v>
      </c>
      <c r="J321" s="3">
        <f t="shared" si="135"/>
        <v>2.1306686714559816E-3</v>
      </c>
      <c r="K321" s="3">
        <f t="shared" si="144"/>
        <v>2.0083595734338596E-2</v>
      </c>
      <c r="L321" s="3">
        <f t="shared" si="148"/>
        <v>2.00835957343386E-2</v>
      </c>
      <c r="O321" s="9">
        <f t="shared" si="136"/>
        <v>2.0083595735487387E-5</v>
      </c>
      <c r="P321" s="9">
        <f t="shared" si="145"/>
        <v>49790.880556180302</v>
      </c>
      <c r="Q321" s="3">
        <f t="shared" si="137"/>
        <v>469336.22920332081</v>
      </c>
      <c r="R321" s="3">
        <f t="shared" si="138"/>
        <v>49790880.596346229</v>
      </c>
      <c r="S321" s="3">
        <f t="shared" si="139"/>
        <v>49790880.596346222</v>
      </c>
      <c r="T321" s="3"/>
      <c r="U321" s="3"/>
      <c r="V321" s="3">
        <f t="shared" si="140"/>
        <v>4206.5925631567334</v>
      </c>
      <c r="W321" s="3">
        <f t="shared" si="146"/>
        <v>1299837.1020154306</v>
      </c>
      <c r="X321" s="3">
        <f t="shared" si="141"/>
        <v>106.09000000000002</v>
      </c>
      <c r="Y321" s="3">
        <f t="shared" si="142"/>
        <v>106.09</v>
      </c>
      <c r="Z321" s="3">
        <f t="shared" si="147"/>
        <v>446277.40502529783</v>
      </c>
    </row>
    <row r="322" spans="1:26" x14ac:dyDescent="0.45">
      <c r="A322">
        <f t="shared" si="149"/>
        <v>310</v>
      </c>
      <c r="B322" s="3">
        <f t="shared" si="130"/>
        <v>9.3652445369406863</v>
      </c>
      <c r="C322" s="3">
        <f t="shared" si="150"/>
        <v>2903.2258064516127</v>
      </c>
      <c r="D322" s="3">
        <f t="shared" si="131"/>
        <v>5.2583778942330225E-4</v>
      </c>
      <c r="E322" s="3">
        <f t="shared" si="132"/>
        <v>106.77777777777779</v>
      </c>
      <c r="F322" s="3"/>
      <c r="G322" s="3">
        <f t="shared" si="133"/>
        <v>130826390.07099096</v>
      </c>
      <c r="H322" s="3">
        <f t="shared" si="134"/>
        <v>290322.58064516127</v>
      </c>
      <c r="I322" s="3">
        <f t="shared" si="143"/>
        <v>65413839.299895883</v>
      </c>
      <c r="J322" s="3">
        <f t="shared" si="135"/>
        <v>2.1033097258612407E-3</v>
      </c>
      <c r="K322" s="3">
        <f t="shared" si="144"/>
        <v>1.9698009919616198E-2</v>
      </c>
      <c r="L322" s="3">
        <f t="shared" si="148"/>
        <v>1.9698009919616195E-2</v>
      </c>
      <c r="O322" s="9">
        <f t="shared" si="136"/>
        <v>1.9698009920742931E-5</v>
      </c>
      <c r="P322" s="9">
        <f t="shared" si="145"/>
        <v>50765.549718657261</v>
      </c>
      <c r="Q322" s="3">
        <f t="shared" si="137"/>
        <v>475441.15241198265</v>
      </c>
      <c r="R322" s="3">
        <f t="shared" si="138"/>
        <v>50765549.758052059</v>
      </c>
      <c r="S322" s="3">
        <f t="shared" si="139"/>
        <v>50765549.758052059</v>
      </c>
      <c r="T322" s="3"/>
      <c r="U322" s="3"/>
      <c r="V322" s="3">
        <f t="shared" si="140"/>
        <v>4220.2061313222894</v>
      </c>
      <c r="W322" s="3">
        <f t="shared" si="146"/>
        <v>1308263.9007099096</v>
      </c>
      <c r="X322" s="3">
        <f t="shared" si="141"/>
        <v>106.7777777777778</v>
      </c>
      <c r="Y322" s="3">
        <f t="shared" si="142"/>
        <v>106.77777777777779</v>
      </c>
      <c r="Z322" s="3">
        <f t="shared" si="147"/>
        <v>450624.2324667467</v>
      </c>
    </row>
    <row r="323" spans="1:26" x14ac:dyDescent="0.45">
      <c r="A323">
        <f t="shared" si="149"/>
        <v>311</v>
      </c>
      <c r="B323" s="3">
        <f t="shared" si="130"/>
        <v>9.3051147113863593</v>
      </c>
      <c r="C323" s="3">
        <f t="shared" si="150"/>
        <v>2893.8906752411576</v>
      </c>
      <c r="D323" s="3">
        <f t="shared" si="131"/>
        <v>5.191071524255831E-4</v>
      </c>
      <c r="E323" s="3">
        <f t="shared" si="132"/>
        <v>107.46777777777778</v>
      </c>
      <c r="F323" s="3"/>
      <c r="G323" s="3">
        <f t="shared" si="133"/>
        <v>131671792.65407197</v>
      </c>
      <c r="H323" s="3">
        <f t="shared" si="134"/>
        <v>289389.06752411573</v>
      </c>
      <c r="I323" s="3">
        <f t="shared" si="143"/>
        <v>65836532.345018238</v>
      </c>
      <c r="J323" s="3">
        <f t="shared" si="135"/>
        <v>2.0763884909564476E-3</v>
      </c>
      <c r="K323" s="3">
        <f t="shared" si="144"/>
        <v>1.9321033093752164E-2</v>
      </c>
      <c r="L323" s="3">
        <f t="shared" si="148"/>
        <v>1.9321033093752167E-2</v>
      </c>
      <c r="O323" s="9">
        <f t="shared" si="136"/>
        <v>1.9321033094857333E-5</v>
      </c>
      <c r="P323" s="9">
        <f t="shared" si="145"/>
        <v>51756.066772281934</v>
      </c>
      <c r="Q323" s="3">
        <f t="shared" si="137"/>
        <v>481605.44344096672</v>
      </c>
      <c r="R323" s="3">
        <f t="shared" si="138"/>
        <v>51756066.810922831</v>
      </c>
      <c r="S323" s="3">
        <f t="shared" si="139"/>
        <v>51756066.810922816</v>
      </c>
      <c r="T323" s="3"/>
      <c r="U323" s="3"/>
      <c r="V323" s="3">
        <f t="shared" si="140"/>
        <v>4233.8196994878444</v>
      </c>
      <c r="W323" s="3">
        <f t="shared" si="146"/>
        <v>1316717.9265407196</v>
      </c>
      <c r="X323" s="3">
        <f t="shared" si="141"/>
        <v>107.46777777777777</v>
      </c>
      <c r="Y323" s="3">
        <f t="shared" si="142"/>
        <v>107.46777777777778</v>
      </c>
      <c r="Z323" s="3">
        <f t="shared" si="147"/>
        <v>454999.19461573759</v>
      </c>
    </row>
    <row r="324" spans="1:26" x14ac:dyDescent="0.45">
      <c r="A324">
        <f t="shared" si="149"/>
        <v>312</v>
      </c>
      <c r="B324" s="3">
        <f t="shared" si="130"/>
        <v>9.2455621301775146</v>
      </c>
      <c r="C324" s="3">
        <f t="shared" si="150"/>
        <v>2884.6153846153848</v>
      </c>
      <c r="D324" s="3">
        <f t="shared" si="131"/>
        <v>5.1248386045895159E-4</v>
      </c>
      <c r="E324" s="3">
        <f t="shared" si="132"/>
        <v>108.16000000000001</v>
      </c>
      <c r="F324" s="3"/>
      <c r="G324" s="3">
        <f t="shared" si="133"/>
        <v>132519917.9507861</v>
      </c>
      <c r="H324" s="3">
        <f t="shared" si="134"/>
        <v>288461.53846153844</v>
      </c>
      <c r="I324" s="3">
        <f t="shared" si="143"/>
        <v>66260586.878475063</v>
      </c>
      <c r="J324" s="3">
        <f t="shared" si="135"/>
        <v>2.0498965905444504E-3</v>
      </c>
      <c r="K324" s="3">
        <f t="shared" si="144"/>
        <v>1.8952446288317774E-2</v>
      </c>
      <c r="L324" s="3">
        <f t="shared" si="148"/>
        <v>1.8952446288317777E-2</v>
      </c>
      <c r="O324" s="9">
        <f t="shared" si="136"/>
        <v>1.8952446289401862E-5</v>
      </c>
      <c r="P324" s="9">
        <f t="shared" si="145"/>
        <v>52762.637196491953</v>
      </c>
      <c r="Q324" s="3">
        <f t="shared" si="137"/>
        <v>487829.48591431166</v>
      </c>
      <c r="R324" s="3">
        <f t="shared" si="138"/>
        <v>52762637.234395713</v>
      </c>
      <c r="S324" s="3">
        <f t="shared" si="139"/>
        <v>52762637.234395713</v>
      </c>
      <c r="T324" s="3"/>
      <c r="U324" s="3"/>
      <c r="V324" s="3">
        <f t="shared" si="140"/>
        <v>4247.4332676534004</v>
      </c>
      <c r="W324" s="3">
        <f t="shared" si="146"/>
        <v>1325199.1795078609</v>
      </c>
      <c r="X324" s="3">
        <f t="shared" si="141"/>
        <v>108.16000000000001</v>
      </c>
      <c r="Y324" s="3">
        <f t="shared" si="142"/>
        <v>108.16000000000001</v>
      </c>
      <c r="Z324" s="3">
        <f t="shared" si="147"/>
        <v>459402.38222939183</v>
      </c>
    </row>
    <row r="325" spans="1:26" x14ac:dyDescent="0.45">
      <c r="A325">
        <f t="shared" si="149"/>
        <v>313</v>
      </c>
      <c r="B325" s="3">
        <f t="shared" si="130"/>
        <v>9.1865794281864677</v>
      </c>
      <c r="C325" s="3">
        <f t="shared" si="150"/>
        <v>2875.3993610223642</v>
      </c>
      <c r="D325" s="3">
        <f t="shared" si="131"/>
        <v>5.0596586564206794E-4</v>
      </c>
      <c r="E325" s="3">
        <f t="shared" si="132"/>
        <v>108.85444444444443</v>
      </c>
      <c r="F325" s="3"/>
      <c r="G325" s="3">
        <f t="shared" si="133"/>
        <v>133370765.96113333</v>
      </c>
      <c r="H325" s="3">
        <f t="shared" si="134"/>
        <v>287539.93610223645</v>
      </c>
      <c r="I325" s="3">
        <f t="shared" si="143"/>
        <v>66686002.897757366</v>
      </c>
      <c r="J325" s="3">
        <f t="shared" si="135"/>
        <v>2.0238258348243372E-3</v>
      </c>
      <c r="K325" s="3">
        <f t="shared" si="144"/>
        <v>1.8592036780429561E-2</v>
      </c>
      <c r="L325" s="3">
        <f t="shared" si="148"/>
        <v>1.8592036780429561E-2</v>
      </c>
      <c r="O325" s="9">
        <f t="shared" si="136"/>
        <v>1.8592036781493034E-5</v>
      </c>
      <c r="P325" s="9">
        <f t="shared" si="145"/>
        <v>53785.468462423887</v>
      </c>
      <c r="Q325" s="3">
        <f t="shared" si="137"/>
        <v>494113.66469170351</v>
      </c>
      <c r="R325" s="3">
        <f t="shared" si="138"/>
        <v>53785468.499606855</v>
      </c>
      <c r="S325" s="3">
        <f t="shared" si="139"/>
        <v>53785468.49960687</v>
      </c>
      <c r="T325" s="3"/>
      <c r="U325" s="3"/>
      <c r="V325" s="3">
        <f t="shared" si="140"/>
        <v>4261.0468358189564</v>
      </c>
      <c r="W325" s="3">
        <f t="shared" si="146"/>
        <v>1333707.6596113334</v>
      </c>
      <c r="X325" s="3">
        <f t="shared" si="141"/>
        <v>108.85444444444447</v>
      </c>
      <c r="Y325" s="3">
        <f t="shared" si="142"/>
        <v>108.85444444444443</v>
      </c>
      <c r="Z325" s="3">
        <f t="shared" si="147"/>
        <v>463833.88606483029</v>
      </c>
    </row>
    <row r="326" spans="1:26" x14ac:dyDescent="0.45">
      <c r="A326">
        <f t="shared" si="149"/>
        <v>314</v>
      </c>
      <c r="B326" s="3">
        <f t="shared" si="130"/>
        <v>9.1281593573775819</v>
      </c>
      <c r="C326" s="3">
        <f t="shared" si="150"/>
        <v>2866.2420382165606</v>
      </c>
      <c r="D326" s="3">
        <f t="shared" si="131"/>
        <v>4.9955116552902168E-4</v>
      </c>
      <c r="E326" s="3">
        <f t="shared" si="132"/>
        <v>109.5511111111111</v>
      </c>
      <c r="F326" s="3"/>
      <c r="G326" s="3">
        <f t="shared" si="133"/>
        <v>134224336.68511367</v>
      </c>
      <c r="H326" s="3">
        <f t="shared" si="134"/>
        <v>286624.20382165606</v>
      </c>
      <c r="I326" s="3">
        <f t="shared" si="143"/>
        <v>67112780.400411844</v>
      </c>
      <c r="J326" s="3">
        <f t="shared" si="135"/>
        <v>1.998168215666537E-3</v>
      </c>
      <c r="K326" s="3">
        <f t="shared" si="144"/>
        <v>1.8239597895450967E-2</v>
      </c>
      <c r="L326" s="3">
        <f t="shared" si="148"/>
        <v>1.823959789545097E-2</v>
      </c>
      <c r="O326" s="9">
        <f t="shared" si="136"/>
        <v>1.823959789649428E-5</v>
      </c>
      <c r="P326" s="9">
        <f t="shared" si="145"/>
        <v>54824.770045742283</v>
      </c>
      <c r="Q326" s="3">
        <f t="shared" si="137"/>
        <v>500458.36586847395</v>
      </c>
      <c r="R326" s="3">
        <f t="shared" si="138"/>
        <v>54824770.08222042</v>
      </c>
      <c r="S326" s="3">
        <f t="shared" si="139"/>
        <v>54824770.082220413</v>
      </c>
      <c r="T326" s="3"/>
      <c r="U326" s="3"/>
      <c r="V326" s="3">
        <f t="shared" si="140"/>
        <v>4274.6604039845124</v>
      </c>
      <c r="W326" s="3">
        <f t="shared" si="146"/>
        <v>1342243.3668511368</v>
      </c>
      <c r="X326" s="3">
        <f t="shared" si="141"/>
        <v>109.55111111111114</v>
      </c>
      <c r="Y326" s="3">
        <f t="shared" si="142"/>
        <v>109.5511111111111</v>
      </c>
      <c r="Z326" s="3">
        <f t="shared" si="147"/>
        <v>468293.79687917436</v>
      </c>
    </row>
    <row r="327" spans="1:26" x14ac:dyDescent="0.45">
      <c r="A327">
        <f t="shared" si="149"/>
        <v>315</v>
      </c>
      <c r="B327" s="3">
        <f t="shared" si="130"/>
        <v>9.0702947845804989</v>
      </c>
      <c r="C327" s="3">
        <f t="shared" si="150"/>
        <v>2857.1428571428573</v>
      </c>
      <c r="D327" s="3">
        <f t="shared" si="131"/>
        <v>4.9323780196091141E-4</v>
      </c>
      <c r="E327" s="3">
        <f t="shared" si="132"/>
        <v>110.24999999999999</v>
      </c>
      <c r="F327" s="3"/>
      <c r="G327" s="3">
        <f t="shared" si="133"/>
        <v>135080630.12272713</v>
      </c>
      <c r="H327" s="3">
        <f t="shared" si="134"/>
        <v>285714.28571428574</v>
      </c>
      <c r="I327" s="3">
        <f t="shared" si="143"/>
        <v>67540919.384039447</v>
      </c>
      <c r="J327" s="3">
        <f t="shared" si="135"/>
        <v>1.9729159020222234E-3</v>
      </c>
      <c r="K327" s="3">
        <f t="shared" si="144"/>
        <v>1.7894928816528103E-2</v>
      </c>
      <c r="L327" s="3">
        <f t="shared" si="148"/>
        <v>1.7894928816528103E-2</v>
      </c>
      <c r="O327" s="9">
        <f t="shared" si="136"/>
        <v>1.7894928817551702E-5</v>
      </c>
      <c r="P327" s="9">
        <f t="shared" si="145"/>
        <v>55880.753439509645</v>
      </c>
      <c r="Q327" s="3">
        <f t="shared" si="137"/>
        <v>506863.97677559766</v>
      </c>
      <c r="R327" s="3">
        <f t="shared" si="138"/>
        <v>55880753.475298472</v>
      </c>
      <c r="S327" s="3">
        <f t="shared" si="139"/>
        <v>55880753.475298487</v>
      </c>
      <c r="T327" s="3"/>
      <c r="U327" s="3"/>
      <c r="V327" s="3">
        <f t="shared" si="140"/>
        <v>4288.2739721500675</v>
      </c>
      <c r="W327" s="3">
        <f t="shared" si="146"/>
        <v>1350806.3012272713</v>
      </c>
      <c r="X327" s="3">
        <f t="shared" si="141"/>
        <v>110.24999999999999</v>
      </c>
      <c r="Y327" s="3">
        <f t="shared" si="142"/>
        <v>110.24999999999999</v>
      </c>
      <c r="Z327" s="3">
        <f t="shared" si="147"/>
        <v>472782.20542954491</v>
      </c>
    </row>
    <row r="328" spans="1:26" x14ac:dyDescent="0.45">
      <c r="A328">
        <f t="shared" si="149"/>
        <v>316</v>
      </c>
      <c r="B328" s="3">
        <f t="shared" si="130"/>
        <v>9.0129786893126109</v>
      </c>
      <c r="C328" s="3">
        <f t="shared" si="150"/>
        <v>2848.1012658227851</v>
      </c>
      <c r="D328" s="3">
        <f t="shared" si="131"/>
        <v>4.8702385994997771E-4</v>
      </c>
      <c r="E328" s="3">
        <f t="shared" si="132"/>
        <v>110.95111111111113</v>
      </c>
      <c r="F328" s="3"/>
      <c r="G328" s="3">
        <f t="shared" si="133"/>
        <v>135939646.2739737</v>
      </c>
      <c r="H328" s="3">
        <f t="shared" si="134"/>
        <v>284810.12658227846</v>
      </c>
      <c r="I328" s="3">
        <f t="shared" si="143"/>
        <v>67970419.846294001</v>
      </c>
      <c r="J328" s="3">
        <f t="shared" si="135"/>
        <v>1.9480612354627815E-3</v>
      </c>
      <c r="K328" s="3">
        <f t="shared" si="144"/>
        <v>1.7557834400702046E-2</v>
      </c>
      <c r="L328" s="3">
        <f t="shared" si="148"/>
        <v>1.7557834400702049E-2</v>
      </c>
      <c r="O328" s="9">
        <f t="shared" si="136"/>
        <v>1.7557834401706361E-5</v>
      </c>
      <c r="P328" s="9">
        <f t="shared" si="145"/>
        <v>56953.63216709772</v>
      </c>
      <c r="Q328" s="3">
        <f t="shared" si="137"/>
        <v>513330.8859796903</v>
      </c>
      <c r="R328" s="3">
        <f t="shared" si="138"/>
        <v>56953632.202212416</v>
      </c>
      <c r="S328" s="3">
        <f t="shared" si="139"/>
        <v>56953632.202212416</v>
      </c>
      <c r="T328" s="3"/>
      <c r="U328" s="3"/>
      <c r="V328" s="3">
        <f t="shared" si="140"/>
        <v>4301.8875403156235</v>
      </c>
      <c r="W328" s="3">
        <f t="shared" si="146"/>
        <v>1359396.462739737</v>
      </c>
      <c r="X328" s="3">
        <f t="shared" si="141"/>
        <v>110.9511111111111</v>
      </c>
      <c r="Y328" s="3">
        <f t="shared" si="142"/>
        <v>110.95111111111113</v>
      </c>
      <c r="Z328" s="3">
        <f t="shared" si="147"/>
        <v>477299.20247306331</v>
      </c>
    </row>
    <row r="329" spans="1:26" x14ac:dyDescent="0.45">
      <c r="A329">
        <f t="shared" si="149"/>
        <v>317</v>
      </c>
      <c r="B329" s="3">
        <f t="shared" si="130"/>
        <v>8.9562041616495343</v>
      </c>
      <c r="C329" s="3">
        <f t="shared" si="150"/>
        <v>2839.1167192429025</v>
      </c>
      <c r="D329" s="3">
        <f t="shared" si="131"/>
        <v>4.8090746659526409E-4</v>
      </c>
      <c r="E329" s="3">
        <f t="shared" si="132"/>
        <v>111.65444444444441</v>
      </c>
      <c r="F329" s="3"/>
      <c r="G329" s="3">
        <f t="shared" si="133"/>
        <v>136801385.13885337</v>
      </c>
      <c r="H329" s="3">
        <f t="shared" si="134"/>
        <v>283911.67192429025</v>
      </c>
      <c r="I329" s="3">
        <f t="shared" si="143"/>
        <v>68401281.784880891</v>
      </c>
      <c r="J329" s="3">
        <f t="shared" si="135"/>
        <v>1.9235967258452618E-3</v>
      </c>
      <c r="K329" s="3">
        <f t="shared" si="144"/>
        <v>1.7228125001350753E-2</v>
      </c>
      <c r="L329" s="3">
        <f t="shared" si="148"/>
        <v>1.722812500135075E-2</v>
      </c>
      <c r="O329" s="9">
        <f t="shared" si="136"/>
        <v>1.7228125002336209E-5</v>
      </c>
      <c r="P329" s="9">
        <f t="shared" si="145"/>
        <v>58043.621795139959</v>
      </c>
      <c r="Q329" s="3">
        <f t="shared" si="137"/>
        <v>519859.48328300577</v>
      </c>
      <c r="R329" s="3">
        <f t="shared" si="138"/>
        <v>58043621.829595245</v>
      </c>
      <c r="S329" s="3">
        <f t="shared" si="139"/>
        <v>58043621.829595275</v>
      </c>
      <c r="T329" s="3"/>
      <c r="U329" s="3"/>
      <c r="V329" s="3">
        <f t="shared" si="140"/>
        <v>4315.5011084811795</v>
      </c>
      <c r="W329" s="3">
        <f t="shared" si="146"/>
        <v>1368013.8513885338</v>
      </c>
      <c r="X329" s="3">
        <f t="shared" si="141"/>
        <v>111.65444444444447</v>
      </c>
      <c r="Y329" s="3">
        <f t="shared" si="142"/>
        <v>111.65444444444441</v>
      </c>
      <c r="Z329" s="3">
        <f t="shared" si="147"/>
        <v>481844.8787668501</v>
      </c>
    </row>
    <row r="330" spans="1:26" x14ac:dyDescent="0.45">
      <c r="A330">
        <f t="shared" si="149"/>
        <v>318</v>
      </c>
      <c r="B330" s="3">
        <f t="shared" si="130"/>
        <v>8.8999644001423999</v>
      </c>
      <c r="C330" s="3">
        <f t="shared" si="150"/>
        <v>2830.1886792452833</v>
      </c>
      <c r="D330" s="3">
        <f t="shared" si="131"/>
        <v>4.7488679002882572E-4</v>
      </c>
      <c r="E330" s="3">
        <f t="shared" si="132"/>
        <v>112.35999999999999</v>
      </c>
      <c r="F330" s="3"/>
      <c r="G330" s="3">
        <f t="shared" si="133"/>
        <v>137665846.71736616</v>
      </c>
      <c r="H330" s="3">
        <f t="shared" si="134"/>
        <v>283018.86792452831</v>
      </c>
      <c r="I330" s="3">
        <f t="shared" si="143"/>
        <v>68833505.197555795</v>
      </c>
      <c r="J330" s="3">
        <f t="shared" si="135"/>
        <v>1.8995150470998761E-3</v>
      </c>
      <c r="K330" s="3">
        <f t="shared" si="144"/>
        <v>1.690561629672371E-2</v>
      </c>
      <c r="L330" s="3">
        <f t="shared" si="148"/>
        <v>1.6905616296723713E-2</v>
      </c>
      <c r="O330" s="9">
        <f t="shared" si="136"/>
        <v>1.6905616297690719E-5</v>
      </c>
      <c r="P330" s="9">
        <f t="shared" si="145"/>
        <v>59150.939946525257</v>
      </c>
      <c r="Q330" s="3">
        <f t="shared" si="137"/>
        <v>526450.15972343588</v>
      </c>
      <c r="R330" s="3">
        <f t="shared" si="138"/>
        <v>59150939.980335571</v>
      </c>
      <c r="S330" s="3">
        <f t="shared" si="139"/>
        <v>59150939.980335578</v>
      </c>
      <c r="T330" s="3"/>
      <c r="U330" s="3"/>
      <c r="V330" s="3">
        <f t="shared" si="140"/>
        <v>4329.1146766467355</v>
      </c>
      <c r="W330" s="3">
        <f t="shared" si="146"/>
        <v>1376658.4671736618</v>
      </c>
      <c r="X330" s="3">
        <f t="shared" si="141"/>
        <v>112.36000000000001</v>
      </c>
      <c r="Y330" s="3">
        <f t="shared" si="142"/>
        <v>112.35999999999999</v>
      </c>
      <c r="Z330" s="3">
        <f t="shared" si="147"/>
        <v>486419.32506802713</v>
      </c>
    </row>
    <row r="331" spans="1:26" x14ac:dyDescent="0.45">
      <c r="A331">
        <f t="shared" si="149"/>
        <v>319</v>
      </c>
      <c r="B331" s="3">
        <f t="shared" si="130"/>
        <v>8.8442527097807613</v>
      </c>
      <c r="C331" s="3">
        <f t="shared" si="150"/>
        <v>2821.3166144200627</v>
      </c>
      <c r="D331" s="3">
        <f t="shared" si="131"/>
        <v>4.6896003839152649E-4</v>
      </c>
      <c r="E331" s="3">
        <f t="shared" si="132"/>
        <v>113.06777777777775</v>
      </c>
      <c r="F331" s="3"/>
      <c r="G331" s="3">
        <f t="shared" si="133"/>
        <v>138533031.00951207</v>
      </c>
      <c r="H331" s="3">
        <f t="shared" si="134"/>
        <v>282131.6614420063</v>
      </c>
      <c r="I331" s="3">
        <f t="shared" si="143"/>
        <v>69267090.082123384</v>
      </c>
      <c r="J331" s="3">
        <f t="shared" si="135"/>
        <v>1.8758090331357415E-3</v>
      </c>
      <c r="K331" s="3">
        <f t="shared" si="144"/>
        <v>1.6590129124342011E-2</v>
      </c>
      <c r="L331" s="3">
        <f t="shared" si="148"/>
        <v>1.6590129124342011E-2</v>
      </c>
      <c r="O331" s="9">
        <f t="shared" si="136"/>
        <v>1.6590129125290974E-5</v>
      </c>
      <c r="P331" s="9">
        <f t="shared" si="145"/>
        <v>60275.806313432535</v>
      </c>
      <c r="Q331" s="3">
        <f t="shared" si="137"/>
        <v>533103.3075745058</v>
      </c>
      <c r="R331" s="3">
        <f t="shared" si="138"/>
        <v>60275806.346611902</v>
      </c>
      <c r="S331" s="3">
        <f t="shared" si="139"/>
        <v>60275806.34661191</v>
      </c>
      <c r="T331" s="3"/>
      <c r="U331" s="3"/>
      <c r="V331" s="3">
        <f t="shared" si="140"/>
        <v>4342.7282448122915</v>
      </c>
      <c r="W331" s="3">
        <f t="shared" si="146"/>
        <v>1385330.3100951209</v>
      </c>
      <c r="X331" s="3">
        <f t="shared" si="141"/>
        <v>113.06777777777782</v>
      </c>
      <c r="Y331" s="3">
        <f t="shared" si="142"/>
        <v>113.06777777777775</v>
      </c>
      <c r="Z331" s="3">
        <f t="shared" si="147"/>
        <v>491022.63213371497</v>
      </c>
    </row>
    <row r="332" spans="1:26" x14ac:dyDescent="0.45">
      <c r="A332">
        <f t="shared" si="149"/>
        <v>320</v>
      </c>
      <c r="B332" s="3">
        <f t="shared" si="130"/>
        <v>8.7890625</v>
      </c>
      <c r="C332" s="3">
        <f t="shared" si="150"/>
        <v>2812.5</v>
      </c>
      <c r="D332" s="3">
        <f t="shared" si="131"/>
        <v>4.6312545883750688E-4</v>
      </c>
      <c r="E332" s="3">
        <f t="shared" si="132"/>
        <v>113.77777777777777</v>
      </c>
      <c r="F332" s="3"/>
      <c r="G332" s="3">
        <f t="shared" si="133"/>
        <v>139402938.01529109</v>
      </c>
      <c r="H332" s="3">
        <f t="shared" si="134"/>
        <v>281250</v>
      </c>
      <c r="I332" s="3">
        <f t="shared" si="143"/>
        <v>69702036.436436146</v>
      </c>
      <c r="J332" s="3">
        <f t="shared" si="135"/>
        <v>1.8524716738611783E-3</v>
      </c>
      <c r="K332" s="3">
        <f t="shared" si="144"/>
        <v>1.6281489321045513E-2</v>
      </c>
      <c r="L332" s="3">
        <f t="shared" si="148"/>
        <v>1.6281489321045513E-2</v>
      </c>
      <c r="O332" s="9">
        <f t="shared" si="136"/>
        <v>1.628148932197682E-5</v>
      </c>
      <c r="P332" s="9">
        <f t="shared" si="145"/>
        <v>61418.442670407057</v>
      </c>
      <c r="Q332" s="3">
        <f t="shared" si="137"/>
        <v>539819.32034537452</v>
      </c>
      <c r="R332" s="3">
        <f t="shared" si="138"/>
        <v>61418442.702969186</v>
      </c>
      <c r="S332" s="3">
        <f t="shared" si="139"/>
        <v>61418442.702969171</v>
      </c>
      <c r="T332" s="3"/>
      <c r="U332" s="3"/>
      <c r="V332" s="3">
        <f t="shared" si="140"/>
        <v>4356.3418129778465</v>
      </c>
      <c r="W332" s="3">
        <f t="shared" si="146"/>
        <v>1394029.3801529109</v>
      </c>
      <c r="X332" s="3">
        <f t="shared" si="141"/>
        <v>113.77777777777777</v>
      </c>
      <c r="Y332" s="3">
        <f t="shared" si="142"/>
        <v>113.77777777777777</v>
      </c>
      <c r="Z332" s="3">
        <f t="shared" si="147"/>
        <v>495654.89072103496</v>
      </c>
    </row>
    <row r="333" spans="1:26" x14ac:dyDescent="0.45">
      <c r="A333">
        <f t="shared" si="149"/>
        <v>321</v>
      </c>
      <c r="B333" s="3">
        <f t="shared" ref="B333:B396" si="151">REQD_MBPS*DIST_RINGS_EM^2/(IMPROVED_MBPS*IMPROVED_KM^2*A333^2)</f>
        <v>8.7343872827321167</v>
      </c>
      <c r="C333" s="3">
        <f t="shared" si="150"/>
        <v>2803.7383177570096</v>
      </c>
      <c r="D333" s="3">
        <f t="shared" ref="D333:D396" si="152">IMPROVED_MBPS*IMPROVED_KM^2*B333^2/(4*PI()^2*AVG_SUN_DIST^2)</f>
        <v>4.5738133656643507E-4</v>
      </c>
      <c r="E333" s="3">
        <f t="shared" ref="E333:E396" si="153">IMPROVED_MBPS*IMPROVED_KM^2/(DIST_RINGS_EM/A333)^2</f>
        <v>114.49000000000002</v>
      </c>
      <c r="F333" s="3"/>
      <c r="G333" s="3">
        <f t="shared" ref="G333:G396" si="154">(2*PI()*AVG_SUN_DIST)/B333</f>
        <v>140275567.73470321</v>
      </c>
      <c r="H333" s="3">
        <f t="shared" ref="H333:H396" si="155">DIST_RINGS_EM/A333</f>
        <v>280373.83177570091</v>
      </c>
      <c r="I333" s="3">
        <f t="shared" si="143"/>
        <v>70138344.258393154</v>
      </c>
      <c r="J333" s="3">
        <f t="shared" ref="J333:J396" si="156">IMPROVED_MBPS*IMPROVED_KM^2/I333^2</f>
        <v>1.8294961113150322E-3</v>
      </c>
      <c r="K333" s="3">
        <f t="shared" si="144"/>
        <v>1.597952756847788E-2</v>
      </c>
      <c r="L333" s="3">
        <f t="shared" si="148"/>
        <v>1.5979527568477883E-2</v>
      </c>
      <c r="O333" s="9">
        <f t="shared" ref="O333:O396" si="157">K333/$K$13</f>
        <v>1.5979527569391914E-5</v>
      </c>
      <c r="P333" s="9">
        <f t="shared" si="145"/>
        <v>62579.072887477363</v>
      </c>
      <c r="Q333" s="3">
        <f t="shared" ref="Q333:Q396" si="158">B333*(1+P333)</f>
        <v>546598.59278083127</v>
      </c>
      <c r="R333" s="3">
        <f t="shared" ref="R333:R396" si="159">IMPROVED_MBPS*IMPROVED_KM^2/((PI()*AVG_SUN_DIST/Q333)^2+(DIST_RINGS_EM/A333)^2)*Q333</f>
        <v>62579072.919435613</v>
      </c>
      <c r="S333" s="3">
        <f t="shared" ref="S333:S396" si="160">IMPROVED_MBPS*IMPROVED_KM^2*Q333^3*A333^2/((A333*PI()*AVG_SUN_DIST)^2+(DIST_RINGS_EM*Q333)^2)</f>
        <v>62579072.919435613</v>
      </c>
      <c r="T333" s="3"/>
      <c r="U333" s="3"/>
      <c r="V333" s="3">
        <f t="shared" ref="V333:V396" si="161">2*PI()*AVG_SUN_DIST*A333/DIST_RINGS_EM</f>
        <v>4369.9553811434025</v>
      </c>
      <c r="W333" s="3">
        <f t="shared" si="146"/>
        <v>1402755.6773470321</v>
      </c>
      <c r="X333" s="3">
        <f t="shared" ref="X333:X396" si="162">IMPROVED_MBPS*IMPROVED_KM^2*V333^2/(4*PI()^2*AVG_SUN_DIST^2)</f>
        <v>114.49000000000002</v>
      </c>
      <c r="Y333" s="3">
        <f t="shared" ref="Y333:Y396" si="163">IMPROVED_MBPS*IMPROVED_KM^2/(DIST_RINGS_EM/A333)^2</f>
        <v>114.49000000000002</v>
      </c>
      <c r="Z333" s="3">
        <f t="shared" si="147"/>
        <v>500316.19158710825</v>
      </c>
    </row>
    <row r="334" spans="1:26" x14ac:dyDescent="0.45">
      <c r="A334">
        <f t="shared" si="149"/>
        <v>322</v>
      </c>
      <c r="B334" s="3">
        <f t="shared" si="151"/>
        <v>8.680220670498823</v>
      </c>
      <c r="C334" s="3">
        <f t="shared" si="150"/>
        <v>2795.0310559006211</v>
      </c>
      <c r="D334" s="3">
        <f t="shared" si="152"/>
        <v>4.5172599388267862E-4</v>
      </c>
      <c r="E334" s="3">
        <f t="shared" si="153"/>
        <v>115.20444444444445</v>
      </c>
      <c r="F334" s="3"/>
      <c r="G334" s="3">
        <f t="shared" si="154"/>
        <v>141150920.16774845</v>
      </c>
      <c r="H334" s="3">
        <f t="shared" si="155"/>
        <v>279503.1055900621</v>
      </c>
      <c r="I334" s="3">
        <f t="shared" ref="I334:I397" si="164">SQRT((G334/2)^2+H334^2)</f>
        <v>70576013.545938954</v>
      </c>
      <c r="J334" s="3">
        <f t="shared" si="156"/>
        <v>1.8068756359055761E-3</v>
      </c>
      <c r="K334" s="3">
        <f t="shared" ref="K334:K397" si="165">J334*B334</f>
        <v>1.5684079243808286E-2</v>
      </c>
      <c r="L334" s="3">
        <f t="shared" si="148"/>
        <v>1.568407924380829E-2</v>
      </c>
      <c r="O334" s="9">
        <f t="shared" si="157"/>
        <v>1.568407924470542E-5</v>
      </c>
      <c r="P334" s="9">
        <f t="shared" ref="P334:P397" si="166">1/O334-1</f>
        <v>63757.922943313788</v>
      </c>
      <c r="Q334" s="3">
        <f t="shared" si="158"/>
        <v>553441.520861294</v>
      </c>
      <c r="R334" s="3">
        <f t="shared" si="159"/>
        <v>63757922.974681154</v>
      </c>
      <c r="S334" s="3">
        <f t="shared" si="160"/>
        <v>63757922.974681161</v>
      </c>
      <c r="T334" s="3"/>
      <c r="U334" s="3"/>
      <c r="V334" s="3">
        <f t="shared" si="161"/>
        <v>4383.5689493089585</v>
      </c>
      <c r="W334" s="3">
        <f t="shared" ref="W334:W397" si="167">V334*A334</f>
        <v>1411509.2016774847</v>
      </c>
      <c r="X334" s="3">
        <f t="shared" si="162"/>
        <v>115.20444444444446</v>
      </c>
      <c r="Y334" s="3">
        <f t="shared" si="163"/>
        <v>115.20444444444445</v>
      </c>
      <c r="Z334" s="3">
        <f t="shared" ref="Z334:Z397" si="168">Y334*V334</f>
        <v>505006.62548905564</v>
      </c>
    </row>
    <row r="335" spans="1:26" x14ac:dyDescent="0.45">
      <c r="A335">
        <f t="shared" si="149"/>
        <v>323</v>
      </c>
      <c r="B335" s="3">
        <f t="shared" si="151"/>
        <v>8.626556374545908</v>
      </c>
      <c r="C335" s="3">
        <f t="shared" si="150"/>
        <v>2786.3777089783284</v>
      </c>
      <c r="D335" s="3">
        <f t="shared" si="152"/>
        <v>4.4615778928057127E-4</v>
      </c>
      <c r="E335" s="3">
        <f t="shared" si="153"/>
        <v>115.92111111111112</v>
      </c>
      <c r="F335" s="3"/>
      <c r="G335" s="3">
        <f t="shared" si="154"/>
        <v>142028995.31442681</v>
      </c>
      <c r="H335" s="3">
        <f t="shared" si="155"/>
        <v>278637.77089783282</v>
      </c>
      <c r="I335" s="3">
        <f t="shared" si="164"/>
        <v>71015044.297062427</v>
      </c>
      <c r="J335" s="3">
        <f t="shared" si="156"/>
        <v>1.7846036827536833E-3</v>
      </c>
      <c r="K335" s="3">
        <f t="shared" si="165"/>
        <v>1.539498427549689E-2</v>
      </c>
      <c r="L335" s="3">
        <f t="shared" si="148"/>
        <v>1.5394984275496895E-2</v>
      </c>
      <c r="O335" s="9">
        <f t="shared" si="157"/>
        <v>1.539498427637749E-5</v>
      </c>
      <c r="P335" s="9">
        <f t="shared" si="166"/>
        <v>64955.220938427912</v>
      </c>
      <c r="Q335" s="3">
        <f t="shared" si="158"/>
        <v>560348.50180280767</v>
      </c>
      <c r="R335" s="3">
        <f t="shared" si="159"/>
        <v>64955220.969217122</v>
      </c>
      <c r="S335" s="3">
        <f t="shared" si="160"/>
        <v>64955220.969217122</v>
      </c>
      <c r="T335" s="3"/>
      <c r="U335" s="3"/>
      <c r="V335" s="3">
        <f t="shared" si="161"/>
        <v>4397.1825174745145</v>
      </c>
      <c r="W335" s="3">
        <f t="shared" si="167"/>
        <v>1420289.9531442681</v>
      </c>
      <c r="X335" s="3">
        <f t="shared" si="162"/>
        <v>115.92111111111114</v>
      </c>
      <c r="Y335" s="3">
        <f t="shared" si="163"/>
        <v>115.92111111111112</v>
      </c>
      <c r="Z335" s="3">
        <f t="shared" si="168"/>
        <v>509726.28318399849</v>
      </c>
    </row>
    <row r="336" spans="1:26" x14ac:dyDescent="0.45">
      <c r="A336">
        <f t="shared" si="149"/>
        <v>324</v>
      </c>
      <c r="B336" s="3">
        <f t="shared" si="151"/>
        <v>8.5733882030178332</v>
      </c>
      <c r="C336" s="3">
        <f t="shared" si="150"/>
        <v>2777.7777777777778</v>
      </c>
      <c r="D336" s="3">
        <f t="shared" si="152"/>
        <v>4.4067511655497028E-4</v>
      </c>
      <c r="E336" s="3">
        <f t="shared" si="153"/>
        <v>116.64000000000003</v>
      </c>
      <c r="F336" s="3"/>
      <c r="G336" s="3">
        <f t="shared" si="154"/>
        <v>142909793.17473826</v>
      </c>
      <c r="H336" s="3">
        <f t="shared" si="155"/>
        <v>277777.77777777775</v>
      </c>
      <c r="I336" s="3">
        <f t="shared" si="164"/>
        <v>71455436.509795696</v>
      </c>
      <c r="J336" s="3">
        <f t="shared" si="156"/>
        <v>1.7626738281370732E-3</v>
      </c>
      <c r="K336" s="3">
        <f t="shared" si="165"/>
        <v>1.5112087003918667E-2</v>
      </c>
      <c r="L336" s="3">
        <f t="shared" si="148"/>
        <v>1.5112087003918671E-2</v>
      </c>
      <c r="O336" s="9">
        <f t="shared" si="157"/>
        <v>1.5112087004783085E-5</v>
      </c>
      <c r="P336" s="9">
        <f t="shared" si="166"/>
        <v>66171.197108413471</v>
      </c>
      <c r="Q336" s="3">
        <f t="shared" si="158"/>
        <v>567319.93405704282</v>
      </c>
      <c r="R336" s="3">
        <f t="shared" si="159"/>
        <v>66171197.138636909</v>
      </c>
      <c r="S336" s="3">
        <f t="shared" si="160"/>
        <v>66171197.138636909</v>
      </c>
      <c r="T336" s="3"/>
      <c r="U336" s="3"/>
      <c r="V336" s="3">
        <f t="shared" si="161"/>
        <v>4410.7960856400696</v>
      </c>
      <c r="W336" s="3">
        <f t="shared" si="167"/>
        <v>1429097.9317473825</v>
      </c>
      <c r="X336" s="3">
        <f t="shared" si="162"/>
        <v>116.64</v>
      </c>
      <c r="Y336" s="3">
        <f t="shared" si="163"/>
        <v>116.64000000000003</v>
      </c>
      <c r="Z336" s="3">
        <f t="shared" si="168"/>
        <v>514475.25542905787</v>
      </c>
    </row>
    <row r="337" spans="1:26" x14ac:dyDescent="0.45">
      <c r="A337">
        <f t="shared" si="149"/>
        <v>325</v>
      </c>
      <c r="B337" s="3">
        <f t="shared" si="151"/>
        <v>8.5207100591715985</v>
      </c>
      <c r="C337" s="3">
        <f t="shared" si="150"/>
        <v>2769.2307692307695</v>
      </c>
      <c r="D337" s="3">
        <f t="shared" si="152"/>
        <v>4.3527640393633063E-4</v>
      </c>
      <c r="E337" s="3">
        <f t="shared" si="153"/>
        <v>117.3611111111111</v>
      </c>
      <c r="F337" s="3"/>
      <c r="G337" s="3">
        <f t="shared" si="154"/>
        <v>143793313.74868283</v>
      </c>
      <c r="H337" s="3">
        <f t="shared" si="155"/>
        <v>276923.07692307694</v>
      </c>
      <c r="I337" s="3">
        <f t="shared" si="164"/>
        <v>71897190.182213083</v>
      </c>
      <c r="J337" s="3">
        <f t="shared" si="156"/>
        <v>1.7410797860325307E-3</v>
      </c>
      <c r="K337" s="3">
        <f t="shared" si="165"/>
        <v>1.4835236046667718E-2</v>
      </c>
      <c r="L337" s="3">
        <f t="shared" si="148"/>
        <v>1.483523604666772E-2</v>
      </c>
      <c r="O337" s="9">
        <f t="shared" si="157"/>
        <v>1.48352360475163E-5</v>
      </c>
      <c r="P337" s="9">
        <f t="shared" si="166"/>
        <v>67406.083837228114</v>
      </c>
      <c r="Q337" s="3">
        <f t="shared" si="158"/>
        <v>574356.21731129289</v>
      </c>
      <c r="R337" s="3">
        <f t="shared" si="159"/>
        <v>67406083.866897866</v>
      </c>
      <c r="S337" s="3">
        <f t="shared" si="160"/>
        <v>67406083.866897896</v>
      </c>
      <c r="T337" s="3"/>
      <c r="U337" s="3"/>
      <c r="V337" s="3">
        <f t="shared" si="161"/>
        <v>4424.4096538056256</v>
      </c>
      <c r="W337" s="3">
        <f t="shared" si="167"/>
        <v>1437933.1374868283</v>
      </c>
      <c r="X337" s="3">
        <f t="shared" si="162"/>
        <v>117.36111111111114</v>
      </c>
      <c r="Y337" s="3">
        <f t="shared" si="163"/>
        <v>117.3611111111111</v>
      </c>
      <c r="Z337" s="3">
        <f t="shared" si="168"/>
        <v>519253.6329813546</v>
      </c>
    </row>
    <row r="338" spans="1:26" x14ac:dyDescent="0.45">
      <c r="A338">
        <f t="shared" si="149"/>
        <v>326</v>
      </c>
      <c r="B338" s="3">
        <f t="shared" si="151"/>
        <v>8.4685159396288903</v>
      </c>
      <c r="C338" s="3">
        <f t="shared" si="150"/>
        <v>2760.7361963190183</v>
      </c>
      <c r="D338" s="3">
        <f t="shared" si="152"/>
        <v>4.2996011324954885E-4</v>
      </c>
      <c r="E338" s="3">
        <f t="shared" si="153"/>
        <v>118.08444444444444</v>
      </c>
      <c r="F338" s="3"/>
      <c r="G338" s="3">
        <f t="shared" si="154"/>
        <v>144679557.03626052</v>
      </c>
      <c r="H338" s="3">
        <f t="shared" si="155"/>
        <v>276073.61963190185</v>
      </c>
      <c r="I338" s="3">
        <f t="shared" si="164"/>
        <v>72340305.312430069</v>
      </c>
      <c r="J338" s="3">
        <f t="shared" si="156"/>
        <v>1.7198154047531134E-3</v>
      </c>
      <c r="K338" s="3">
        <f t="shared" si="165"/>
        <v>1.4564284168371052E-2</v>
      </c>
      <c r="L338" s="3">
        <f t="shared" si="148"/>
        <v>1.4564284168371059E-2</v>
      </c>
      <c r="O338" s="9">
        <f t="shared" si="157"/>
        <v>1.4564284169204135E-5</v>
      </c>
      <c r="P338" s="9">
        <f t="shared" si="166"/>
        <v>68660.11567051668</v>
      </c>
      <c r="Q338" s="3">
        <f t="shared" si="158"/>
        <v>581457.75248847343</v>
      </c>
      <c r="R338" s="3">
        <f t="shared" si="159"/>
        <v>68660115.699644536</v>
      </c>
      <c r="S338" s="3">
        <f t="shared" si="160"/>
        <v>68660115.699644536</v>
      </c>
      <c r="T338" s="3"/>
      <c r="U338" s="3"/>
      <c r="V338" s="3">
        <f t="shared" si="161"/>
        <v>4438.0232219711816</v>
      </c>
      <c r="W338" s="3">
        <f t="shared" si="167"/>
        <v>1446795.5703626052</v>
      </c>
      <c r="X338" s="3">
        <f t="shared" si="162"/>
        <v>118.08444444444446</v>
      </c>
      <c r="Y338" s="3">
        <f t="shared" si="163"/>
        <v>118.08444444444444</v>
      </c>
      <c r="Z338" s="3">
        <f t="shared" si="168"/>
        <v>524061.50659801031</v>
      </c>
    </row>
    <row r="339" spans="1:26" x14ac:dyDescent="0.45">
      <c r="A339">
        <f t="shared" si="149"/>
        <v>327</v>
      </c>
      <c r="B339" s="3">
        <f t="shared" si="151"/>
        <v>8.4167999326656009</v>
      </c>
      <c r="C339" s="3">
        <f t="shared" si="150"/>
        <v>2752.2935779816517</v>
      </c>
      <c r="D339" s="3">
        <f t="shared" si="152"/>
        <v>4.2472473909585024E-4</v>
      </c>
      <c r="E339" s="3">
        <f t="shared" si="153"/>
        <v>118.81000000000003</v>
      </c>
      <c r="F339" s="3"/>
      <c r="G339" s="3">
        <f t="shared" si="154"/>
        <v>145568523.03747129</v>
      </c>
      <c r="H339" s="3">
        <f t="shared" si="155"/>
        <v>275229.35779816512</v>
      </c>
      <c r="I339" s="3">
        <f t="shared" si="164"/>
        <v>72784781.898602247</v>
      </c>
      <c r="J339" s="3">
        <f t="shared" si="156"/>
        <v>1.6988746636774571E-3</v>
      </c>
      <c r="K339" s="3">
        <f t="shared" si="165"/>
        <v>1.4299088154847716E-2</v>
      </c>
      <c r="L339" s="3">
        <f t="shared" si="148"/>
        <v>1.4299088154847719E-2</v>
      </c>
      <c r="O339" s="9">
        <f t="shared" si="157"/>
        <v>1.429908815566563E-5</v>
      </c>
      <c r="P339" s="9">
        <f t="shared" si="166"/>
        <v>69933.529328975201</v>
      </c>
      <c r="Q339" s="3">
        <f t="shared" si="158"/>
        <v>588624.94174711895</v>
      </c>
      <c r="R339" s="3">
        <f t="shared" si="159"/>
        <v>69933529.357572719</v>
      </c>
      <c r="S339" s="3">
        <f t="shared" si="160"/>
        <v>69933529.357572719</v>
      </c>
      <c r="T339" s="3"/>
      <c r="U339" s="3"/>
      <c r="V339" s="3">
        <f t="shared" si="161"/>
        <v>4451.6367901367366</v>
      </c>
      <c r="W339" s="3">
        <f t="shared" si="167"/>
        <v>1455685.230374713</v>
      </c>
      <c r="X339" s="3">
        <f t="shared" si="162"/>
        <v>118.80999999999999</v>
      </c>
      <c r="Y339" s="3">
        <f t="shared" si="163"/>
        <v>118.81000000000003</v>
      </c>
      <c r="Z339" s="3">
        <f t="shared" si="168"/>
        <v>528898.96703614586</v>
      </c>
    </row>
    <row r="340" spans="1:26" x14ac:dyDescent="0.45">
      <c r="A340">
        <f t="shared" si="149"/>
        <v>328</v>
      </c>
      <c r="B340" s="3">
        <f t="shared" si="151"/>
        <v>8.3655562165377759</v>
      </c>
      <c r="C340" s="3">
        <f t="shared" si="150"/>
        <v>2743.9024390243903</v>
      </c>
      <c r="D340" s="3">
        <f t="shared" si="152"/>
        <v>4.1956880805702168E-4</v>
      </c>
      <c r="E340" s="3">
        <f t="shared" si="153"/>
        <v>119.53777777777779</v>
      </c>
      <c r="F340" s="3"/>
      <c r="G340" s="3">
        <f t="shared" si="154"/>
        <v>146460211.75231519</v>
      </c>
      <c r="H340" s="3">
        <f t="shared" si="155"/>
        <v>274390.24390243902</v>
      </c>
      <c r="I340" s="3">
        <f t="shared" si="164"/>
        <v>73230619.938924462</v>
      </c>
      <c r="J340" s="3">
        <f t="shared" si="156"/>
        <v>1.678251670068377E-3</v>
      </c>
      <c r="K340" s="3">
        <f t="shared" si="165"/>
        <v>1.4039508691455416E-2</v>
      </c>
      <c r="L340" s="3">
        <f t="shared" si="148"/>
        <v>1.4039508691455425E-2</v>
      </c>
      <c r="O340" s="9">
        <f t="shared" si="157"/>
        <v>1.4039508692258481E-5</v>
      </c>
      <c r="P340" s="9">
        <f t="shared" si="166"/>
        <v>71226.563721756844</v>
      </c>
      <c r="Q340" s="3">
        <f t="shared" si="158"/>
        <v>595858.18848138349</v>
      </c>
      <c r="R340" s="3">
        <f t="shared" si="159"/>
        <v>71226563.749835223</v>
      </c>
      <c r="S340" s="3">
        <f t="shared" si="160"/>
        <v>71226563.749835193</v>
      </c>
      <c r="T340" s="3"/>
      <c r="U340" s="3"/>
      <c r="V340" s="3">
        <f t="shared" si="161"/>
        <v>4465.2503583022926</v>
      </c>
      <c r="W340" s="3">
        <f t="shared" si="167"/>
        <v>1464602.1175231519</v>
      </c>
      <c r="X340" s="3">
        <f t="shared" si="162"/>
        <v>119.53777777777776</v>
      </c>
      <c r="Y340" s="3">
        <f t="shared" si="163"/>
        <v>119.53777777777779</v>
      </c>
      <c r="Z340" s="3">
        <f t="shared" si="168"/>
        <v>533766.10505288211</v>
      </c>
    </row>
    <row r="341" spans="1:26" x14ac:dyDescent="0.45">
      <c r="A341">
        <f t="shared" si="149"/>
        <v>329</v>
      </c>
      <c r="B341" s="3">
        <f t="shared" si="151"/>
        <v>8.3147790578431469</v>
      </c>
      <c r="C341" s="3">
        <f t="shared" si="150"/>
        <v>2735.5623100303951</v>
      </c>
      <c r="D341" s="3">
        <f t="shared" si="152"/>
        <v>4.1449087792131556E-4</v>
      </c>
      <c r="E341" s="3">
        <f t="shared" si="153"/>
        <v>120.26777777777778</v>
      </c>
      <c r="F341" s="3"/>
      <c r="G341" s="3">
        <f t="shared" si="154"/>
        <v>147354623.18079221</v>
      </c>
      <c r="H341" s="3">
        <f t="shared" si="155"/>
        <v>273556.23100303952</v>
      </c>
      <c r="I341" s="3">
        <f t="shared" si="164"/>
        <v>73677819.431629747</v>
      </c>
      <c r="J341" s="3">
        <f t="shared" si="156"/>
        <v>1.657940655978081E-3</v>
      </c>
      <c r="K341" s="3">
        <f t="shared" si="165"/>
        <v>1.3785410245473277E-2</v>
      </c>
      <c r="L341" s="3">
        <f t="shared" si="148"/>
        <v>1.378541024547328E-2</v>
      </c>
      <c r="O341" s="9">
        <f t="shared" si="157"/>
        <v>1.3785410246261808E-5</v>
      </c>
      <c r="P341" s="9">
        <f t="shared" si="166"/>
        <v>72539.459959918138</v>
      </c>
      <c r="Q341" s="3">
        <f t="shared" si="158"/>
        <v>603157.89732103667</v>
      </c>
      <c r="R341" s="3">
        <f t="shared" si="159"/>
        <v>72539459.987488329</v>
      </c>
      <c r="S341" s="3">
        <f t="shared" si="160"/>
        <v>72539459.987488344</v>
      </c>
      <c r="T341" s="3"/>
      <c r="U341" s="3"/>
      <c r="V341" s="3">
        <f t="shared" si="161"/>
        <v>4478.8639264678486</v>
      </c>
      <c r="W341" s="3">
        <f t="shared" si="167"/>
        <v>1473546.2318079222</v>
      </c>
      <c r="X341" s="3">
        <f t="shared" si="162"/>
        <v>120.26777777777778</v>
      </c>
      <c r="Y341" s="3">
        <f t="shared" si="163"/>
        <v>120.26777777777778</v>
      </c>
      <c r="Z341" s="3">
        <f t="shared" si="168"/>
        <v>538663.01140534051</v>
      </c>
    </row>
    <row r="342" spans="1:26" x14ac:dyDescent="0.45">
      <c r="A342">
        <f t="shared" si="149"/>
        <v>330</v>
      </c>
      <c r="B342" s="3">
        <f t="shared" si="151"/>
        <v>8.2644628099173545</v>
      </c>
      <c r="C342" s="3">
        <f t="shared" si="150"/>
        <v>2727.272727272727</v>
      </c>
      <c r="D342" s="3">
        <f t="shared" si="152"/>
        <v>4.0948953693036678E-4</v>
      </c>
      <c r="E342" s="3">
        <f t="shared" si="153"/>
        <v>121.00000000000003</v>
      </c>
      <c r="F342" s="3"/>
      <c r="G342" s="3">
        <f t="shared" si="154"/>
        <v>148251757.32290235</v>
      </c>
      <c r="H342" s="3">
        <f t="shared" si="155"/>
        <v>272727.27272727271</v>
      </c>
      <c r="I342" s="3">
        <f t="shared" si="164"/>
        <v>74126380.374988452</v>
      </c>
      <c r="J342" s="3">
        <f t="shared" si="156"/>
        <v>1.6379359752373671E-3</v>
      </c>
      <c r="K342" s="3">
        <f t="shared" si="165"/>
        <v>1.3536660952374933E-2</v>
      </c>
      <c r="L342" s="3">
        <f t="shared" ref="L342:L405" si="169">IMPROVED_MBPS*IMPROVED_KM^2*B342^3*A342^2/((A342*PI()*AVG_SUN_DIST)^2+(DIST_RINGS_EM*B342)^2)</f>
        <v>1.3536660952374938E-2</v>
      </c>
      <c r="O342" s="9">
        <f t="shared" si="157"/>
        <v>1.3536660953149236E-5</v>
      </c>
      <c r="P342" s="9">
        <f t="shared" si="166"/>
        <v>73872.461369907105</v>
      </c>
      <c r="Q342" s="3">
        <f t="shared" si="158"/>
        <v>610524.47413146356</v>
      </c>
      <c r="R342" s="3">
        <f t="shared" si="159"/>
        <v>73872461.396979824</v>
      </c>
      <c r="S342" s="3">
        <f t="shared" si="160"/>
        <v>73872461.396979809</v>
      </c>
      <c r="T342" s="3"/>
      <c r="U342" s="3"/>
      <c r="V342" s="3">
        <f t="shared" si="161"/>
        <v>4492.4774946334046</v>
      </c>
      <c r="W342" s="3">
        <f t="shared" si="167"/>
        <v>1482517.5732290235</v>
      </c>
      <c r="X342" s="3">
        <f t="shared" si="162"/>
        <v>121.00000000000003</v>
      </c>
      <c r="Y342" s="3">
        <f t="shared" si="163"/>
        <v>121.00000000000003</v>
      </c>
      <c r="Z342" s="3">
        <f t="shared" si="168"/>
        <v>543589.77685064205</v>
      </c>
    </row>
    <row r="343" spans="1:26" x14ac:dyDescent="0.45">
      <c r="A343">
        <f t="shared" si="149"/>
        <v>331</v>
      </c>
      <c r="B343" s="3">
        <f t="shared" si="151"/>
        <v>8.2146019112640438</v>
      </c>
      <c r="C343" s="3">
        <f t="shared" si="150"/>
        <v>2719.0332326283983</v>
      </c>
      <c r="D343" s="3">
        <f t="shared" si="152"/>
        <v>4.0456340304649644E-4</v>
      </c>
      <c r="E343" s="3">
        <f t="shared" si="153"/>
        <v>121.73444444444443</v>
      </c>
      <c r="F343" s="3"/>
      <c r="G343" s="3">
        <f t="shared" si="154"/>
        <v>149151614.17864561</v>
      </c>
      <c r="H343" s="3">
        <f t="shared" si="155"/>
        <v>271903.32326283987</v>
      </c>
      <c r="I343" s="3">
        <f t="shared" si="164"/>
        <v>74576302.767307326</v>
      </c>
      <c r="J343" s="3">
        <f t="shared" si="156"/>
        <v>1.6182321005262909E-3</v>
      </c>
      <c r="K343" s="3">
        <f t="shared" si="165"/>
        <v>1.3293132505852097E-2</v>
      </c>
      <c r="L343" s="3">
        <f t="shared" si="169"/>
        <v>1.3293132505852101E-2</v>
      </c>
      <c r="O343" s="9">
        <f t="shared" si="157"/>
        <v>1.329313250661247E-5</v>
      </c>
      <c r="P343" s="9">
        <f t="shared" si="166"/>
        <v>75225.813507092098</v>
      </c>
      <c r="Q343" s="3">
        <f t="shared" si="158"/>
        <v>617958.3260136625</v>
      </c>
      <c r="R343" s="3">
        <f t="shared" si="159"/>
        <v>75225813.533677757</v>
      </c>
      <c r="S343" s="3">
        <f t="shared" si="160"/>
        <v>75225813.533677757</v>
      </c>
      <c r="T343" s="3"/>
      <c r="U343" s="3"/>
      <c r="V343" s="3">
        <f t="shared" si="161"/>
        <v>4506.0910627989606</v>
      </c>
      <c r="W343" s="3">
        <f t="shared" si="167"/>
        <v>1491516.1417864559</v>
      </c>
      <c r="X343" s="3">
        <f t="shared" si="162"/>
        <v>121.73444444444446</v>
      </c>
      <c r="Y343" s="3">
        <f t="shared" si="163"/>
        <v>121.73444444444443</v>
      </c>
      <c r="Z343" s="3">
        <f t="shared" si="168"/>
        <v>548546.4921459076</v>
      </c>
    </row>
    <row r="344" spans="1:26" x14ac:dyDescent="0.45">
      <c r="A344">
        <f t="shared" ref="A344:A407" si="170">A343+1</f>
        <v>332</v>
      </c>
      <c r="B344" s="3">
        <f t="shared" si="151"/>
        <v>8.1651908840179992</v>
      </c>
      <c r="C344" s="3">
        <f t="shared" ref="C344:C407" si="171">B344*A344</f>
        <v>2710.8433734939758</v>
      </c>
      <c r="D344" s="3">
        <f t="shared" si="152"/>
        <v>3.9971112323978499E-4</v>
      </c>
      <c r="E344" s="3">
        <f t="shared" si="153"/>
        <v>122.4711111111111</v>
      </c>
      <c r="F344" s="3"/>
      <c r="G344" s="3">
        <f t="shared" si="154"/>
        <v>150054193.74802193</v>
      </c>
      <c r="H344" s="3">
        <f t="shared" si="155"/>
        <v>271084.3373493976</v>
      </c>
      <c r="I344" s="3">
        <f t="shared" si="164"/>
        <v>75027586.606928661</v>
      </c>
      <c r="J344" s="3">
        <f t="shared" si="156"/>
        <v>1.5988236205238561E-3</v>
      </c>
      <c r="K344" s="3">
        <f t="shared" si="165"/>
        <v>1.3054700051454043E-2</v>
      </c>
      <c r="L344" s="3">
        <f t="shared" si="169"/>
        <v>1.3054700051454036E-2</v>
      </c>
      <c r="O344" s="9">
        <f t="shared" si="157"/>
        <v>1.3054700052200778E-5</v>
      </c>
      <c r="P344" s="9">
        <f t="shared" si="166"/>
        <v>76599.764169332164</v>
      </c>
      <c r="Q344" s="3">
        <f t="shared" si="158"/>
        <v>625459.86130424356</v>
      </c>
      <c r="R344" s="3">
        <f t="shared" si="159"/>
        <v>76599764.195440993</v>
      </c>
      <c r="S344" s="3">
        <f t="shared" si="160"/>
        <v>76599764.195440993</v>
      </c>
      <c r="T344" s="3"/>
      <c r="U344" s="3"/>
      <c r="V344" s="3">
        <f t="shared" si="161"/>
        <v>4519.7046309645166</v>
      </c>
      <c r="W344" s="3">
        <f t="shared" si="167"/>
        <v>1500541.9374802194</v>
      </c>
      <c r="X344" s="3">
        <f t="shared" si="162"/>
        <v>122.47111111111114</v>
      </c>
      <c r="Y344" s="3">
        <f t="shared" si="163"/>
        <v>122.4711111111111</v>
      </c>
      <c r="Z344" s="3">
        <f t="shared" si="168"/>
        <v>553533.24804825871</v>
      </c>
    </row>
    <row r="345" spans="1:26" x14ac:dyDescent="0.45">
      <c r="A345">
        <f t="shared" si="170"/>
        <v>333</v>
      </c>
      <c r="B345" s="3">
        <f t="shared" si="151"/>
        <v>8.1162243324405487</v>
      </c>
      <c r="C345" s="3">
        <f t="shared" si="171"/>
        <v>2702.7027027027029</v>
      </c>
      <c r="D345" s="3">
        <f t="shared" si="152"/>
        <v>3.9493137279432926E-4</v>
      </c>
      <c r="E345" s="3">
        <f t="shared" si="153"/>
        <v>123.20999999999998</v>
      </c>
      <c r="F345" s="3"/>
      <c r="G345" s="3">
        <f t="shared" si="154"/>
        <v>150959496.0310314</v>
      </c>
      <c r="H345" s="3">
        <f t="shared" si="155"/>
        <v>270270.2702702703</v>
      </c>
      <c r="I345" s="3">
        <f t="shared" si="164"/>
        <v>75480231.892229497</v>
      </c>
      <c r="J345" s="3">
        <f t="shared" si="156"/>
        <v>1.579705237134368E-3</v>
      </c>
      <c r="K345" s="3">
        <f t="shared" si="165"/>
        <v>1.2821242083713724E-2</v>
      </c>
      <c r="L345" s="3">
        <f t="shared" si="169"/>
        <v>1.2821242083713732E-2</v>
      </c>
      <c r="O345" s="9">
        <f t="shared" si="157"/>
        <v>1.2821242084447103E-5</v>
      </c>
      <c r="P345" s="9">
        <f t="shared" si="166"/>
        <v>77994.563410588511</v>
      </c>
      <c r="Q345" s="3">
        <f t="shared" si="158"/>
        <v>633029.48957542819</v>
      </c>
      <c r="R345" s="3">
        <f t="shared" si="159"/>
        <v>77994563.436230421</v>
      </c>
      <c r="S345" s="3">
        <f t="shared" si="160"/>
        <v>77994563.436230436</v>
      </c>
      <c r="T345" s="3"/>
      <c r="U345" s="3"/>
      <c r="V345" s="3">
        <f t="shared" si="161"/>
        <v>4533.3181991300717</v>
      </c>
      <c r="W345" s="3">
        <f t="shared" si="167"/>
        <v>1509594.9603103139</v>
      </c>
      <c r="X345" s="3">
        <f t="shared" si="162"/>
        <v>123.21000000000002</v>
      </c>
      <c r="Y345" s="3">
        <f t="shared" si="163"/>
        <v>123.20999999999998</v>
      </c>
      <c r="Z345" s="3">
        <f t="shared" si="168"/>
        <v>558550.13531481603</v>
      </c>
    </row>
    <row r="346" spans="1:26" x14ac:dyDescent="0.45">
      <c r="A346">
        <f t="shared" si="170"/>
        <v>334</v>
      </c>
      <c r="B346" s="3">
        <f t="shared" si="151"/>
        <v>8.0676969414464477</v>
      </c>
      <c r="C346" s="3">
        <f t="shared" si="171"/>
        <v>2694.6107784431133</v>
      </c>
      <c r="D346" s="3">
        <f t="shared" si="152"/>
        <v>3.9022285463310698E-4</v>
      </c>
      <c r="E346" s="3">
        <f t="shared" si="153"/>
        <v>123.95111111111112</v>
      </c>
      <c r="F346" s="3"/>
      <c r="G346" s="3">
        <f t="shared" si="154"/>
        <v>151867521.02767399</v>
      </c>
      <c r="H346" s="3">
        <f t="shared" si="155"/>
        <v>269461.07784431137</v>
      </c>
      <c r="I346" s="3">
        <f t="shared" si="164"/>
        <v>75934238.62162064</v>
      </c>
      <c r="J346" s="3">
        <f t="shared" si="156"/>
        <v>1.5608717627881737E-3</v>
      </c>
      <c r="K346" s="3">
        <f t="shared" si="165"/>
        <v>1.2592640346636274E-2</v>
      </c>
      <c r="L346" s="3">
        <f t="shared" si="169"/>
        <v>1.2592640346636277E-2</v>
      </c>
      <c r="O346" s="9">
        <f t="shared" si="157"/>
        <v>1.2592640347356578E-5</v>
      </c>
      <c r="P346" s="9">
        <f t="shared" si="166"/>
        <v>79410.463554576781</v>
      </c>
      <c r="Q346" s="3">
        <f t="shared" si="158"/>
        <v>640667.62163504516</v>
      </c>
      <c r="R346" s="3">
        <f t="shared" si="159"/>
        <v>79410463.57976152</v>
      </c>
      <c r="S346" s="3">
        <f t="shared" si="160"/>
        <v>79410463.579761535</v>
      </c>
      <c r="T346" s="3"/>
      <c r="U346" s="3"/>
      <c r="V346" s="3">
        <f t="shared" si="161"/>
        <v>4546.9317672956277</v>
      </c>
      <c r="W346" s="3">
        <f t="shared" si="167"/>
        <v>1518675.2102767397</v>
      </c>
      <c r="X346" s="3">
        <f t="shared" si="162"/>
        <v>123.95111111111112</v>
      </c>
      <c r="Y346" s="3">
        <f t="shared" si="163"/>
        <v>123.95111111111112</v>
      </c>
      <c r="Z346" s="3">
        <f t="shared" si="168"/>
        <v>563597.24470270122</v>
      </c>
    </row>
    <row r="347" spans="1:26" x14ac:dyDescent="0.45">
      <c r="A347">
        <f t="shared" si="170"/>
        <v>335</v>
      </c>
      <c r="B347" s="3">
        <f t="shared" si="151"/>
        <v>8.0196034751615066</v>
      </c>
      <c r="C347" s="3">
        <f t="shared" si="171"/>
        <v>2686.5671641791046</v>
      </c>
      <c r="D347" s="3">
        <f t="shared" si="152"/>
        <v>3.8558429866090147E-4</v>
      </c>
      <c r="E347" s="3">
        <f t="shared" si="153"/>
        <v>124.69444444444441</v>
      </c>
      <c r="F347" s="3"/>
      <c r="G347" s="3">
        <f t="shared" si="154"/>
        <v>152778268.73794964</v>
      </c>
      <c r="H347" s="3">
        <f t="shared" si="155"/>
        <v>268656.71641791047</v>
      </c>
      <c r="I347" s="3">
        <f t="shared" si="164"/>
        <v>76389606.793545976</v>
      </c>
      <c r="J347" s="3">
        <f t="shared" si="156"/>
        <v>1.5423181178145643E-3</v>
      </c>
      <c r="K347" s="3">
        <f t="shared" si="165"/>
        <v>1.2368779737430233E-2</v>
      </c>
      <c r="L347" s="3">
        <f t="shared" si="169"/>
        <v>1.2368779737430237E-2</v>
      </c>
      <c r="O347" s="9">
        <f t="shared" si="157"/>
        <v>1.2368779738137733E-5</v>
      </c>
      <c r="P347" s="9">
        <f t="shared" si="166"/>
        <v>80847.719208461058</v>
      </c>
      <c r="Q347" s="3">
        <f t="shared" si="158"/>
        <v>648374.66952653113</v>
      </c>
      <c r="R347" s="3">
        <f t="shared" si="159"/>
        <v>80847719.233198091</v>
      </c>
      <c r="S347" s="3">
        <f t="shared" si="160"/>
        <v>80847719.233198076</v>
      </c>
      <c r="T347" s="3"/>
      <c r="U347" s="3"/>
      <c r="V347" s="3">
        <f t="shared" si="161"/>
        <v>4560.5453354611836</v>
      </c>
      <c r="W347" s="3">
        <f t="shared" si="167"/>
        <v>1527782.6873794964</v>
      </c>
      <c r="X347" s="3">
        <f t="shared" si="162"/>
        <v>124.69444444444446</v>
      </c>
      <c r="Y347" s="3">
        <f t="shared" si="163"/>
        <v>124.69444444444441</v>
      </c>
      <c r="Z347" s="3">
        <f t="shared" si="168"/>
        <v>568674.6669690347</v>
      </c>
    </row>
    <row r="348" spans="1:26" x14ac:dyDescent="0.45">
      <c r="A348">
        <f t="shared" si="170"/>
        <v>336</v>
      </c>
      <c r="B348" s="3">
        <f t="shared" si="151"/>
        <v>7.9719387755102042</v>
      </c>
      <c r="C348" s="3">
        <f t="shared" si="171"/>
        <v>2678.5714285714284</v>
      </c>
      <c r="D348" s="3">
        <f t="shared" si="152"/>
        <v>3.8101446112474282E-4</v>
      </c>
      <c r="E348" s="3">
        <f t="shared" si="153"/>
        <v>125.44000000000001</v>
      </c>
      <c r="F348" s="3"/>
      <c r="G348" s="3">
        <f t="shared" si="154"/>
        <v>153691739.16185844</v>
      </c>
      <c r="H348" s="3">
        <f t="shared" si="155"/>
        <v>267857.14285714284</v>
      </c>
      <c r="I348" s="3">
        <f t="shared" si="164"/>
        <v>76846336.406481758</v>
      </c>
      <c r="J348" s="3">
        <f t="shared" si="156"/>
        <v>1.5240393278847088E-3</v>
      </c>
      <c r="K348" s="3">
        <f t="shared" si="165"/>
        <v>1.2149548213366621E-2</v>
      </c>
      <c r="L348" s="3">
        <f t="shared" si="169"/>
        <v>1.2149548213366628E-2</v>
      </c>
      <c r="O348" s="9">
        <f t="shared" si="157"/>
        <v>1.2149548214061579E-5</v>
      </c>
      <c r="P348" s="9">
        <f t="shared" si="166"/>
        <v>82306.587276589038</v>
      </c>
      <c r="Q348" s="3">
        <f t="shared" si="158"/>
        <v>656151.04652893043</v>
      </c>
      <c r="R348" s="3">
        <f t="shared" si="159"/>
        <v>82306587.300887644</v>
      </c>
      <c r="S348" s="3">
        <f t="shared" si="160"/>
        <v>82306587.300887629</v>
      </c>
      <c r="T348" s="3"/>
      <c r="U348" s="3"/>
      <c r="V348" s="3">
        <f t="shared" si="161"/>
        <v>4574.1589036267387</v>
      </c>
      <c r="W348" s="3">
        <f t="shared" si="167"/>
        <v>1536917.3916185843</v>
      </c>
      <c r="X348" s="3">
        <f t="shared" si="162"/>
        <v>125.44</v>
      </c>
      <c r="Y348" s="3">
        <f t="shared" si="163"/>
        <v>125.44000000000001</v>
      </c>
      <c r="Z348" s="3">
        <f t="shared" si="168"/>
        <v>573782.49287093815</v>
      </c>
    </row>
    <row r="349" spans="1:26" x14ac:dyDescent="0.45">
      <c r="A349">
        <f t="shared" si="170"/>
        <v>337</v>
      </c>
      <c r="B349" s="3">
        <f t="shared" si="151"/>
        <v>7.9246977608326219</v>
      </c>
      <c r="C349" s="3">
        <f t="shared" si="171"/>
        <v>2670.6231454005938</v>
      </c>
      <c r="D349" s="3">
        <f t="shared" si="152"/>
        <v>3.7651212399135843E-4</v>
      </c>
      <c r="E349" s="3">
        <f t="shared" si="153"/>
        <v>126.18777777777775</v>
      </c>
      <c r="F349" s="3"/>
      <c r="G349" s="3">
        <f t="shared" si="154"/>
        <v>154607932.29940033</v>
      </c>
      <c r="H349" s="3">
        <f t="shared" si="155"/>
        <v>267062.31454005936</v>
      </c>
      <c r="I349" s="3">
        <f t="shared" si="164"/>
        <v>77304427.458935603</v>
      </c>
      <c r="J349" s="3">
        <f t="shared" si="156"/>
        <v>1.5060305215225695E-3</v>
      </c>
      <c r="K349" s="3">
        <f t="shared" si="165"/>
        <v>1.1934836701655491E-2</v>
      </c>
      <c r="L349" s="3">
        <f t="shared" si="169"/>
        <v>1.1934836701655497E-2</v>
      </c>
      <c r="O349" s="9">
        <f t="shared" si="157"/>
        <v>1.1934836702338169E-5</v>
      </c>
      <c r="P349" s="9">
        <f t="shared" si="166"/>
        <v>83787.326974267577</v>
      </c>
      <c r="Q349" s="3">
        <f t="shared" si="158"/>
        <v>663997.1671568898</v>
      </c>
      <c r="R349" s="3">
        <f t="shared" si="159"/>
        <v>83787326.998136759</v>
      </c>
      <c r="S349" s="3">
        <f t="shared" si="160"/>
        <v>83787326.998136744</v>
      </c>
      <c r="T349" s="3"/>
      <c r="U349" s="3"/>
      <c r="V349" s="3">
        <f t="shared" si="161"/>
        <v>4587.7724717922947</v>
      </c>
      <c r="W349" s="3">
        <f t="shared" si="167"/>
        <v>1546079.3229940033</v>
      </c>
      <c r="X349" s="3">
        <f t="shared" si="162"/>
        <v>126.1877777777778</v>
      </c>
      <c r="Y349" s="3">
        <f t="shared" si="163"/>
        <v>126.18777777777775</v>
      </c>
      <c r="Z349" s="3">
        <f t="shared" si="168"/>
        <v>578920.81316553219</v>
      </c>
    </row>
    <row r="350" spans="1:26" x14ac:dyDescent="0.45">
      <c r="A350">
        <f t="shared" si="170"/>
        <v>338</v>
      </c>
      <c r="B350" s="3">
        <f t="shared" si="151"/>
        <v>7.8778754245299538</v>
      </c>
      <c r="C350" s="3">
        <f t="shared" si="171"/>
        <v>2662.7218934911243</v>
      </c>
      <c r="D350" s="3">
        <f t="shared" si="152"/>
        <v>3.7207609434112334E-4</v>
      </c>
      <c r="E350" s="3">
        <f t="shared" si="153"/>
        <v>126.93777777777775</v>
      </c>
      <c r="F350" s="3"/>
      <c r="G350" s="3">
        <f t="shared" si="154"/>
        <v>155526848.15057534</v>
      </c>
      <c r="H350" s="3">
        <f t="shared" si="155"/>
        <v>266272.18934911245</v>
      </c>
      <c r="I350" s="3">
        <f t="shared" si="164"/>
        <v>77763879.949446008</v>
      </c>
      <c r="J350" s="3">
        <f t="shared" si="156"/>
        <v>1.4882869276817586E-3</v>
      </c>
      <c r="K350" s="3">
        <f t="shared" si="165"/>
        <v>1.1724539012233314E-2</v>
      </c>
      <c r="L350" s="3">
        <f t="shared" si="169"/>
        <v>1.1724539012233314E-2</v>
      </c>
      <c r="O350" s="9">
        <f t="shared" si="157"/>
        <v>1.1724539012903962E-5</v>
      </c>
      <c r="P350" s="9">
        <f t="shared" si="166"/>
        <v>85290.199841580601</v>
      </c>
      <c r="Q350" s="3">
        <f t="shared" si="158"/>
        <v>671913.44716066087</v>
      </c>
      <c r="R350" s="3">
        <f t="shared" si="159"/>
        <v>85290199.865029186</v>
      </c>
      <c r="S350" s="3">
        <f t="shared" si="160"/>
        <v>85290199.865029201</v>
      </c>
      <c r="T350" s="3"/>
      <c r="U350" s="3"/>
      <c r="V350" s="3">
        <f t="shared" si="161"/>
        <v>4601.3860399578507</v>
      </c>
      <c r="W350" s="3">
        <f t="shared" si="167"/>
        <v>1555268.4815057535</v>
      </c>
      <c r="X350" s="3">
        <f t="shared" si="162"/>
        <v>126.9377777777778</v>
      </c>
      <c r="Y350" s="3">
        <f t="shared" si="163"/>
        <v>126.93777777777775</v>
      </c>
      <c r="Z350" s="3">
        <f t="shared" si="168"/>
        <v>584089.7186099384</v>
      </c>
    </row>
    <row r="351" spans="1:26" x14ac:dyDescent="0.45">
      <c r="A351">
        <f t="shared" si="170"/>
        <v>339</v>
      </c>
      <c r="B351" s="3">
        <f t="shared" si="151"/>
        <v>7.8314668337379594</v>
      </c>
      <c r="C351" s="3">
        <f t="shared" si="171"/>
        <v>2654.8672566371683</v>
      </c>
      <c r="D351" s="3">
        <f t="shared" si="152"/>
        <v>3.6770520377803E-4</v>
      </c>
      <c r="E351" s="3">
        <f t="shared" si="153"/>
        <v>127.69000000000003</v>
      </c>
      <c r="F351" s="3"/>
      <c r="G351" s="3">
        <f t="shared" si="154"/>
        <v>156448486.71538347</v>
      </c>
      <c r="H351" s="3">
        <f t="shared" si="155"/>
        <v>265486.72566371679</v>
      </c>
      <c r="I351" s="3">
        <f t="shared" si="164"/>
        <v>78224693.876581475</v>
      </c>
      <c r="J351" s="3">
        <f t="shared" si="156"/>
        <v>1.470803873386441E-3</v>
      </c>
      <c r="K351" s="3">
        <f t="shared" si="165"/>
        <v>1.1518551753359238E-2</v>
      </c>
      <c r="L351" s="3">
        <f t="shared" si="169"/>
        <v>1.1518551753359241E-2</v>
      </c>
      <c r="O351" s="9">
        <f t="shared" si="157"/>
        <v>1.1518551754018104E-5</v>
      </c>
      <c r="P351" s="9">
        <f t="shared" si="166"/>
        <v>86815.469757247251</v>
      </c>
      <c r="Q351" s="3">
        <f t="shared" si="158"/>
        <v>679900.3035260964</v>
      </c>
      <c r="R351" s="3">
        <f t="shared" si="159"/>
        <v>86815469.780283913</v>
      </c>
      <c r="S351" s="3">
        <f t="shared" si="160"/>
        <v>86815469.780283913</v>
      </c>
      <c r="T351" s="3"/>
      <c r="U351" s="3"/>
      <c r="V351" s="3">
        <f t="shared" si="161"/>
        <v>4614.9996081234067</v>
      </c>
      <c r="W351" s="3">
        <f t="shared" si="167"/>
        <v>1564484.8671538348</v>
      </c>
      <c r="X351" s="3">
        <f t="shared" si="162"/>
        <v>127.69000000000001</v>
      </c>
      <c r="Y351" s="3">
        <f t="shared" si="163"/>
        <v>127.69000000000003</v>
      </c>
      <c r="Z351" s="3">
        <f t="shared" si="168"/>
        <v>589289.29996127787</v>
      </c>
    </row>
    <row r="352" spans="1:26" x14ac:dyDescent="0.45">
      <c r="A352">
        <f t="shared" si="170"/>
        <v>340</v>
      </c>
      <c r="B352" s="3">
        <f t="shared" si="151"/>
        <v>7.7854671280276815</v>
      </c>
      <c r="C352" s="3">
        <f t="shared" si="171"/>
        <v>2647.0588235294117</v>
      </c>
      <c r="D352" s="3">
        <f t="shared" si="152"/>
        <v>3.6339830785520825E-4</v>
      </c>
      <c r="E352" s="3">
        <f t="shared" si="153"/>
        <v>128.44444444444443</v>
      </c>
      <c r="F352" s="3"/>
      <c r="G352" s="3">
        <f t="shared" si="154"/>
        <v>157372847.99382472</v>
      </c>
      <c r="H352" s="3">
        <f t="shared" si="155"/>
        <v>264705.8823529412</v>
      </c>
      <c r="I352" s="3">
        <f t="shared" si="164"/>
        <v>78686869.238939837</v>
      </c>
      <c r="J352" s="3">
        <f t="shared" si="156"/>
        <v>1.4535767814343821E-3</v>
      </c>
      <c r="K352" s="3">
        <f t="shared" si="165"/>
        <v>1.131677424992166E-2</v>
      </c>
      <c r="L352" s="3">
        <f t="shared" si="169"/>
        <v>1.1316774249921658E-2</v>
      </c>
      <c r="O352" s="9">
        <f t="shared" si="157"/>
        <v>1.1316774250568984E-5</v>
      </c>
      <c r="P352" s="9">
        <f t="shared" si="166"/>
        <v>88363.402952521748</v>
      </c>
      <c r="Q352" s="3">
        <f t="shared" si="158"/>
        <v>687958.15447465028</v>
      </c>
      <c r="R352" s="3">
        <f t="shared" si="159"/>
        <v>88363402.975154847</v>
      </c>
      <c r="S352" s="3">
        <f t="shared" si="160"/>
        <v>88363402.975154847</v>
      </c>
      <c r="T352" s="3"/>
      <c r="U352" s="3"/>
      <c r="V352" s="3">
        <f t="shared" si="161"/>
        <v>4628.6131762889618</v>
      </c>
      <c r="W352" s="3">
        <f t="shared" si="167"/>
        <v>1573728.479938247</v>
      </c>
      <c r="X352" s="3">
        <f t="shared" si="162"/>
        <v>128.44444444444443</v>
      </c>
      <c r="Y352" s="3">
        <f t="shared" si="163"/>
        <v>128.44444444444443</v>
      </c>
      <c r="Z352" s="3">
        <f t="shared" si="168"/>
        <v>594519.647976671</v>
      </c>
    </row>
    <row r="353" spans="1:26" x14ac:dyDescent="0.45">
      <c r="A353">
        <f t="shared" si="170"/>
        <v>341</v>
      </c>
      <c r="B353" s="3">
        <f t="shared" si="151"/>
        <v>7.7398715181327988</v>
      </c>
      <c r="C353" s="3">
        <f t="shared" si="171"/>
        <v>2639.2961876832842</v>
      </c>
      <c r="D353" s="3">
        <f t="shared" si="152"/>
        <v>3.5915428551554012E-4</v>
      </c>
      <c r="E353" s="3">
        <f t="shared" si="153"/>
        <v>129.20111111111112</v>
      </c>
      <c r="F353" s="3"/>
      <c r="G353" s="3">
        <f t="shared" si="154"/>
        <v>158299931.98589906</v>
      </c>
      <c r="H353" s="3">
        <f t="shared" si="155"/>
        <v>263929.61876832845</v>
      </c>
      <c r="I353" s="3">
        <f t="shared" si="164"/>
        <v>79150406.035147607</v>
      </c>
      <c r="J353" s="3">
        <f t="shared" si="156"/>
        <v>1.4366011681603362E-3</v>
      </c>
      <c r="K353" s="3">
        <f t="shared" si="165"/>
        <v>1.1119108464360494E-2</v>
      </c>
      <c r="L353" s="3">
        <f t="shared" si="169"/>
        <v>1.1119108464360495E-2</v>
      </c>
      <c r="O353" s="9">
        <f t="shared" si="157"/>
        <v>1.1119108464996511E-5</v>
      </c>
      <c r="P353" s="9">
        <f t="shared" si="166"/>
        <v>89934.268025134224</v>
      </c>
      <c r="Q353" s="3">
        <f t="shared" si="158"/>
        <v>696087.41946337582</v>
      </c>
      <c r="R353" s="3">
        <f t="shared" si="159"/>
        <v>89934268.047372028</v>
      </c>
      <c r="S353" s="3">
        <f t="shared" si="160"/>
        <v>89934268.047372013</v>
      </c>
      <c r="T353" s="3"/>
      <c r="U353" s="3"/>
      <c r="V353" s="3">
        <f t="shared" si="161"/>
        <v>4642.2267444545178</v>
      </c>
      <c r="W353" s="3">
        <f t="shared" si="167"/>
        <v>1582999.3198589906</v>
      </c>
      <c r="X353" s="3">
        <f t="shared" si="162"/>
        <v>129.20111111111112</v>
      </c>
      <c r="Y353" s="3">
        <f t="shared" si="163"/>
        <v>129.20111111111112</v>
      </c>
      <c r="Z353" s="3">
        <f t="shared" si="168"/>
        <v>599780.85341323982</v>
      </c>
    </row>
    <row r="354" spans="1:26" x14ac:dyDescent="0.45">
      <c r="A354">
        <f t="shared" si="170"/>
        <v>342</v>
      </c>
      <c r="B354" s="3">
        <f t="shared" si="151"/>
        <v>7.6946752847029858</v>
      </c>
      <c r="C354" s="3">
        <f t="shared" si="171"/>
        <v>2631.5789473684213</v>
      </c>
      <c r="D354" s="3">
        <f t="shared" si="152"/>
        <v>3.5497203854693062E-4</v>
      </c>
      <c r="E354" s="3">
        <f t="shared" si="153"/>
        <v>129.96</v>
      </c>
      <c r="F354" s="3"/>
      <c r="G354" s="3">
        <f t="shared" si="154"/>
        <v>159229738.69160652</v>
      </c>
      <c r="H354" s="3">
        <f t="shared" si="155"/>
        <v>263157.89473684208</v>
      </c>
      <c r="I354" s="3">
        <f t="shared" si="164"/>
        <v>79615304.263859257</v>
      </c>
      <c r="J354" s="3">
        <f t="shared" si="156"/>
        <v>1.4198726412580228E-3</v>
      </c>
      <c r="K354" s="3">
        <f t="shared" si="165"/>
        <v>1.0925458920114057E-2</v>
      </c>
      <c r="L354" s="3">
        <f t="shared" si="169"/>
        <v>1.092545892011406E-2</v>
      </c>
      <c r="O354" s="9">
        <f t="shared" si="157"/>
        <v>1.0925458920738997E-5</v>
      </c>
      <c r="P354" s="9">
        <f t="shared" si="166"/>
        <v>91528.335953272719</v>
      </c>
      <c r="Q354" s="3">
        <f t="shared" si="158"/>
        <v>704288.51918492396</v>
      </c>
      <c r="R354" s="3">
        <f t="shared" si="159"/>
        <v>91528335.975123227</v>
      </c>
      <c r="S354" s="3">
        <f t="shared" si="160"/>
        <v>91528335.975123212</v>
      </c>
      <c r="T354" s="3"/>
      <c r="U354" s="3"/>
      <c r="V354" s="3">
        <f t="shared" si="161"/>
        <v>4655.8403126200737</v>
      </c>
      <c r="W354" s="3">
        <f t="shared" si="167"/>
        <v>1592297.3869160651</v>
      </c>
      <c r="X354" s="3">
        <f t="shared" si="162"/>
        <v>129.96</v>
      </c>
      <c r="Y354" s="3">
        <f t="shared" si="163"/>
        <v>129.96</v>
      </c>
      <c r="Z354" s="3">
        <f t="shared" si="168"/>
        <v>605073.00702810485</v>
      </c>
    </row>
    <row r="355" spans="1:26" x14ac:dyDescent="0.45">
      <c r="A355">
        <f t="shared" si="170"/>
        <v>343</v>
      </c>
      <c r="B355" s="3">
        <f t="shared" si="151"/>
        <v>7.6498737770826786</v>
      </c>
      <c r="C355" s="3">
        <f t="shared" si="171"/>
        <v>2623.9067055393589</v>
      </c>
      <c r="D355" s="3">
        <f t="shared" si="152"/>
        <v>3.5085049105180956E-4</v>
      </c>
      <c r="E355" s="3">
        <f t="shared" si="153"/>
        <v>130.7211111111111</v>
      </c>
      <c r="F355" s="3"/>
      <c r="G355" s="3">
        <f t="shared" si="154"/>
        <v>160162268.11094707</v>
      </c>
      <c r="H355" s="3">
        <f t="shared" si="155"/>
        <v>262390.67055393587</v>
      </c>
      <c r="I355" s="3">
        <f t="shared" si="164"/>
        <v>80081563.923756614</v>
      </c>
      <c r="J355" s="3">
        <f t="shared" si="156"/>
        <v>1.4033868976589816E-3</v>
      </c>
      <c r="K355" s="3">
        <f t="shared" si="165"/>
        <v>1.0735732627502857E-2</v>
      </c>
      <c r="L355" s="3">
        <f t="shared" si="169"/>
        <v>1.0735732627502855E-2</v>
      </c>
      <c r="O355" s="9">
        <f t="shared" si="157"/>
        <v>1.0735732628116945E-5</v>
      </c>
      <c r="P355" s="9">
        <f t="shared" si="166"/>
        <v>93145.880109606514</v>
      </c>
      <c r="Q355" s="3">
        <f t="shared" si="158"/>
        <v>712561.87556754297</v>
      </c>
      <c r="R355" s="3">
        <f t="shared" si="159"/>
        <v>93145880.131077573</v>
      </c>
      <c r="S355" s="3">
        <f t="shared" si="160"/>
        <v>93145880.131077588</v>
      </c>
      <c r="T355" s="3"/>
      <c r="U355" s="3"/>
      <c r="V355" s="3">
        <f t="shared" si="161"/>
        <v>4669.4538807856297</v>
      </c>
      <c r="W355" s="3">
        <f t="shared" si="167"/>
        <v>1601622.681109471</v>
      </c>
      <c r="X355" s="3">
        <f t="shared" si="162"/>
        <v>130.72111111111116</v>
      </c>
      <c r="Y355" s="3">
        <f t="shared" si="163"/>
        <v>130.7211111111111</v>
      </c>
      <c r="Z355" s="3">
        <f t="shared" si="168"/>
        <v>610396.1995783872</v>
      </c>
    </row>
    <row r="356" spans="1:26" x14ac:dyDescent="0.45">
      <c r="A356">
        <f t="shared" si="170"/>
        <v>344</v>
      </c>
      <c r="B356" s="3">
        <f t="shared" si="151"/>
        <v>7.6054624121146563</v>
      </c>
      <c r="C356" s="3">
        <f t="shared" si="171"/>
        <v>2616.2790697674418</v>
      </c>
      <c r="D356" s="3">
        <f t="shared" si="152"/>
        <v>3.4678858893045182E-4</v>
      </c>
      <c r="E356" s="3">
        <f t="shared" si="153"/>
        <v>131.48444444444445</v>
      </c>
      <c r="F356" s="3"/>
      <c r="G356" s="3">
        <f t="shared" si="154"/>
        <v>161097520.24392077</v>
      </c>
      <c r="H356" s="3">
        <f t="shared" si="155"/>
        <v>261627.90697674418</v>
      </c>
      <c r="I356" s="3">
        <f t="shared" si="164"/>
        <v>80549185.01354824</v>
      </c>
      <c r="J356" s="3">
        <f t="shared" si="156"/>
        <v>1.3871397214666697E-3</v>
      </c>
      <c r="K356" s="3">
        <f t="shared" si="165"/>
        <v>1.0549839011965951E-2</v>
      </c>
      <c r="L356" s="3">
        <f t="shared" si="169"/>
        <v>1.0549839011965949E-2</v>
      </c>
      <c r="O356" s="9">
        <f t="shared" si="157"/>
        <v>1.0549839012569405E-5</v>
      </c>
      <c r="P356" s="9">
        <f t="shared" si="166"/>
        <v>94787.176275350648</v>
      </c>
      <c r="Q356" s="3">
        <f t="shared" si="158"/>
        <v>720907.91177507758</v>
      </c>
      <c r="R356" s="3">
        <f t="shared" si="159"/>
        <v>94787176.296449929</v>
      </c>
      <c r="S356" s="3">
        <f t="shared" si="160"/>
        <v>94787176.296449929</v>
      </c>
      <c r="T356" s="3"/>
      <c r="U356" s="3"/>
      <c r="V356" s="3">
        <f t="shared" si="161"/>
        <v>4683.0674489511857</v>
      </c>
      <c r="W356" s="3">
        <f t="shared" si="167"/>
        <v>1610975.2024392078</v>
      </c>
      <c r="X356" s="3">
        <f t="shared" si="162"/>
        <v>131.48444444444448</v>
      </c>
      <c r="Y356" s="3">
        <f t="shared" si="163"/>
        <v>131.48444444444445</v>
      </c>
      <c r="Z356" s="3">
        <f t="shared" si="168"/>
        <v>615750.52182120841</v>
      </c>
    </row>
    <row r="357" spans="1:26" x14ac:dyDescent="0.45">
      <c r="A357">
        <f t="shared" si="170"/>
        <v>345</v>
      </c>
      <c r="B357" s="3">
        <f t="shared" si="151"/>
        <v>7.5614366729678641</v>
      </c>
      <c r="C357" s="3">
        <f t="shared" si="171"/>
        <v>2608.695652173913</v>
      </c>
      <c r="D357" s="3">
        <f t="shared" si="152"/>
        <v>3.4278529937771816E-4</v>
      </c>
      <c r="E357" s="3">
        <f t="shared" si="153"/>
        <v>132.25</v>
      </c>
      <c r="F357" s="3"/>
      <c r="G357" s="3">
        <f t="shared" si="154"/>
        <v>162035495.09052756</v>
      </c>
      <c r="H357" s="3">
        <f t="shared" si="155"/>
        <v>260869.5652173913</v>
      </c>
      <c r="I357" s="3">
        <f t="shared" si="164"/>
        <v>81018167.531968743</v>
      </c>
      <c r="J357" s="3">
        <f t="shared" si="156"/>
        <v>1.3711269819442033E-3</v>
      </c>
      <c r="K357" s="3">
        <f t="shared" si="165"/>
        <v>1.0367689844568645E-2</v>
      </c>
      <c r="L357" s="3">
        <f t="shared" si="169"/>
        <v>1.0367689844568647E-2</v>
      </c>
      <c r="O357" s="9">
        <f t="shared" si="157"/>
        <v>1.0367689845161681E-5</v>
      </c>
      <c r="P357" s="9">
        <f t="shared" si="166"/>
        <v>96452.502654371245</v>
      </c>
      <c r="Q357" s="3">
        <f t="shared" si="158"/>
        <v>729327.05220696598</v>
      </c>
      <c r="R357" s="3">
        <f t="shared" si="159"/>
        <v>96452502.675106257</v>
      </c>
      <c r="S357" s="3">
        <f t="shared" si="160"/>
        <v>96452502.675106257</v>
      </c>
      <c r="T357" s="3"/>
      <c r="U357" s="3"/>
      <c r="V357" s="3">
        <f t="shared" si="161"/>
        <v>4696.6810171167417</v>
      </c>
      <c r="W357" s="3">
        <f t="shared" si="167"/>
        <v>1620354.950905276</v>
      </c>
      <c r="X357" s="3">
        <f t="shared" si="162"/>
        <v>132.25000000000006</v>
      </c>
      <c r="Y357" s="3">
        <f t="shared" si="163"/>
        <v>132.25</v>
      </c>
      <c r="Z357" s="3">
        <f t="shared" si="168"/>
        <v>621136.06451368914</v>
      </c>
    </row>
    <row r="358" spans="1:26" x14ac:dyDescent="0.45">
      <c r="A358">
        <f t="shared" si="170"/>
        <v>346</v>
      </c>
      <c r="B358" s="3">
        <f t="shared" si="151"/>
        <v>7.5177921079889067</v>
      </c>
      <c r="C358" s="3">
        <f t="shared" si="171"/>
        <v>2601.1560693641618</v>
      </c>
      <c r="D358" s="3">
        <f t="shared" si="152"/>
        <v>3.3883961039282885E-4</v>
      </c>
      <c r="E358" s="3">
        <f t="shared" si="153"/>
        <v>133.01777777777778</v>
      </c>
      <c r="F358" s="3"/>
      <c r="G358" s="3">
        <f t="shared" si="154"/>
        <v>162976192.65076748</v>
      </c>
      <c r="H358" s="3">
        <f t="shared" si="155"/>
        <v>260115.60693641618</v>
      </c>
      <c r="I358" s="3">
        <f t="shared" si="164"/>
        <v>81488511.477778211</v>
      </c>
      <c r="J358" s="3">
        <f t="shared" si="156"/>
        <v>1.3553446315542007E-3</v>
      </c>
      <c r="K358" s="3">
        <f t="shared" si="165"/>
        <v>1.0189199174703303E-2</v>
      </c>
      <c r="L358" s="3">
        <f t="shared" si="169"/>
        <v>1.0189199174703305E-2</v>
      </c>
      <c r="O358" s="9">
        <f t="shared" si="157"/>
        <v>1.0189199175286129E-5</v>
      </c>
      <c r="P358" s="9">
        <f t="shared" si="166"/>
        <v>98142.139887332552</v>
      </c>
      <c r="Q358" s="3">
        <f t="shared" si="158"/>
        <v>737819.72249823995</v>
      </c>
      <c r="R358" s="3">
        <f t="shared" si="159"/>
        <v>98142139.907710582</v>
      </c>
      <c r="S358" s="3">
        <f t="shared" si="160"/>
        <v>98142139.907710582</v>
      </c>
      <c r="T358" s="3"/>
      <c r="U358" s="3"/>
      <c r="V358" s="3">
        <f t="shared" si="161"/>
        <v>4710.2945852822968</v>
      </c>
      <c r="W358" s="3">
        <f t="shared" si="167"/>
        <v>1629761.9265076746</v>
      </c>
      <c r="X358" s="3">
        <f t="shared" si="162"/>
        <v>133.01777777777778</v>
      </c>
      <c r="Y358" s="3">
        <f t="shared" si="163"/>
        <v>133.01777777777778</v>
      </c>
      <c r="Z358" s="3">
        <f t="shared" si="168"/>
        <v>626552.91841295047</v>
      </c>
    </row>
    <row r="359" spans="1:26" x14ac:dyDescent="0.45">
      <c r="A359">
        <f t="shared" si="170"/>
        <v>347</v>
      </c>
      <c r="B359" s="3">
        <f t="shared" si="151"/>
        <v>7.4745243295766928</v>
      </c>
      <c r="C359" s="3">
        <f t="shared" si="171"/>
        <v>2593.6599423631123</v>
      </c>
      <c r="D359" s="3">
        <f t="shared" si="152"/>
        <v>3.3495053030179806E-4</v>
      </c>
      <c r="E359" s="3">
        <f t="shared" si="153"/>
        <v>133.78777777777779</v>
      </c>
      <c r="F359" s="3"/>
      <c r="G359" s="3">
        <f t="shared" si="154"/>
        <v>163919612.92464048</v>
      </c>
      <c r="H359" s="3">
        <f t="shared" si="155"/>
        <v>259365.99423631123</v>
      </c>
      <c r="I359" s="3">
        <f t="shared" si="164"/>
        <v>81960216.849761665</v>
      </c>
      <c r="J359" s="3">
        <f t="shared" si="156"/>
        <v>1.3397887040492316E-3</v>
      </c>
      <c r="K359" s="3">
        <f t="shared" si="165"/>
        <v>1.0014283264908009E-2</v>
      </c>
      <c r="L359" s="3">
        <f t="shared" si="169"/>
        <v>1.0014283264908011E-2</v>
      </c>
      <c r="O359" s="9">
        <f t="shared" si="157"/>
        <v>1.0014283265480831E-5</v>
      </c>
      <c r="P359" s="9">
        <f t="shared" si="166"/>
        <v>99856.371065884814</v>
      </c>
      <c r="Q359" s="3">
        <f t="shared" si="158"/>
        <v>746386.34951952368</v>
      </c>
      <c r="R359" s="3">
        <f t="shared" si="159"/>
        <v>99856371.085913032</v>
      </c>
      <c r="S359" s="3">
        <f t="shared" si="160"/>
        <v>99856371.085913017</v>
      </c>
      <c r="T359" s="3"/>
      <c r="U359" s="3"/>
      <c r="V359" s="3">
        <f t="shared" si="161"/>
        <v>4723.9081534478528</v>
      </c>
      <c r="W359" s="3">
        <f t="shared" si="167"/>
        <v>1639196.1292464049</v>
      </c>
      <c r="X359" s="3">
        <f t="shared" si="162"/>
        <v>133.78777777777782</v>
      </c>
      <c r="Y359" s="3">
        <f t="shared" si="163"/>
        <v>133.78777777777779</v>
      </c>
      <c r="Z359" s="3">
        <f t="shared" si="168"/>
        <v>632001.17427611398</v>
      </c>
    </row>
    <row r="360" spans="1:26" x14ac:dyDescent="0.45">
      <c r="A360">
        <f t="shared" si="170"/>
        <v>348</v>
      </c>
      <c r="B360" s="3">
        <f t="shared" si="151"/>
        <v>7.4316290130796672</v>
      </c>
      <c r="C360" s="3">
        <f t="shared" si="171"/>
        <v>2586.2068965517242</v>
      </c>
      <c r="D360" s="3">
        <f t="shared" si="152"/>
        <v>3.3111708729216522E-4</v>
      </c>
      <c r="E360" s="3">
        <f t="shared" si="153"/>
        <v>134.56</v>
      </c>
      <c r="F360" s="3"/>
      <c r="G360" s="3">
        <f t="shared" si="154"/>
        <v>164865755.9121466</v>
      </c>
      <c r="H360" s="3">
        <f t="shared" si="155"/>
        <v>258620.68965517241</v>
      </c>
      <c r="I360" s="3">
        <f t="shared" si="164"/>
        <v>82433283.646728486</v>
      </c>
      <c r="J360" s="3">
        <f t="shared" si="156"/>
        <v>1.3244553126114265E-3</v>
      </c>
      <c r="K360" s="3">
        <f t="shared" si="165"/>
        <v>9.8428605277305781E-3</v>
      </c>
      <c r="L360" s="3">
        <f t="shared" si="169"/>
        <v>9.8428605277305816E-3</v>
      </c>
      <c r="O360" s="9">
        <f t="shared" si="157"/>
        <v>9.8428605282935928E-6</v>
      </c>
      <c r="P360" s="9">
        <f t="shared" si="166"/>
        <v>101595.48174689365</v>
      </c>
      <c r="Q360" s="3">
        <f t="shared" si="158"/>
        <v>755027.36137703364</v>
      </c>
      <c r="R360" s="3">
        <f t="shared" si="159"/>
        <v>101595481.76657902</v>
      </c>
      <c r="S360" s="3">
        <f t="shared" si="160"/>
        <v>101595481.766579</v>
      </c>
      <c r="T360" s="3"/>
      <c r="U360" s="3"/>
      <c r="V360" s="3">
        <f t="shared" si="161"/>
        <v>4737.5217216134079</v>
      </c>
      <c r="W360" s="3">
        <f t="shared" si="167"/>
        <v>1648657.559121466</v>
      </c>
      <c r="X360" s="3">
        <f t="shared" si="162"/>
        <v>134.55999999999997</v>
      </c>
      <c r="Y360" s="3">
        <f t="shared" si="163"/>
        <v>134.56</v>
      </c>
      <c r="Z360" s="3">
        <f t="shared" si="168"/>
        <v>637480.92286030017</v>
      </c>
    </row>
    <row r="361" spans="1:26" x14ac:dyDescent="0.45">
      <c r="A361">
        <f t="shared" si="170"/>
        <v>349</v>
      </c>
      <c r="B361" s="3">
        <f t="shared" si="151"/>
        <v>7.3891018957151422</v>
      </c>
      <c r="C361" s="3">
        <f t="shared" si="171"/>
        <v>2578.7965616045844</v>
      </c>
      <c r="D361" s="3">
        <f t="shared" si="152"/>
        <v>3.2733832895967329E-4</v>
      </c>
      <c r="E361" s="3">
        <f t="shared" si="153"/>
        <v>135.33444444444444</v>
      </c>
      <c r="F361" s="3"/>
      <c r="G361" s="3">
        <f t="shared" si="154"/>
        <v>165814621.61328584</v>
      </c>
      <c r="H361" s="3">
        <f t="shared" si="155"/>
        <v>257879.65616045846</v>
      </c>
      <c r="I361" s="3">
        <f t="shared" si="164"/>
        <v>82907711.867511764</v>
      </c>
      <c r="J361" s="3">
        <f t="shared" si="156"/>
        <v>1.3093406480398477E-3</v>
      </c>
      <c r="K361" s="3">
        <f t="shared" si="165"/>
        <v>9.6748514645681304E-3</v>
      </c>
      <c r="L361" s="3">
        <f t="shared" si="169"/>
        <v>9.6748514645681322E-3</v>
      </c>
      <c r="O361" s="9">
        <f t="shared" si="157"/>
        <v>9.6748514651215364E-6</v>
      </c>
      <c r="P361" s="9">
        <f t="shared" si="166"/>
        <v>103359.75996671003</v>
      </c>
      <c r="Q361" s="3">
        <f t="shared" si="158"/>
        <v>763743.18741257489</v>
      </c>
      <c r="R361" s="3">
        <f t="shared" si="159"/>
        <v>103359759.98605938</v>
      </c>
      <c r="S361" s="3">
        <f t="shared" si="160"/>
        <v>103359759.9860594</v>
      </c>
      <c r="T361" s="3"/>
      <c r="U361" s="3"/>
      <c r="V361" s="3">
        <f t="shared" si="161"/>
        <v>4751.1352897789639</v>
      </c>
      <c r="W361" s="3">
        <f t="shared" si="167"/>
        <v>1658146.2161328583</v>
      </c>
      <c r="X361" s="3">
        <f t="shared" si="162"/>
        <v>135.33444444444444</v>
      </c>
      <c r="Y361" s="3">
        <f t="shared" si="163"/>
        <v>135.33444444444444</v>
      </c>
      <c r="Z361" s="3">
        <f t="shared" si="168"/>
        <v>642992.25492263061</v>
      </c>
    </row>
    <row r="362" spans="1:26" x14ac:dyDescent="0.45">
      <c r="A362">
        <f t="shared" si="170"/>
        <v>350</v>
      </c>
      <c r="B362" s="3">
        <f t="shared" si="151"/>
        <v>7.3469387755102042</v>
      </c>
      <c r="C362" s="3">
        <f t="shared" si="171"/>
        <v>2571.4285714285716</v>
      </c>
      <c r="D362" s="3">
        <f t="shared" si="152"/>
        <v>3.2361332186655407E-4</v>
      </c>
      <c r="E362" s="3">
        <f t="shared" si="153"/>
        <v>136.11111111111114</v>
      </c>
      <c r="F362" s="3"/>
      <c r="G362" s="3">
        <f t="shared" si="154"/>
        <v>166766210.0280582</v>
      </c>
      <c r="H362" s="3">
        <f t="shared" si="155"/>
        <v>257142.85714285713</v>
      </c>
      <c r="I362" s="3">
        <f t="shared" si="164"/>
        <v>83383501.510967895</v>
      </c>
      <c r="J362" s="3">
        <f t="shared" si="156"/>
        <v>1.2944409769842543E-3</v>
      </c>
      <c r="K362" s="3">
        <f t="shared" si="165"/>
        <v>9.5101786064149298E-3</v>
      </c>
      <c r="L362" s="3">
        <f t="shared" si="169"/>
        <v>9.510178606414935E-3</v>
      </c>
      <c r="O362" s="9">
        <f t="shared" si="157"/>
        <v>9.5101786069589164E-6</v>
      </c>
      <c r="P362" s="9">
        <f t="shared" si="166"/>
        <v>105149.49625548215</v>
      </c>
      <c r="Q362" s="3">
        <f t="shared" si="158"/>
        <v>772534.25820354233</v>
      </c>
      <c r="R362" s="3">
        <f t="shared" si="159"/>
        <v>105149496.2745022</v>
      </c>
      <c r="S362" s="3">
        <f t="shared" si="160"/>
        <v>105149496.27450217</v>
      </c>
      <c r="T362" s="3"/>
      <c r="U362" s="3"/>
      <c r="V362" s="3">
        <f t="shared" si="161"/>
        <v>4764.7488579445198</v>
      </c>
      <c r="W362" s="3">
        <f t="shared" si="167"/>
        <v>1667662.100280582</v>
      </c>
      <c r="X362" s="3">
        <f t="shared" si="162"/>
        <v>136.11111111111114</v>
      </c>
      <c r="Y362" s="3">
        <f t="shared" si="163"/>
        <v>136.11111111111114</v>
      </c>
      <c r="Z362" s="3">
        <f t="shared" si="168"/>
        <v>648535.26122022641</v>
      </c>
    </row>
    <row r="363" spans="1:26" x14ac:dyDescent="0.45">
      <c r="A363">
        <f t="shared" si="170"/>
        <v>351</v>
      </c>
      <c r="B363" s="3">
        <f t="shared" si="151"/>
        <v>7.3051355102637157</v>
      </c>
      <c r="C363" s="3">
        <f t="shared" si="171"/>
        <v>2564.102564102564</v>
      </c>
      <c r="D363" s="3">
        <f t="shared" si="152"/>
        <v>3.1994115111109073E-4</v>
      </c>
      <c r="E363" s="3">
        <f t="shared" si="153"/>
        <v>136.89000000000001</v>
      </c>
      <c r="F363" s="3"/>
      <c r="G363" s="3">
        <f t="shared" si="154"/>
        <v>167720521.15646365</v>
      </c>
      <c r="H363" s="3">
        <f t="shared" si="155"/>
        <v>256410.25641025641</v>
      </c>
      <c r="I363" s="3">
        <f t="shared" si="164"/>
        <v>83860652.57597591</v>
      </c>
      <c r="J363" s="3">
        <f t="shared" si="156"/>
        <v>1.2797526402239566E-3</v>
      </c>
      <c r="K363" s="3">
        <f t="shared" si="165"/>
        <v>9.3487664564537703E-3</v>
      </c>
      <c r="L363" s="3">
        <f t="shared" si="169"/>
        <v>9.348766456453772E-3</v>
      </c>
      <c r="O363" s="9">
        <f t="shared" si="157"/>
        <v>9.3487664569885235E-6</v>
      </c>
      <c r="P363" s="9">
        <f t="shared" si="166"/>
        <v>106964.98365150792</v>
      </c>
      <c r="Q363" s="3">
        <f t="shared" si="158"/>
        <v>781401.00556291861</v>
      </c>
      <c r="R363" s="3">
        <f t="shared" si="159"/>
        <v>106964983.67020515</v>
      </c>
      <c r="S363" s="3">
        <f t="shared" si="160"/>
        <v>106964983.67020516</v>
      </c>
      <c r="T363" s="3"/>
      <c r="U363" s="3"/>
      <c r="V363" s="3">
        <f t="shared" si="161"/>
        <v>4778.3624261100758</v>
      </c>
      <c r="W363" s="3">
        <f t="shared" si="167"/>
        <v>1677205.2115646366</v>
      </c>
      <c r="X363" s="3">
        <f t="shared" si="162"/>
        <v>136.89000000000004</v>
      </c>
      <c r="Y363" s="3">
        <f t="shared" si="163"/>
        <v>136.89000000000001</v>
      </c>
      <c r="Z363" s="3">
        <f t="shared" si="168"/>
        <v>654110.03251020832</v>
      </c>
    </row>
    <row r="364" spans="1:26" x14ac:dyDescent="0.45">
      <c r="A364">
        <f t="shared" si="170"/>
        <v>352</v>
      </c>
      <c r="B364" s="3">
        <f t="shared" si="151"/>
        <v>7.2636880165289259</v>
      </c>
      <c r="C364" s="3">
        <f t="shared" si="171"/>
        <v>2556.818181818182</v>
      </c>
      <c r="D364" s="3">
        <f t="shared" si="152"/>
        <v>3.1632091990813944E-4</v>
      </c>
      <c r="E364" s="3">
        <f t="shared" si="153"/>
        <v>137.67111111111112</v>
      </c>
      <c r="F364" s="3"/>
      <c r="G364" s="3">
        <f t="shared" si="154"/>
        <v>168677554.99850222</v>
      </c>
      <c r="H364" s="3">
        <f t="shared" si="155"/>
        <v>255681.81818181818</v>
      </c>
      <c r="I364" s="3">
        <f t="shared" si="164"/>
        <v>84339165.061437115</v>
      </c>
      <c r="J364" s="3">
        <f t="shared" si="156"/>
        <v>1.2652720509904734E-3</v>
      </c>
      <c r="K364" s="3">
        <f t="shared" si="165"/>
        <v>9.1905414344284776E-3</v>
      </c>
      <c r="L364" s="3">
        <f t="shared" si="169"/>
        <v>9.1905414344284828E-3</v>
      </c>
      <c r="O364" s="9">
        <f t="shared" si="157"/>
        <v>9.1905414349541797E-6</v>
      </c>
      <c r="P364" s="9">
        <f t="shared" si="166"/>
        <v>108806.51771562907</v>
      </c>
      <c r="Q364" s="3">
        <f t="shared" si="158"/>
        <v>790343.86253927369</v>
      </c>
      <c r="R364" s="3">
        <f t="shared" si="159"/>
        <v>108806517.73400985</v>
      </c>
      <c r="S364" s="3">
        <f t="shared" si="160"/>
        <v>108806517.73400986</v>
      </c>
      <c r="T364" s="3"/>
      <c r="U364" s="3"/>
      <c r="V364" s="3">
        <f t="shared" si="161"/>
        <v>4791.9759942756318</v>
      </c>
      <c r="W364" s="3">
        <f t="shared" si="167"/>
        <v>1686775.5499850223</v>
      </c>
      <c r="X364" s="3">
        <f t="shared" si="162"/>
        <v>137.67111111111114</v>
      </c>
      <c r="Y364" s="3">
        <f t="shared" si="163"/>
        <v>137.67111111111112</v>
      </c>
      <c r="Z364" s="3">
        <f t="shared" si="168"/>
        <v>659716.65954969765</v>
      </c>
    </row>
    <row r="365" spans="1:26" x14ac:dyDescent="0.45">
      <c r="A365">
        <f t="shared" si="170"/>
        <v>353</v>
      </c>
      <c r="B365" s="3">
        <f t="shared" si="151"/>
        <v>7.2225922686162312</v>
      </c>
      <c r="C365" s="3">
        <f t="shared" si="171"/>
        <v>2549.5750708215296</v>
      </c>
      <c r="D365" s="3">
        <f t="shared" si="152"/>
        <v>3.1275174918029978E-4</v>
      </c>
      <c r="E365" s="3">
        <f t="shared" si="153"/>
        <v>138.45444444444445</v>
      </c>
      <c r="F365" s="3"/>
      <c r="G365" s="3">
        <f t="shared" si="154"/>
        <v>169637311.55417392</v>
      </c>
      <c r="H365" s="3">
        <f t="shared" si="155"/>
        <v>254957.50708215297</v>
      </c>
      <c r="I365" s="3">
        <f t="shared" si="164"/>
        <v>84819038.966274455</v>
      </c>
      <c r="J365" s="3">
        <f t="shared" si="156"/>
        <v>1.2509956933327703E-3</v>
      </c>
      <c r="K365" s="3">
        <f t="shared" si="165"/>
        <v>9.0354318227374684E-3</v>
      </c>
      <c r="L365" s="3">
        <f t="shared" si="169"/>
        <v>9.0354318227374702E-3</v>
      </c>
      <c r="O365" s="9">
        <f t="shared" si="157"/>
        <v>9.0354318232542995E-6</v>
      </c>
      <c r="P365" s="9">
        <f t="shared" si="166"/>
        <v>110674.39654566605</v>
      </c>
      <c r="Q365" s="3">
        <f t="shared" si="158"/>
        <v>799363.26341676316</v>
      </c>
      <c r="R365" s="3">
        <f t="shared" si="159"/>
        <v>110674396.5637366</v>
      </c>
      <c r="S365" s="3">
        <f t="shared" si="160"/>
        <v>110674396.56373659</v>
      </c>
      <c r="T365" s="3"/>
      <c r="U365" s="3"/>
      <c r="V365" s="3">
        <f t="shared" si="161"/>
        <v>4805.5895624411869</v>
      </c>
      <c r="W365" s="3">
        <f t="shared" si="167"/>
        <v>1696373.1155417389</v>
      </c>
      <c r="X365" s="3">
        <f t="shared" si="162"/>
        <v>138.45444444444442</v>
      </c>
      <c r="Y365" s="3">
        <f t="shared" si="163"/>
        <v>138.45444444444445</v>
      </c>
      <c r="Z365" s="3">
        <f t="shared" si="168"/>
        <v>665355.23309581541</v>
      </c>
    </row>
    <row r="366" spans="1:26" x14ac:dyDescent="0.45">
      <c r="A366">
        <f t="shared" si="170"/>
        <v>354</v>
      </c>
      <c r="B366" s="3">
        <f t="shared" si="151"/>
        <v>7.181844297615628</v>
      </c>
      <c r="C366" s="3">
        <f t="shared" si="171"/>
        <v>2542.3728813559323</v>
      </c>
      <c r="D366" s="3">
        <f t="shared" si="152"/>
        <v>3.0923277715943581E-4</v>
      </c>
      <c r="E366" s="3">
        <f t="shared" si="153"/>
        <v>139.23999999999998</v>
      </c>
      <c r="F366" s="3"/>
      <c r="G366" s="3">
        <f t="shared" si="154"/>
        <v>170599790.8234787</v>
      </c>
      <c r="H366" s="3">
        <f t="shared" si="155"/>
        <v>254237.28813559323</v>
      </c>
      <c r="I366" s="3">
        <f t="shared" si="164"/>
        <v>85300274.289432094</v>
      </c>
      <c r="J366" s="3">
        <f t="shared" si="156"/>
        <v>1.2369201205238681E-3</v>
      </c>
      <c r="K366" s="3">
        <f t="shared" si="165"/>
        <v>8.8833677141903766E-3</v>
      </c>
      <c r="L366" s="3">
        <f t="shared" si="169"/>
        <v>8.8833677141903766E-3</v>
      </c>
      <c r="O366" s="9">
        <f t="shared" si="157"/>
        <v>8.8833677146985082E-6</v>
      </c>
      <c r="P366" s="9">
        <f t="shared" si="166"/>
        <v>112568.92079089444</v>
      </c>
      <c r="Q366" s="3">
        <f t="shared" si="158"/>
        <v>808459.64371512819</v>
      </c>
      <c r="R366" s="3">
        <f t="shared" si="159"/>
        <v>112568920.80866088</v>
      </c>
      <c r="S366" s="3">
        <f t="shared" si="160"/>
        <v>112568920.80866092</v>
      </c>
      <c r="T366" s="3"/>
      <c r="U366" s="3"/>
      <c r="V366" s="3">
        <f t="shared" si="161"/>
        <v>4819.2031306067429</v>
      </c>
      <c r="W366" s="3">
        <f t="shared" si="167"/>
        <v>1705997.9082347869</v>
      </c>
      <c r="X366" s="3">
        <f t="shared" si="162"/>
        <v>139.24</v>
      </c>
      <c r="Y366" s="3">
        <f t="shared" si="163"/>
        <v>139.23999999999998</v>
      </c>
      <c r="Z366" s="3">
        <f t="shared" si="168"/>
        <v>671025.84390568279</v>
      </c>
    </row>
    <row r="367" spans="1:26" x14ac:dyDescent="0.45">
      <c r="A367">
        <f t="shared" si="170"/>
        <v>355</v>
      </c>
      <c r="B367" s="3">
        <f t="shared" si="151"/>
        <v>7.1414401904384048</v>
      </c>
      <c r="C367" s="3">
        <f t="shared" si="171"/>
        <v>2535.2112676056336</v>
      </c>
      <c r="D367" s="3">
        <f t="shared" si="152"/>
        <v>3.0576315899825599E-4</v>
      </c>
      <c r="E367" s="3">
        <f t="shared" si="153"/>
        <v>140.0277777777778</v>
      </c>
      <c r="F367" s="3"/>
      <c r="G367" s="3">
        <f t="shared" si="154"/>
        <v>171564992.8064166</v>
      </c>
      <c r="H367" s="3">
        <f t="shared" si="155"/>
        <v>253521.12676056338</v>
      </c>
      <c r="I367" s="3">
        <f t="shared" si="164"/>
        <v>85782871.029874951</v>
      </c>
      <c r="J367" s="3">
        <f t="shared" si="156"/>
        <v>1.2230419535076708E-3</v>
      </c>
      <c r="K367" s="3">
        <f t="shared" si="165"/>
        <v>8.7342809613719791E-3</v>
      </c>
      <c r="L367" s="3">
        <f t="shared" si="169"/>
        <v>8.7342809613719808E-3</v>
      </c>
      <c r="O367" s="9">
        <f t="shared" si="157"/>
        <v>8.7342809618715827E-6</v>
      </c>
      <c r="P367" s="9">
        <f t="shared" si="166"/>
        <v>114490.39366656232</v>
      </c>
      <c r="Q367" s="3">
        <f t="shared" si="158"/>
        <v>817633.44018969324</v>
      </c>
      <c r="R367" s="3">
        <f t="shared" si="159"/>
        <v>114490393.68403061</v>
      </c>
      <c r="S367" s="3">
        <f t="shared" si="160"/>
        <v>114490393.68403058</v>
      </c>
      <c r="T367" s="3"/>
      <c r="U367" s="3"/>
      <c r="V367" s="3">
        <f t="shared" si="161"/>
        <v>4832.8166987722989</v>
      </c>
      <c r="W367" s="3">
        <f t="shared" si="167"/>
        <v>1715649.9280641661</v>
      </c>
      <c r="X367" s="3">
        <f t="shared" si="162"/>
        <v>140.0277777777778</v>
      </c>
      <c r="Y367" s="3">
        <f t="shared" si="163"/>
        <v>140.0277777777778</v>
      </c>
      <c r="Z367" s="3">
        <f t="shared" si="168"/>
        <v>676728.58273642114</v>
      </c>
    </row>
    <row r="368" spans="1:26" x14ac:dyDescent="0.45">
      <c r="A368">
        <f t="shared" si="170"/>
        <v>356</v>
      </c>
      <c r="B368" s="3">
        <f t="shared" si="151"/>
        <v>7.1013760888776671</v>
      </c>
      <c r="C368" s="3">
        <f t="shared" si="171"/>
        <v>2528.0898876404494</v>
      </c>
      <c r="D368" s="3">
        <f t="shared" si="152"/>
        <v>3.0234206639167199E-4</v>
      </c>
      <c r="E368" s="3">
        <f t="shared" si="153"/>
        <v>140.81777777777779</v>
      </c>
      <c r="F368" s="3"/>
      <c r="G368" s="3">
        <f t="shared" si="154"/>
        <v>172532917.50298762</v>
      </c>
      <c r="H368" s="3">
        <f t="shared" si="155"/>
        <v>252808.98876404495</v>
      </c>
      <c r="I368" s="3">
        <f t="shared" si="164"/>
        <v>86266829.186588183</v>
      </c>
      <c r="J368" s="3">
        <f t="shared" si="156"/>
        <v>1.2093578793848851E-3</v>
      </c>
      <c r="K368" s="3">
        <f t="shared" si="165"/>
        <v>8.5881051275596247E-3</v>
      </c>
      <c r="L368" s="3">
        <f t="shared" si="169"/>
        <v>8.5881051275596247E-3</v>
      </c>
      <c r="O368" s="9">
        <f t="shared" si="157"/>
        <v>8.5881051280508685E-6</v>
      </c>
      <c r="P368" s="9">
        <f t="shared" si="166"/>
        <v>116439.12096844896</v>
      </c>
      <c r="Q368" s="3">
        <f t="shared" si="158"/>
        <v>826885.09083136648</v>
      </c>
      <c r="R368" s="3">
        <f t="shared" si="159"/>
        <v>116439120.98562489</v>
      </c>
      <c r="S368" s="3">
        <f t="shared" si="160"/>
        <v>116439120.98562485</v>
      </c>
      <c r="T368" s="3"/>
      <c r="U368" s="3"/>
      <c r="V368" s="3">
        <f t="shared" si="161"/>
        <v>4846.4302669378549</v>
      </c>
      <c r="W368" s="3">
        <f t="shared" si="167"/>
        <v>1725329.1750298764</v>
      </c>
      <c r="X368" s="3">
        <f t="shared" si="162"/>
        <v>140.81777777777782</v>
      </c>
      <c r="Y368" s="3">
        <f t="shared" si="163"/>
        <v>140.81777777777779</v>
      </c>
      <c r="Z368" s="3">
        <f t="shared" si="168"/>
        <v>682463.54034515109</v>
      </c>
    </row>
    <row r="369" spans="1:26" x14ac:dyDescent="0.45">
      <c r="A369">
        <f t="shared" si="170"/>
        <v>357</v>
      </c>
      <c r="B369" s="3">
        <f t="shared" si="151"/>
        <v>7.06164818868724</v>
      </c>
      <c r="C369" s="3">
        <f t="shared" si="171"/>
        <v>2521.0084033613448</v>
      </c>
      <c r="D369" s="3">
        <f t="shared" si="152"/>
        <v>2.9896868720766207E-4</v>
      </c>
      <c r="E369" s="3">
        <f t="shared" si="153"/>
        <v>141.60999999999999</v>
      </c>
      <c r="F369" s="3"/>
      <c r="G369" s="3">
        <f t="shared" si="154"/>
        <v>173503564.91319174</v>
      </c>
      <c r="H369" s="3">
        <f t="shared" si="155"/>
        <v>252100.84033613445</v>
      </c>
      <c r="I369" s="3">
        <f t="shared" si="164"/>
        <v>86752148.758576766</v>
      </c>
      <c r="J369" s="3">
        <f t="shared" si="156"/>
        <v>1.1958646499369411E-3</v>
      </c>
      <c r="K369" s="3">
        <f t="shared" si="165"/>
        <v>8.4447754391423005E-3</v>
      </c>
      <c r="L369" s="3">
        <f t="shared" si="169"/>
        <v>8.444775439142304E-3</v>
      </c>
      <c r="O369" s="9">
        <f t="shared" si="157"/>
        <v>8.4447754396253453E-6</v>
      </c>
      <c r="P369" s="9">
        <f t="shared" si="166"/>
        <v>118415.41108746466</v>
      </c>
      <c r="Q369" s="3">
        <f t="shared" si="158"/>
        <v>836215.03486663837</v>
      </c>
      <c r="R369" s="3">
        <f t="shared" si="159"/>
        <v>118415411.10435393</v>
      </c>
      <c r="S369" s="3">
        <f t="shared" si="160"/>
        <v>118415411.10435393</v>
      </c>
      <c r="T369" s="3"/>
      <c r="U369" s="3"/>
      <c r="V369" s="3">
        <f t="shared" si="161"/>
        <v>4860.0438351034109</v>
      </c>
      <c r="W369" s="3">
        <f t="shared" si="167"/>
        <v>1735035.6491319176</v>
      </c>
      <c r="X369" s="3">
        <f t="shared" si="162"/>
        <v>141.61000000000007</v>
      </c>
      <c r="Y369" s="3">
        <f t="shared" si="163"/>
        <v>141.60999999999999</v>
      </c>
      <c r="Z369" s="3">
        <f t="shared" si="168"/>
        <v>688230.80748899397</v>
      </c>
    </row>
    <row r="370" spans="1:26" x14ac:dyDescent="0.45">
      <c r="A370">
        <f t="shared" si="170"/>
        <v>358</v>
      </c>
      <c r="B370" s="3">
        <f t="shared" si="151"/>
        <v>7.022252738678568</v>
      </c>
      <c r="C370" s="3">
        <f t="shared" si="171"/>
        <v>2513.9664804469276</v>
      </c>
      <c r="D370" s="3">
        <f t="shared" si="152"/>
        <v>2.956422251273768E-4</v>
      </c>
      <c r="E370" s="3">
        <f t="shared" si="153"/>
        <v>142.40444444444447</v>
      </c>
      <c r="F370" s="3"/>
      <c r="G370" s="3">
        <f t="shared" si="154"/>
        <v>174476935.037029</v>
      </c>
      <c r="H370" s="3">
        <f t="shared" si="155"/>
        <v>251396.64804469273</v>
      </c>
      <c r="I370" s="3">
        <f t="shared" si="164"/>
        <v>87238829.74486509</v>
      </c>
      <c r="J370" s="3">
        <f t="shared" si="156"/>
        <v>1.1825590801868568E-3</v>
      </c>
      <c r="K370" s="3">
        <f t="shared" si="165"/>
        <v>8.3042287394913643E-3</v>
      </c>
      <c r="L370" s="3">
        <f t="shared" si="169"/>
        <v>8.304228739491366E-3</v>
      </c>
      <c r="O370" s="9">
        <f t="shared" si="157"/>
        <v>8.3042287399663691E-6</v>
      </c>
      <c r="P370" s="9">
        <f t="shared" si="166"/>
        <v>120419.57502429176</v>
      </c>
      <c r="Q370" s="3">
        <f t="shared" si="158"/>
        <v>845623.7127575808</v>
      </c>
      <c r="R370" s="3">
        <f t="shared" si="159"/>
        <v>120419575.04089996</v>
      </c>
      <c r="S370" s="3">
        <f t="shared" si="160"/>
        <v>120419575.04089998</v>
      </c>
      <c r="T370" s="3"/>
      <c r="U370" s="3"/>
      <c r="V370" s="3">
        <f t="shared" si="161"/>
        <v>4873.6574032689659</v>
      </c>
      <c r="W370" s="3">
        <f t="shared" si="167"/>
        <v>1744769.3503702898</v>
      </c>
      <c r="X370" s="3">
        <f t="shared" si="162"/>
        <v>142.40444444444447</v>
      </c>
      <c r="Y370" s="3">
        <f t="shared" si="163"/>
        <v>142.40444444444447</v>
      </c>
      <c r="Z370" s="3">
        <f t="shared" si="168"/>
        <v>694030.47492507088</v>
      </c>
    </row>
    <row r="371" spans="1:26" x14ac:dyDescent="0.45">
      <c r="A371">
        <f t="shared" si="170"/>
        <v>359</v>
      </c>
      <c r="B371" s="3">
        <f t="shared" si="151"/>
        <v>6.9831860398351964</v>
      </c>
      <c r="C371" s="3">
        <f t="shared" si="171"/>
        <v>2506.9637883008354</v>
      </c>
      <c r="D371" s="3">
        <f t="shared" si="152"/>
        <v>2.9236189929422816E-4</v>
      </c>
      <c r="E371" s="3">
        <f t="shared" si="153"/>
        <v>143.20111111111112</v>
      </c>
      <c r="F371" s="3"/>
      <c r="G371" s="3">
        <f t="shared" si="154"/>
        <v>175453027.87449935</v>
      </c>
      <c r="H371" s="3">
        <f t="shared" si="155"/>
        <v>250696.37883008356</v>
      </c>
      <c r="I371" s="3">
        <f t="shared" si="164"/>
        <v>87726872.144496411</v>
      </c>
      <c r="J371" s="3">
        <f t="shared" si="156"/>
        <v>1.1694380469960272E-3</v>
      </c>
      <c r="K371" s="3">
        <f t="shared" si="165"/>
        <v>8.1664034442347939E-3</v>
      </c>
      <c r="L371" s="3">
        <f t="shared" si="169"/>
        <v>8.1664034442347922E-3</v>
      </c>
      <c r="O371" s="9">
        <f t="shared" si="157"/>
        <v>8.1664034447019147E-6</v>
      </c>
      <c r="P371" s="9">
        <f t="shared" si="166"/>
        <v>122451.92640406666</v>
      </c>
      <c r="Q371" s="3">
        <f t="shared" si="158"/>
        <v>855111.56620184507</v>
      </c>
      <c r="R371" s="3">
        <f t="shared" si="159"/>
        <v>122451926.42039923</v>
      </c>
      <c r="S371" s="3">
        <f t="shared" si="160"/>
        <v>122451926.42039922</v>
      </c>
      <c r="T371" s="3"/>
      <c r="U371" s="3"/>
      <c r="V371" s="3">
        <f t="shared" si="161"/>
        <v>4887.2709714345219</v>
      </c>
      <c r="W371" s="3">
        <f t="shared" si="167"/>
        <v>1754530.2787449933</v>
      </c>
      <c r="X371" s="3">
        <f t="shared" si="162"/>
        <v>143.20111111111112</v>
      </c>
      <c r="Y371" s="3">
        <f t="shared" si="163"/>
        <v>143.20111111111112</v>
      </c>
      <c r="Z371" s="3">
        <f t="shared" si="168"/>
        <v>699862.63341050292</v>
      </c>
    </row>
    <row r="372" spans="1:26" x14ac:dyDescent="0.45">
      <c r="A372">
        <f t="shared" si="170"/>
        <v>360</v>
      </c>
      <c r="B372" s="3">
        <f t="shared" si="151"/>
        <v>6.9444444444444446</v>
      </c>
      <c r="C372" s="3">
        <f t="shared" si="171"/>
        <v>2500</v>
      </c>
      <c r="D372" s="3">
        <f t="shared" si="152"/>
        <v>2.8912694397171596E-4</v>
      </c>
      <c r="E372" s="3">
        <f t="shared" si="153"/>
        <v>144</v>
      </c>
      <c r="F372" s="3"/>
      <c r="G372" s="3">
        <f t="shared" si="154"/>
        <v>176431843.42560279</v>
      </c>
      <c r="H372" s="3">
        <f t="shared" si="155"/>
        <v>250000</v>
      </c>
      <c r="I372" s="3">
        <f t="shared" si="164"/>
        <v>88216275.956532568</v>
      </c>
      <c r="J372" s="3">
        <f t="shared" si="156"/>
        <v>1.1564984876959341E-3</v>
      </c>
      <c r="K372" s="3">
        <f t="shared" si="165"/>
        <v>8.0312394978884327E-3</v>
      </c>
      <c r="L372" s="3">
        <f t="shared" si="169"/>
        <v>8.0312394978884344E-3</v>
      </c>
      <c r="O372" s="9">
        <f t="shared" si="157"/>
        <v>8.0312394983478233E-6</v>
      </c>
      <c r="P372" s="9">
        <f t="shared" si="166"/>
        <v>124512.78149110344</v>
      </c>
      <c r="Q372" s="3">
        <f t="shared" si="158"/>
        <v>864679.03813266277</v>
      </c>
      <c r="R372" s="3">
        <f t="shared" si="159"/>
        <v>124512781.50716566</v>
      </c>
      <c r="S372" s="3">
        <f t="shared" si="160"/>
        <v>124512781.50716566</v>
      </c>
      <c r="T372" s="3"/>
      <c r="U372" s="3"/>
      <c r="V372" s="3">
        <f t="shared" si="161"/>
        <v>4900.884539600077</v>
      </c>
      <c r="W372" s="3">
        <f t="shared" si="167"/>
        <v>1764318.4342560277</v>
      </c>
      <c r="X372" s="3">
        <f t="shared" si="162"/>
        <v>143.99999999999997</v>
      </c>
      <c r="Y372" s="3">
        <f t="shared" si="163"/>
        <v>144</v>
      </c>
      <c r="Z372" s="3">
        <f t="shared" si="168"/>
        <v>705727.37370241107</v>
      </c>
    </row>
    <row r="373" spans="1:26" x14ac:dyDescent="0.45">
      <c r="A373">
        <f t="shared" si="170"/>
        <v>361</v>
      </c>
      <c r="B373" s="3">
        <f t="shared" si="151"/>
        <v>6.9060243552458926</v>
      </c>
      <c r="C373" s="3">
        <f t="shared" si="171"/>
        <v>2493.0747922437672</v>
      </c>
      <c r="D373" s="3">
        <f t="shared" si="152"/>
        <v>2.8593660820974817E-4</v>
      </c>
      <c r="E373" s="3">
        <f t="shared" si="153"/>
        <v>144.80111111111111</v>
      </c>
      <c r="F373" s="3"/>
      <c r="G373" s="3">
        <f t="shared" si="154"/>
        <v>177413381.69033936</v>
      </c>
      <c r="H373" s="3">
        <f t="shared" si="155"/>
        <v>249307.47922437673</v>
      </c>
      <c r="I373" s="3">
        <f t="shared" si="164"/>
        <v>88707041.180053502</v>
      </c>
      <c r="J373" s="3">
        <f t="shared" si="156"/>
        <v>1.1437373987538263E-3</v>
      </c>
      <c r="K373" s="3">
        <f t="shared" si="165"/>
        <v>7.8986783317995073E-3</v>
      </c>
      <c r="L373" s="3">
        <f t="shared" si="169"/>
        <v>7.8986783317995107E-3</v>
      </c>
      <c r="O373" s="9">
        <f t="shared" si="157"/>
        <v>7.8986783322513156E-6</v>
      </c>
      <c r="P373" s="9">
        <f t="shared" si="166"/>
        <v>126602.45920365841</v>
      </c>
      <c r="Q373" s="3">
        <f t="shared" si="158"/>
        <v>874326.57271884475</v>
      </c>
      <c r="R373" s="3">
        <f t="shared" si="159"/>
        <v>126602459.21945554</v>
      </c>
      <c r="S373" s="3">
        <f t="shared" si="160"/>
        <v>126602459.21945551</v>
      </c>
      <c r="T373" s="3"/>
      <c r="U373" s="3"/>
      <c r="V373" s="3">
        <f t="shared" si="161"/>
        <v>4914.498107765633</v>
      </c>
      <c r="W373" s="3">
        <f t="shared" si="167"/>
        <v>1774133.8169033935</v>
      </c>
      <c r="X373" s="3">
        <f t="shared" si="162"/>
        <v>144.80111111111108</v>
      </c>
      <c r="Y373" s="3">
        <f t="shared" si="163"/>
        <v>144.80111111111111</v>
      </c>
      <c r="Z373" s="3">
        <f t="shared" si="168"/>
        <v>711624.78655791678</v>
      </c>
    </row>
    <row r="374" spans="1:26" x14ac:dyDescent="0.45">
      <c r="A374">
        <f t="shared" si="170"/>
        <v>362</v>
      </c>
      <c r="B374" s="3">
        <f t="shared" si="151"/>
        <v>6.8679222245963185</v>
      </c>
      <c r="C374" s="3">
        <f t="shared" si="171"/>
        <v>2486.1878453038671</v>
      </c>
      <c r="D374" s="3">
        <f t="shared" si="152"/>
        <v>2.8279015551922439E-4</v>
      </c>
      <c r="E374" s="3">
        <f t="shared" si="153"/>
        <v>145.60444444444445</v>
      </c>
      <c r="F374" s="3"/>
      <c r="G374" s="3">
        <f t="shared" si="154"/>
        <v>178397642.66870907</v>
      </c>
      <c r="H374" s="3">
        <f t="shared" si="155"/>
        <v>248618.78453038674</v>
      </c>
      <c r="I374" s="3">
        <f t="shared" si="164"/>
        <v>89199167.81415689</v>
      </c>
      <c r="J374" s="3">
        <f t="shared" si="156"/>
        <v>1.1311518344714253E-3</v>
      </c>
      <c r="K374" s="3">
        <f t="shared" si="165"/>
        <v>7.7686628233591976E-3</v>
      </c>
      <c r="L374" s="3">
        <f t="shared" si="169"/>
        <v>7.7686628233591976E-3</v>
      </c>
      <c r="O374" s="9">
        <f t="shared" si="157"/>
        <v>7.7686628238035685E-6</v>
      </c>
      <c r="P374" s="9">
        <f t="shared" si="166"/>
        <v>128721.28112873562</v>
      </c>
      <c r="Q374" s="3">
        <f t="shared" si="158"/>
        <v>884054.61536477867</v>
      </c>
      <c r="R374" s="3">
        <f t="shared" si="159"/>
        <v>128721281.14427271</v>
      </c>
      <c r="S374" s="3">
        <f t="shared" si="160"/>
        <v>128721281.1442727</v>
      </c>
      <c r="T374" s="3"/>
      <c r="U374" s="3"/>
      <c r="V374" s="3">
        <f t="shared" si="161"/>
        <v>4928.111675931189</v>
      </c>
      <c r="W374" s="3">
        <f t="shared" si="167"/>
        <v>1783976.4266870904</v>
      </c>
      <c r="X374" s="3">
        <f t="shared" si="162"/>
        <v>145.60444444444445</v>
      </c>
      <c r="Y374" s="3">
        <f t="shared" si="163"/>
        <v>145.60444444444445</v>
      </c>
      <c r="Z374" s="3">
        <f t="shared" si="168"/>
        <v>717554.9627341408</v>
      </c>
    </row>
    <row r="375" spans="1:26" x14ac:dyDescent="0.45">
      <c r="A375">
        <f t="shared" si="170"/>
        <v>363</v>
      </c>
      <c r="B375" s="3">
        <f t="shared" si="151"/>
        <v>6.8301345536507068</v>
      </c>
      <c r="C375" s="3">
        <f t="shared" si="171"/>
        <v>2479.3388429752067</v>
      </c>
      <c r="D375" s="3">
        <f t="shared" si="152"/>
        <v>2.7968686355465261E-4</v>
      </c>
      <c r="E375" s="3">
        <f t="shared" si="153"/>
        <v>146.41000000000003</v>
      </c>
      <c r="F375" s="3"/>
      <c r="G375" s="3">
        <f t="shared" si="154"/>
        <v>179384626.36071184</v>
      </c>
      <c r="H375" s="3">
        <f t="shared" si="155"/>
        <v>247933.88429752065</v>
      </c>
      <c r="I375" s="3">
        <f t="shared" si="164"/>
        <v>89692655.857957691</v>
      </c>
      <c r="J375" s="3">
        <f t="shared" si="156"/>
        <v>1.1187389057157571E-3</v>
      </c>
      <c r="K375" s="3">
        <f t="shared" si="165"/>
        <v>7.641137256442573E-3</v>
      </c>
      <c r="L375" s="3">
        <f t="shared" si="169"/>
        <v>7.6411372564425756E-3</v>
      </c>
      <c r="O375" s="9">
        <f t="shared" si="157"/>
        <v>7.6411372568796497E-6</v>
      </c>
      <c r="P375" s="9">
        <f t="shared" si="166"/>
        <v>130869.57153693402</v>
      </c>
      <c r="Q375" s="3">
        <f t="shared" si="158"/>
        <v>893863.6127104297</v>
      </c>
      <c r="R375" s="3">
        <f t="shared" si="159"/>
        <v>130869571.55221607</v>
      </c>
      <c r="S375" s="3">
        <f t="shared" si="160"/>
        <v>130869571.55221605</v>
      </c>
      <c r="T375" s="3"/>
      <c r="U375" s="3"/>
      <c r="V375" s="3">
        <f t="shared" si="161"/>
        <v>4941.725244096745</v>
      </c>
      <c r="W375" s="3">
        <f t="shared" si="167"/>
        <v>1793846.2636071185</v>
      </c>
      <c r="X375" s="3">
        <f t="shared" si="162"/>
        <v>146.41000000000003</v>
      </c>
      <c r="Y375" s="3">
        <f t="shared" si="163"/>
        <v>146.41000000000003</v>
      </c>
      <c r="Z375" s="3">
        <f t="shared" si="168"/>
        <v>723517.99298820458</v>
      </c>
    </row>
    <row r="376" spans="1:26" x14ac:dyDescent="0.45">
      <c r="A376">
        <f t="shared" si="170"/>
        <v>364</v>
      </c>
      <c r="B376" s="3">
        <f t="shared" si="151"/>
        <v>6.7926578915589904</v>
      </c>
      <c r="C376" s="3">
        <f t="shared" si="171"/>
        <v>2472.5274725274726</v>
      </c>
      <c r="D376" s="3">
        <f t="shared" si="152"/>
        <v>2.7662602380458203E-4</v>
      </c>
      <c r="E376" s="3">
        <f t="shared" si="153"/>
        <v>147.2177777777778</v>
      </c>
      <c r="F376" s="3"/>
      <c r="G376" s="3">
        <f t="shared" si="154"/>
        <v>180374332.76634774</v>
      </c>
      <c r="H376" s="3">
        <f t="shared" si="155"/>
        <v>247252.74725274724</v>
      </c>
      <c r="I376" s="3">
        <f t="shared" si="164"/>
        <v>90187505.310587853</v>
      </c>
      <c r="J376" s="3">
        <f t="shared" si="156"/>
        <v>1.1064957786812292E-3</v>
      </c>
      <c r="K376" s="3">
        <f t="shared" si="165"/>
        <v>7.5160472830357612E-3</v>
      </c>
      <c r="L376" s="3">
        <f t="shared" si="169"/>
        <v>7.5160472830357646E-3</v>
      </c>
      <c r="O376" s="9">
        <f t="shared" si="157"/>
        <v>7.516047283465682E-6</v>
      </c>
      <c r="P376" s="9">
        <f t="shared" si="166"/>
        <v>133047.65739733554</v>
      </c>
      <c r="Q376" s="3">
        <f t="shared" si="158"/>
        <v>903754.01263133972</v>
      </c>
      <c r="R376" s="3">
        <f t="shared" si="159"/>
        <v>133047657.41236743</v>
      </c>
      <c r="S376" s="3">
        <f t="shared" si="160"/>
        <v>133047657.4123674</v>
      </c>
      <c r="T376" s="3"/>
      <c r="U376" s="3"/>
      <c r="V376" s="3">
        <f t="shared" si="161"/>
        <v>4955.338812262301</v>
      </c>
      <c r="W376" s="3">
        <f t="shared" si="167"/>
        <v>1803743.3276634775</v>
      </c>
      <c r="X376" s="3">
        <f t="shared" si="162"/>
        <v>147.2177777777778</v>
      </c>
      <c r="Y376" s="3">
        <f t="shared" si="163"/>
        <v>147.2177777777778</v>
      </c>
      <c r="Z376" s="3">
        <f t="shared" si="168"/>
        <v>729513.96807722875</v>
      </c>
    </row>
    <row r="377" spans="1:26" x14ac:dyDescent="0.45">
      <c r="A377">
        <f t="shared" si="170"/>
        <v>365</v>
      </c>
      <c r="B377" s="3">
        <f t="shared" si="151"/>
        <v>6.7554888346781761</v>
      </c>
      <c r="C377" s="3">
        <f t="shared" si="171"/>
        <v>2465.7534246575342</v>
      </c>
      <c r="D377" s="3">
        <f t="shared" si="152"/>
        <v>2.7360694128963702E-4</v>
      </c>
      <c r="E377" s="3">
        <f t="shared" si="153"/>
        <v>148.02777777777777</v>
      </c>
      <c r="F377" s="3"/>
      <c r="G377" s="3">
        <f t="shared" si="154"/>
        <v>181366761.88561675</v>
      </c>
      <c r="H377" s="3">
        <f t="shared" si="155"/>
        <v>246575.34246575343</v>
      </c>
      <c r="I377" s="3">
        <f t="shared" si="164"/>
        <v>90683716.17119588</v>
      </c>
      <c r="J377" s="3">
        <f t="shared" si="156"/>
        <v>1.0944196736820996E-3</v>
      </c>
      <c r="K377" s="3">
        <f t="shared" si="165"/>
        <v>7.3933398860115563E-3</v>
      </c>
      <c r="L377" s="3">
        <f t="shared" si="169"/>
        <v>7.3933398860115554E-3</v>
      </c>
      <c r="O377" s="9">
        <f t="shared" si="157"/>
        <v>7.3933398864344585E-6</v>
      </c>
      <c r="P377" s="9">
        <f t="shared" si="166"/>
        <v>135255.8683924342</v>
      </c>
      <c r="Q377" s="3">
        <f t="shared" si="158"/>
        <v>913726.26423862472</v>
      </c>
      <c r="R377" s="3">
        <f t="shared" si="159"/>
        <v>135255868.40722066</v>
      </c>
      <c r="S377" s="3">
        <f t="shared" si="160"/>
        <v>135255868.40722066</v>
      </c>
      <c r="T377" s="3"/>
      <c r="U377" s="3"/>
      <c r="V377" s="3">
        <f t="shared" si="161"/>
        <v>4968.952380427856</v>
      </c>
      <c r="W377" s="3">
        <f t="shared" si="167"/>
        <v>1813667.6188561674</v>
      </c>
      <c r="X377" s="3">
        <f t="shared" si="162"/>
        <v>148.02777777777777</v>
      </c>
      <c r="Y377" s="3">
        <f t="shared" si="163"/>
        <v>148.02777777777777</v>
      </c>
      <c r="Z377" s="3">
        <f t="shared" si="168"/>
        <v>735542.97875833453</v>
      </c>
    </row>
    <row r="378" spans="1:26" x14ac:dyDescent="0.45">
      <c r="A378">
        <f t="shared" si="170"/>
        <v>366</v>
      </c>
      <c r="B378" s="3">
        <f t="shared" si="151"/>
        <v>6.7186240257995165</v>
      </c>
      <c r="C378" s="3">
        <f t="shared" si="171"/>
        <v>2459.0163934426232</v>
      </c>
      <c r="D378" s="3">
        <f t="shared" si="152"/>
        <v>2.7062893426794651E-4</v>
      </c>
      <c r="E378" s="3">
        <f t="shared" si="153"/>
        <v>148.83999999999997</v>
      </c>
      <c r="F378" s="3"/>
      <c r="G378" s="3">
        <f t="shared" si="154"/>
        <v>182361913.71851888</v>
      </c>
      <c r="H378" s="3">
        <f t="shared" si="155"/>
        <v>245901.63934426231</v>
      </c>
      <c r="I378" s="3">
        <f t="shared" si="164"/>
        <v>91181288.43894653</v>
      </c>
      <c r="J378" s="3">
        <f t="shared" si="156"/>
        <v>1.0825078639745119E-3</v>
      </c>
      <c r="K378" s="3">
        <f t="shared" si="165"/>
        <v>7.2729633430160699E-3</v>
      </c>
      <c r="L378" s="3">
        <f t="shared" si="169"/>
        <v>7.2729633430160716E-3</v>
      </c>
      <c r="O378" s="9">
        <f t="shared" si="157"/>
        <v>7.2729633434320861E-6</v>
      </c>
      <c r="P378" s="9">
        <f t="shared" si="166"/>
        <v>137494.53693310704</v>
      </c>
      <c r="Q378" s="3">
        <f t="shared" si="158"/>
        <v>923780.81787897774</v>
      </c>
      <c r="R378" s="3">
        <f t="shared" si="159"/>
        <v>137494536.94765273</v>
      </c>
      <c r="S378" s="3">
        <f t="shared" si="160"/>
        <v>137494536.94765276</v>
      </c>
      <c r="T378" s="3"/>
      <c r="U378" s="3"/>
      <c r="V378" s="3">
        <f t="shared" si="161"/>
        <v>4982.565948593412</v>
      </c>
      <c r="W378" s="3">
        <f t="shared" si="167"/>
        <v>1823619.1371851887</v>
      </c>
      <c r="X378" s="3">
        <f t="shared" si="162"/>
        <v>148.84</v>
      </c>
      <c r="Y378" s="3">
        <f t="shared" si="163"/>
        <v>148.83999999999997</v>
      </c>
      <c r="Z378" s="3">
        <f t="shared" si="168"/>
        <v>741605.11578864336</v>
      </c>
    </row>
    <row r="379" spans="1:26" x14ac:dyDescent="0.45">
      <c r="A379">
        <f t="shared" si="170"/>
        <v>367</v>
      </c>
      <c r="B379" s="3">
        <f t="shared" si="151"/>
        <v>6.6820601533904034</v>
      </c>
      <c r="C379" s="3">
        <f t="shared" si="171"/>
        <v>2452.316076294278</v>
      </c>
      <c r="D379" s="3">
        <f t="shared" si="152"/>
        <v>2.6769133394776736E-4</v>
      </c>
      <c r="E379" s="3">
        <f t="shared" si="153"/>
        <v>149.65444444444444</v>
      </c>
      <c r="F379" s="3"/>
      <c r="G379" s="3">
        <f t="shared" si="154"/>
        <v>183359788.26505411</v>
      </c>
      <c r="H379" s="3">
        <f t="shared" si="155"/>
        <v>245231.6076294278</v>
      </c>
      <c r="I379" s="3">
        <f t="shared" si="164"/>
        <v>91680222.113020375</v>
      </c>
      <c r="J379" s="3">
        <f t="shared" si="156"/>
        <v>1.0707576746072985E-3</v>
      </c>
      <c r="K379" s="3">
        <f t="shared" si="165"/>
        <v>7.1548671914303964E-3</v>
      </c>
      <c r="L379" s="3">
        <f t="shared" si="169"/>
        <v>7.1548671914303964E-3</v>
      </c>
      <c r="O379" s="9">
        <f t="shared" si="157"/>
        <v>7.1548671918396578E-6</v>
      </c>
      <c r="P379" s="9">
        <f t="shared" si="166"/>
        <v>139763.99817362512</v>
      </c>
      <c r="Q379" s="3">
        <f t="shared" si="158"/>
        <v>933918.12513466296</v>
      </c>
      <c r="R379" s="3">
        <f t="shared" si="159"/>
        <v>139763998.18793464</v>
      </c>
      <c r="S379" s="3">
        <f t="shared" si="160"/>
        <v>139763998.18793461</v>
      </c>
      <c r="T379" s="3"/>
      <c r="U379" s="3"/>
      <c r="V379" s="3">
        <f t="shared" si="161"/>
        <v>4996.179516758968</v>
      </c>
      <c r="W379" s="3">
        <f t="shared" si="167"/>
        <v>1833597.8826505414</v>
      </c>
      <c r="X379" s="3">
        <f t="shared" si="162"/>
        <v>149.65444444444444</v>
      </c>
      <c r="Y379" s="3">
        <f t="shared" si="163"/>
        <v>149.65444444444444</v>
      </c>
      <c r="Z379" s="3">
        <f t="shared" si="168"/>
        <v>747700.46992527624</v>
      </c>
    </row>
    <row r="380" spans="1:26" x14ac:dyDescent="0.45">
      <c r="A380">
        <f t="shared" si="170"/>
        <v>368</v>
      </c>
      <c r="B380" s="3">
        <f t="shared" si="151"/>
        <v>6.6457939508506616</v>
      </c>
      <c r="C380" s="3">
        <f t="shared" si="171"/>
        <v>2445.6521739130435</v>
      </c>
      <c r="D380" s="3">
        <f t="shared" si="152"/>
        <v>2.6479348420710723E-4</v>
      </c>
      <c r="E380" s="3">
        <f t="shared" si="153"/>
        <v>150.4711111111111</v>
      </c>
      <c r="F380" s="3"/>
      <c r="G380" s="3">
        <f t="shared" si="154"/>
        <v>184360385.52522248</v>
      </c>
      <c r="H380" s="3">
        <f t="shared" si="155"/>
        <v>244565.21739130435</v>
      </c>
      <c r="I380" s="3">
        <f t="shared" si="164"/>
        <v>92180517.192613557</v>
      </c>
      <c r="J380" s="3">
        <f t="shared" si="156"/>
        <v>1.0591664813007632E-3</v>
      </c>
      <c r="K380" s="3">
        <f t="shared" si="165"/>
        <v>7.0390021943723922E-3</v>
      </c>
      <c r="L380" s="3">
        <f t="shared" si="169"/>
        <v>7.0390021943723948E-3</v>
      </c>
      <c r="O380" s="9">
        <f t="shared" si="157"/>
        <v>7.0390021947750258E-6</v>
      </c>
      <c r="P380" s="9">
        <f t="shared" si="166"/>
        <v>142064.59002670707</v>
      </c>
      <c r="Q380" s="3">
        <f t="shared" si="158"/>
        <v>944138.63882351993</v>
      </c>
      <c r="R380" s="3">
        <f t="shared" si="159"/>
        <v>142064590.04078484</v>
      </c>
      <c r="S380" s="3">
        <f t="shared" si="160"/>
        <v>142064590.04078484</v>
      </c>
      <c r="T380" s="3"/>
      <c r="U380" s="3"/>
      <c r="V380" s="3">
        <f t="shared" si="161"/>
        <v>5009.793084924524</v>
      </c>
      <c r="W380" s="3">
        <f t="shared" si="167"/>
        <v>1843603.855252225</v>
      </c>
      <c r="X380" s="3">
        <f t="shared" si="162"/>
        <v>150.47111111111113</v>
      </c>
      <c r="Y380" s="3">
        <f t="shared" si="163"/>
        <v>150.4711111111111</v>
      </c>
      <c r="Z380" s="3">
        <f t="shared" si="168"/>
        <v>753829.13192535413</v>
      </c>
    </row>
    <row r="381" spans="1:26" x14ac:dyDescent="0.45">
      <c r="A381">
        <f t="shared" si="170"/>
        <v>369</v>
      </c>
      <c r="B381" s="3">
        <f t="shared" si="151"/>
        <v>6.6098221957829333</v>
      </c>
      <c r="C381" s="3">
        <f t="shared" si="171"/>
        <v>2439.0243902439024</v>
      </c>
      <c r="D381" s="3">
        <f t="shared" si="152"/>
        <v>2.619347413201586E-4</v>
      </c>
      <c r="E381" s="3">
        <f t="shared" si="153"/>
        <v>151.29</v>
      </c>
      <c r="F381" s="3"/>
      <c r="G381" s="3">
        <f t="shared" si="154"/>
        <v>185363705.49902394</v>
      </c>
      <c r="H381" s="3">
        <f t="shared" si="155"/>
        <v>243902.43902439025</v>
      </c>
      <c r="I381" s="3">
        <f t="shared" si="164"/>
        <v>92682173.676937371</v>
      </c>
      <c r="J381" s="3">
        <f t="shared" si="156"/>
        <v>1.0477317093527008E-3</v>
      </c>
      <c r="K381" s="3">
        <f t="shared" si="165"/>
        <v>6.9253203077050745E-3</v>
      </c>
      <c r="L381" s="3">
        <f t="shared" si="169"/>
        <v>6.9253203077050771E-3</v>
      </c>
      <c r="O381" s="9">
        <f t="shared" si="157"/>
        <v>6.9253203081012052E-6</v>
      </c>
      <c r="P381" s="9">
        <f t="shared" si="166"/>
        <v>144396.65317861256</v>
      </c>
      <c r="Q381" s="3">
        <f t="shared" si="158"/>
        <v>954442.81299895933</v>
      </c>
      <c r="R381" s="3">
        <f t="shared" si="159"/>
        <v>144396653.19246298</v>
      </c>
      <c r="S381" s="3">
        <f t="shared" si="160"/>
        <v>144396653.19246298</v>
      </c>
      <c r="T381" s="3"/>
      <c r="U381" s="3"/>
      <c r="V381" s="3">
        <f t="shared" si="161"/>
        <v>5023.40665309008</v>
      </c>
      <c r="W381" s="3">
        <f t="shared" si="167"/>
        <v>1853637.0549902394</v>
      </c>
      <c r="X381" s="3">
        <f t="shared" si="162"/>
        <v>151.29000000000002</v>
      </c>
      <c r="Y381" s="3">
        <f t="shared" si="163"/>
        <v>151.29</v>
      </c>
      <c r="Z381" s="3">
        <f t="shared" si="168"/>
        <v>759991.19254599814</v>
      </c>
    </row>
    <row r="382" spans="1:26" x14ac:dyDescent="0.45">
      <c r="A382">
        <f t="shared" si="170"/>
        <v>370</v>
      </c>
      <c r="B382" s="3">
        <f t="shared" si="151"/>
        <v>6.5741417092768444</v>
      </c>
      <c r="C382" s="3">
        <f t="shared" si="171"/>
        <v>2432.4324324324325</v>
      </c>
      <c r="D382" s="3">
        <f t="shared" si="152"/>
        <v>2.5911447369035941E-4</v>
      </c>
      <c r="E382" s="3">
        <f t="shared" si="153"/>
        <v>152.11111111111109</v>
      </c>
      <c r="F382" s="3"/>
      <c r="G382" s="3">
        <f t="shared" si="154"/>
        <v>186369748.1864585</v>
      </c>
      <c r="H382" s="3">
        <f t="shared" si="155"/>
        <v>243243.24324324325</v>
      </c>
      <c r="I382" s="3">
        <f t="shared" si="164"/>
        <v>93185191.565217972</v>
      </c>
      <c r="J382" s="3">
        <f t="shared" si="156"/>
        <v>1.0364508325709104E-3</v>
      </c>
      <c r="K382" s="3">
        <f t="shared" si="165"/>
        <v>6.813774648019133E-3</v>
      </c>
      <c r="L382" s="3">
        <f t="shared" si="169"/>
        <v>6.813774648019133E-3</v>
      </c>
      <c r="O382" s="9">
        <f t="shared" si="157"/>
        <v>6.8137746484088834E-6</v>
      </c>
      <c r="P382" s="9">
        <f t="shared" si="166"/>
        <v>146760.53110427782</v>
      </c>
      <c r="Q382" s="3">
        <f t="shared" si="158"/>
        <v>964831.10294996377</v>
      </c>
      <c r="R382" s="3">
        <f t="shared" si="159"/>
        <v>146760531.11790514</v>
      </c>
      <c r="S382" s="3">
        <f t="shared" si="160"/>
        <v>146760531.1179052</v>
      </c>
      <c r="T382" s="3"/>
      <c r="U382" s="3"/>
      <c r="V382" s="3">
        <f t="shared" si="161"/>
        <v>5037.020221255636</v>
      </c>
      <c r="W382" s="3">
        <f t="shared" si="167"/>
        <v>1863697.4818645853</v>
      </c>
      <c r="X382" s="3">
        <f t="shared" si="162"/>
        <v>152.11111111111117</v>
      </c>
      <c r="Y382" s="3">
        <f t="shared" si="163"/>
        <v>152.11111111111109</v>
      </c>
      <c r="Z382" s="3">
        <f t="shared" si="168"/>
        <v>766186.74254432938</v>
      </c>
    </row>
    <row r="383" spans="1:26" x14ac:dyDescent="0.45">
      <c r="A383">
        <f t="shared" si="170"/>
        <v>371</v>
      </c>
      <c r="B383" s="3">
        <f t="shared" si="151"/>
        <v>6.5387493552066607</v>
      </c>
      <c r="C383" s="3">
        <f t="shared" si="171"/>
        <v>2425.8760107816711</v>
      </c>
      <c r="D383" s="3">
        <f t="shared" si="152"/>
        <v>2.5633206158990338E-4</v>
      </c>
      <c r="E383" s="3">
        <f t="shared" si="153"/>
        <v>152.93444444444444</v>
      </c>
      <c r="F383" s="3"/>
      <c r="G383" s="3">
        <f t="shared" si="154"/>
        <v>187378513.5875262</v>
      </c>
      <c r="H383" s="3">
        <f t="shared" si="155"/>
        <v>242587.60107816712</v>
      </c>
      <c r="I383" s="3">
        <f t="shared" si="164"/>
        <v>93689570.856696114</v>
      </c>
      <c r="J383" s="3">
        <f t="shared" si="156"/>
        <v>1.0253213722314968E-3</v>
      </c>
      <c r="K383" s="3">
        <f t="shared" si="165"/>
        <v>6.7043194615583083E-3</v>
      </c>
      <c r="L383" s="3">
        <f t="shared" si="169"/>
        <v>6.7043194615583101E-3</v>
      </c>
      <c r="O383" s="9">
        <f t="shared" si="157"/>
        <v>6.7043194619417978E-6</v>
      </c>
      <c r="P383" s="9">
        <f t="shared" si="166"/>
        <v>149156.5700824922</v>
      </c>
      <c r="Q383" s="3">
        <f t="shared" si="158"/>
        <v>975303.96520108811</v>
      </c>
      <c r="R383" s="3">
        <f t="shared" si="159"/>
        <v>149156570.09590065</v>
      </c>
      <c r="S383" s="3">
        <f t="shared" si="160"/>
        <v>149156570.0959006</v>
      </c>
      <c r="T383" s="3"/>
      <c r="U383" s="3"/>
      <c r="V383" s="3">
        <f t="shared" si="161"/>
        <v>5050.6337894211911</v>
      </c>
      <c r="W383" s="3">
        <f t="shared" si="167"/>
        <v>1873785.1358752619</v>
      </c>
      <c r="X383" s="3">
        <f t="shared" si="162"/>
        <v>152.93444444444447</v>
      </c>
      <c r="Y383" s="3">
        <f t="shared" si="163"/>
        <v>152.93444444444444</v>
      </c>
      <c r="Z383" s="3">
        <f t="shared" si="168"/>
        <v>772415.87267746904</v>
      </c>
    </row>
    <row r="384" spans="1:26" x14ac:dyDescent="0.45">
      <c r="A384">
        <f t="shared" si="170"/>
        <v>372</v>
      </c>
      <c r="B384" s="3">
        <f t="shared" si="151"/>
        <v>6.5036420395421439</v>
      </c>
      <c r="C384" s="3">
        <f t="shared" si="171"/>
        <v>2419.3548387096776</v>
      </c>
      <c r="D384" s="3">
        <f t="shared" si="152"/>
        <v>2.535868969055278E-4</v>
      </c>
      <c r="E384" s="3">
        <f t="shared" si="153"/>
        <v>153.76000000000002</v>
      </c>
      <c r="F384" s="3"/>
      <c r="G384" s="3">
        <f t="shared" si="154"/>
        <v>188390001.70222697</v>
      </c>
      <c r="H384" s="3">
        <f t="shared" si="155"/>
        <v>241935.48387096773</v>
      </c>
      <c r="I384" s="3">
        <f t="shared" si="164"/>
        <v>94195311.550626695</v>
      </c>
      <c r="J384" s="3">
        <f t="shared" si="156"/>
        <v>1.0143408960622713E-3</v>
      </c>
      <c r="K384" s="3">
        <f t="shared" si="165"/>
        <v>6.5969100940574364E-3</v>
      </c>
      <c r="L384" s="3">
        <f t="shared" si="169"/>
        <v>6.5969100940574399E-3</v>
      </c>
      <c r="O384" s="9">
        <f t="shared" si="157"/>
        <v>6.5969100944347819E-6</v>
      </c>
      <c r="P384" s="9">
        <f t="shared" si="166"/>
        <v>151585.11921111518</v>
      </c>
      <c r="Q384" s="3">
        <f t="shared" si="158"/>
        <v>985861.85751245567</v>
      </c>
      <c r="R384" s="3">
        <f t="shared" si="159"/>
        <v>151585119.22430882</v>
      </c>
      <c r="S384" s="3">
        <f t="shared" si="160"/>
        <v>151585119.22430882</v>
      </c>
      <c r="T384" s="3"/>
      <c r="U384" s="3"/>
      <c r="V384" s="3">
        <f t="shared" si="161"/>
        <v>5064.2473575867461</v>
      </c>
      <c r="W384" s="3">
        <f t="shared" si="167"/>
        <v>1883900.0170222695</v>
      </c>
      <c r="X384" s="3">
        <f t="shared" si="162"/>
        <v>153.75999999999996</v>
      </c>
      <c r="Y384" s="3">
        <f t="shared" si="163"/>
        <v>153.76000000000002</v>
      </c>
      <c r="Z384" s="3">
        <f t="shared" si="168"/>
        <v>778678.67370253813</v>
      </c>
    </row>
    <row r="385" spans="1:26" x14ac:dyDescent="0.45">
      <c r="A385">
        <f t="shared" si="170"/>
        <v>373</v>
      </c>
      <c r="B385" s="3">
        <f t="shared" si="151"/>
        <v>6.4688167096723186</v>
      </c>
      <c r="C385" s="3">
        <f t="shared" si="171"/>
        <v>2412.8686327077749</v>
      </c>
      <c r="D385" s="3">
        <f t="shared" si="152"/>
        <v>2.5087838289040895E-4</v>
      </c>
      <c r="E385" s="3">
        <f t="shared" si="153"/>
        <v>154.58777777777777</v>
      </c>
      <c r="F385" s="3"/>
      <c r="G385" s="3">
        <f t="shared" si="154"/>
        <v>189404212.53056088</v>
      </c>
      <c r="H385" s="3">
        <f t="shared" si="155"/>
        <v>241286.86327077748</v>
      </c>
      <c r="I385" s="3">
        <f t="shared" si="164"/>
        <v>94702413.646278605</v>
      </c>
      <c r="J385" s="3">
        <f t="shared" si="156"/>
        <v>1.0035070172505736E-3</v>
      </c>
      <c r="K385" s="3">
        <f t="shared" si="165"/>
        <v>6.4915029614639385E-3</v>
      </c>
      <c r="L385" s="3">
        <f t="shared" si="169"/>
        <v>6.4915029614639394E-3</v>
      </c>
      <c r="O385" s="9">
        <f t="shared" si="157"/>
        <v>6.4915029618352554E-6</v>
      </c>
      <c r="P385" s="9">
        <f t="shared" si="166"/>
        <v>154046.53042233587</v>
      </c>
      <c r="Q385" s="3">
        <f t="shared" si="158"/>
        <v>996505.23887976108</v>
      </c>
      <c r="R385" s="3">
        <f t="shared" si="159"/>
        <v>154046530.43531868</v>
      </c>
      <c r="S385" s="3">
        <f t="shared" si="160"/>
        <v>154046530.43531868</v>
      </c>
      <c r="T385" s="3"/>
      <c r="U385" s="3"/>
      <c r="V385" s="3">
        <f t="shared" si="161"/>
        <v>5077.8609257523021</v>
      </c>
      <c r="W385" s="3">
        <f t="shared" si="167"/>
        <v>1894042.1253056086</v>
      </c>
      <c r="X385" s="3">
        <f t="shared" si="162"/>
        <v>154.58777777777777</v>
      </c>
      <c r="Y385" s="3">
        <f t="shared" si="163"/>
        <v>154.58777777777777</v>
      </c>
      <c r="Z385" s="3">
        <f t="shared" si="168"/>
        <v>784975.23637665785</v>
      </c>
    </row>
    <row r="386" spans="1:26" x14ac:dyDescent="0.45">
      <c r="A386">
        <f t="shared" si="170"/>
        <v>374</v>
      </c>
      <c r="B386" s="3">
        <f t="shared" si="151"/>
        <v>6.4342703537418853</v>
      </c>
      <c r="C386" s="3">
        <f t="shared" si="171"/>
        <v>2406.4171122994653</v>
      </c>
      <c r="D386" s="3">
        <f t="shared" si="152"/>
        <v>2.4820593392200553E-4</v>
      </c>
      <c r="E386" s="3">
        <f t="shared" si="153"/>
        <v>155.41777777777779</v>
      </c>
      <c r="F386" s="3"/>
      <c r="G386" s="3">
        <f t="shared" si="154"/>
        <v>190421146.07252792</v>
      </c>
      <c r="H386" s="3">
        <f t="shared" si="155"/>
        <v>240641.71122994652</v>
      </c>
      <c r="I386" s="3">
        <f t="shared" si="164"/>
        <v>95210877.142934352</v>
      </c>
      <c r="J386" s="3">
        <f t="shared" si="156"/>
        <v>9.9281739347487487E-4</v>
      </c>
      <c r="K386" s="3">
        <f t="shared" si="165"/>
        <v>6.3880555215146797E-3</v>
      </c>
      <c r="L386" s="3">
        <f t="shared" si="169"/>
        <v>6.3880555215146823E-3</v>
      </c>
      <c r="O386" s="9">
        <f t="shared" si="157"/>
        <v>6.3880555218800789E-6</v>
      </c>
      <c r="P386" s="9">
        <f t="shared" si="166"/>
        <v>156541.15849797253</v>
      </c>
      <c r="Q386" s="3">
        <f t="shared" si="158"/>
        <v>1007234.569534268</v>
      </c>
      <c r="R386" s="3">
        <f t="shared" si="159"/>
        <v>156541158.51074845</v>
      </c>
      <c r="S386" s="3">
        <f t="shared" si="160"/>
        <v>156541158.51074848</v>
      </c>
      <c r="T386" s="3"/>
      <c r="U386" s="3"/>
      <c r="V386" s="3">
        <f t="shared" si="161"/>
        <v>5091.4744939178581</v>
      </c>
      <c r="W386" s="3">
        <f t="shared" si="167"/>
        <v>1904211.4607252788</v>
      </c>
      <c r="X386" s="3">
        <f t="shared" si="162"/>
        <v>155.41777777777776</v>
      </c>
      <c r="Y386" s="3">
        <f t="shared" si="163"/>
        <v>155.41777777777779</v>
      </c>
      <c r="Z386" s="3">
        <f t="shared" si="168"/>
        <v>791305.6514569493</v>
      </c>
    </row>
    <row r="387" spans="1:26" x14ac:dyDescent="0.45">
      <c r="A387">
        <f t="shared" si="170"/>
        <v>375</v>
      </c>
      <c r="B387" s="3">
        <f t="shared" si="151"/>
        <v>6.4</v>
      </c>
      <c r="C387" s="3">
        <f t="shared" si="171"/>
        <v>2400</v>
      </c>
      <c r="D387" s="3">
        <f t="shared" si="152"/>
        <v>2.455689752656897E-4</v>
      </c>
      <c r="E387" s="3">
        <f t="shared" si="153"/>
        <v>156.25</v>
      </c>
      <c r="F387" s="3"/>
      <c r="G387" s="3">
        <f t="shared" si="154"/>
        <v>191440802.32812801</v>
      </c>
      <c r="H387" s="3">
        <f t="shared" si="155"/>
        <v>240000</v>
      </c>
      <c r="I387" s="3">
        <f t="shared" si="164"/>
        <v>95720702.039889708</v>
      </c>
      <c r="J387" s="3">
        <f t="shared" si="156"/>
        <v>9.8226972595952581E-4</v>
      </c>
      <c r="K387" s="3">
        <f t="shared" si="165"/>
        <v>6.2865262461409659E-3</v>
      </c>
      <c r="L387" s="3">
        <f t="shared" si="169"/>
        <v>6.2865262461409659E-3</v>
      </c>
      <c r="O387" s="9">
        <f t="shared" si="157"/>
        <v>6.2865262465005579E-6</v>
      </c>
      <c r="P387" s="9">
        <f t="shared" si="166"/>
        <v>159069.36108481334</v>
      </c>
      <c r="Q387" s="3">
        <f t="shared" si="158"/>
        <v>1018050.3109428054</v>
      </c>
      <c r="R387" s="3">
        <f t="shared" si="159"/>
        <v>159069361.09738621</v>
      </c>
      <c r="S387" s="3">
        <f t="shared" si="160"/>
        <v>159069361.09738621</v>
      </c>
      <c r="T387" s="3"/>
      <c r="U387" s="3"/>
      <c r="V387" s="3">
        <f t="shared" si="161"/>
        <v>5105.0880620834141</v>
      </c>
      <c r="W387" s="3">
        <f t="shared" si="167"/>
        <v>1914408.0232812802</v>
      </c>
      <c r="X387" s="3">
        <f t="shared" si="162"/>
        <v>156.25000000000003</v>
      </c>
      <c r="Y387" s="3">
        <f t="shared" si="163"/>
        <v>156.25</v>
      </c>
      <c r="Z387" s="3">
        <f t="shared" si="168"/>
        <v>797670.00970053347</v>
      </c>
    </row>
    <row r="388" spans="1:26" x14ac:dyDescent="0.45">
      <c r="A388">
        <f t="shared" si="170"/>
        <v>376</v>
      </c>
      <c r="B388" s="3">
        <f t="shared" si="151"/>
        <v>6.3660027161611588</v>
      </c>
      <c r="C388" s="3">
        <f t="shared" si="171"/>
        <v>2393.6170212765956</v>
      </c>
      <c r="D388" s="3">
        <f t="shared" si="152"/>
        <v>2.4296694284401332E-4</v>
      </c>
      <c r="E388" s="3">
        <f t="shared" si="153"/>
        <v>157.08444444444444</v>
      </c>
      <c r="F388" s="3"/>
      <c r="G388" s="3">
        <f t="shared" si="154"/>
        <v>192463181.29736128</v>
      </c>
      <c r="H388" s="3">
        <f t="shared" si="155"/>
        <v>239361.70212765958</v>
      </c>
      <c r="I388" s="3">
        <f t="shared" si="164"/>
        <v>96231888.336453661</v>
      </c>
      <c r="J388" s="3">
        <f t="shared" si="156"/>
        <v>9.7186175855202867E-4</v>
      </c>
      <c r="K388" s="3">
        <f t="shared" si="165"/>
        <v>6.1868745946753751E-3</v>
      </c>
      <c r="L388" s="3">
        <f t="shared" si="169"/>
        <v>6.1868745946753777E-3</v>
      </c>
      <c r="O388" s="9">
        <f t="shared" si="157"/>
        <v>6.186874595029267E-6</v>
      </c>
      <c r="P388" s="9">
        <f t="shared" si="166"/>
        <v>161631.49871000004</v>
      </c>
      <c r="Q388" s="3">
        <f t="shared" si="158"/>
        <v>1028952.9258077752</v>
      </c>
      <c r="R388" s="3">
        <f t="shared" si="159"/>
        <v>161631498.7223736</v>
      </c>
      <c r="S388" s="3">
        <f t="shared" si="160"/>
        <v>161631498.72237363</v>
      </c>
      <c r="T388" s="3"/>
      <c r="U388" s="3"/>
      <c r="V388" s="3">
        <f t="shared" si="161"/>
        <v>5118.7016302489701</v>
      </c>
      <c r="W388" s="3">
        <f t="shared" si="167"/>
        <v>1924631.8129736127</v>
      </c>
      <c r="X388" s="3">
        <f t="shared" si="162"/>
        <v>157.08444444444447</v>
      </c>
      <c r="Y388" s="3">
        <f t="shared" si="163"/>
        <v>157.08444444444444</v>
      </c>
      <c r="Z388" s="3">
        <f t="shared" si="168"/>
        <v>804068.40186453157</v>
      </c>
    </row>
    <row r="389" spans="1:26" x14ac:dyDescent="0.45">
      <c r="A389">
        <f t="shared" si="170"/>
        <v>377</v>
      </c>
      <c r="B389" s="3">
        <f t="shared" si="151"/>
        <v>6.332275608777941</v>
      </c>
      <c r="C389" s="3">
        <f t="shared" si="171"/>
        <v>2387.2679045092837</v>
      </c>
      <c r="D389" s="3">
        <f t="shared" si="152"/>
        <v>2.4039928301146097E-4</v>
      </c>
      <c r="E389" s="3">
        <f t="shared" si="153"/>
        <v>157.92111111111112</v>
      </c>
      <c r="F389" s="3"/>
      <c r="G389" s="3">
        <f t="shared" si="154"/>
        <v>193488282.98022762</v>
      </c>
      <c r="H389" s="3">
        <f t="shared" si="155"/>
        <v>238726.79045092838</v>
      </c>
      <c r="I389" s="3">
        <f t="shared" si="164"/>
        <v>96744436.031947806</v>
      </c>
      <c r="J389" s="3">
        <f t="shared" si="156"/>
        <v>9.6159127682226089E-4</v>
      </c>
      <c r="K389" s="3">
        <f t="shared" si="165"/>
        <v>6.0890609878352401E-3</v>
      </c>
      <c r="L389" s="3">
        <f t="shared" si="169"/>
        <v>6.0890609878352427E-3</v>
      </c>
      <c r="O389" s="9">
        <f t="shared" si="157"/>
        <v>6.089060988183537E-6</v>
      </c>
      <c r="P389" s="9">
        <f t="shared" si="166"/>
        <v>164227.93479644976</v>
      </c>
      <c r="Q389" s="3">
        <f t="shared" si="158"/>
        <v>1039942.8780671416</v>
      </c>
      <c r="R389" s="3">
        <f t="shared" si="159"/>
        <v>164227934.80862769</v>
      </c>
      <c r="S389" s="3">
        <f t="shared" si="160"/>
        <v>164227934.80862772</v>
      </c>
      <c r="T389" s="3"/>
      <c r="U389" s="3"/>
      <c r="V389" s="3">
        <f t="shared" si="161"/>
        <v>5132.3151984145261</v>
      </c>
      <c r="W389" s="3">
        <f t="shared" si="167"/>
        <v>1934882.8298022763</v>
      </c>
      <c r="X389" s="3">
        <f t="shared" si="162"/>
        <v>157.92111111111114</v>
      </c>
      <c r="Y389" s="3">
        <f t="shared" si="163"/>
        <v>157.92111111111112</v>
      </c>
      <c r="Z389" s="3">
        <f t="shared" si="168"/>
        <v>810500.91870606469</v>
      </c>
    </row>
    <row r="390" spans="1:26" x14ac:dyDescent="0.45">
      <c r="A390">
        <f t="shared" si="170"/>
        <v>378</v>
      </c>
      <c r="B390" s="3">
        <f t="shared" si="151"/>
        <v>6.2988158226253468</v>
      </c>
      <c r="C390" s="3">
        <f t="shared" si="171"/>
        <v>2380.9523809523812</v>
      </c>
      <c r="D390" s="3">
        <f t="shared" si="152"/>
        <v>2.3786545233454452E-4</v>
      </c>
      <c r="E390" s="3">
        <f t="shared" si="153"/>
        <v>158.76</v>
      </c>
      <c r="F390" s="3"/>
      <c r="G390" s="3">
        <f t="shared" si="154"/>
        <v>194516107.37672707</v>
      </c>
      <c r="H390" s="3">
        <f t="shared" si="155"/>
        <v>238095.23809523811</v>
      </c>
      <c r="I390" s="3">
        <f t="shared" si="164"/>
        <v>97258345.125706345</v>
      </c>
      <c r="J390" s="3">
        <f t="shared" si="156"/>
        <v>9.5145610718304287E-4</v>
      </c>
      <c r="K390" s="3">
        <f t="shared" si="165"/>
        <v>5.9930467824580681E-3</v>
      </c>
      <c r="L390" s="3">
        <f t="shared" si="169"/>
        <v>5.9930467824580698E-3</v>
      </c>
      <c r="O390" s="9">
        <f t="shared" si="157"/>
        <v>5.9930467828008727E-6</v>
      </c>
      <c r="P390" s="9">
        <f t="shared" si="166"/>
        <v>166859.03567832091</v>
      </c>
      <c r="Q390" s="3">
        <f t="shared" si="158"/>
        <v>1051020.6328944378</v>
      </c>
      <c r="R390" s="3">
        <f t="shared" si="159"/>
        <v>166859035.69030687</v>
      </c>
      <c r="S390" s="3">
        <f t="shared" si="160"/>
        <v>166859035.6903069</v>
      </c>
      <c r="T390" s="3"/>
      <c r="U390" s="3"/>
      <c r="V390" s="3">
        <f t="shared" si="161"/>
        <v>5145.9287665800812</v>
      </c>
      <c r="W390" s="3">
        <f t="shared" si="167"/>
        <v>1945161.0737672707</v>
      </c>
      <c r="X390" s="3">
        <f t="shared" si="162"/>
        <v>158.76000000000002</v>
      </c>
      <c r="Y390" s="3">
        <f t="shared" si="163"/>
        <v>158.76</v>
      </c>
      <c r="Z390" s="3">
        <f t="shared" si="168"/>
        <v>816967.6509822536</v>
      </c>
    </row>
    <row r="391" spans="1:26" x14ac:dyDescent="0.45">
      <c r="A391">
        <f t="shared" si="170"/>
        <v>379</v>
      </c>
      <c r="B391" s="3">
        <f t="shared" si="151"/>
        <v>6.2656205400964904</v>
      </c>
      <c r="C391" s="3">
        <f t="shared" si="171"/>
        <v>2374.6701846965698</v>
      </c>
      <c r="D391" s="3">
        <f t="shared" si="152"/>
        <v>2.3536491737709839E-4</v>
      </c>
      <c r="E391" s="3">
        <f t="shared" si="153"/>
        <v>159.60111111111109</v>
      </c>
      <c r="F391" s="3"/>
      <c r="G391" s="3">
        <f t="shared" si="154"/>
        <v>195546654.48685965</v>
      </c>
      <c r="H391" s="3">
        <f t="shared" si="155"/>
        <v>237467.01846965699</v>
      </c>
      <c r="I391" s="3">
        <f t="shared" si="164"/>
        <v>97773615.617075741</v>
      </c>
      <c r="J391" s="3">
        <f t="shared" si="156"/>
        <v>9.4145411603151132E-4</v>
      </c>
      <c r="K391" s="3">
        <f t="shared" si="165"/>
        <v>5.8987942469654218E-3</v>
      </c>
      <c r="L391" s="3">
        <f t="shared" si="169"/>
        <v>5.8987942469654227E-3</v>
      </c>
      <c r="O391" s="9">
        <f t="shared" si="157"/>
        <v>5.8987942473028348E-6</v>
      </c>
      <c r="P391" s="9">
        <f t="shared" si="166"/>
        <v>169525.17061651879</v>
      </c>
      <c r="Q391" s="3">
        <f t="shared" si="158"/>
        <v>1062186.6566987622</v>
      </c>
      <c r="R391" s="3">
        <f t="shared" si="159"/>
        <v>169525170.62831619</v>
      </c>
      <c r="S391" s="3">
        <f t="shared" si="160"/>
        <v>169525170.62831622</v>
      </c>
      <c r="T391" s="3"/>
      <c r="U391" s="3"/>
      <c r="V391" s="3">
        <f t="shared" si="161"/>
        <v>5159.5423347456372</v>
      </c>
      <c r="W391" s="3">
        <f t="shared" si="167"/>
        <v>1955466.5448685966</v>
      </c>
      <c r="X391" s="3">
        <f t="shared" si="162"/>
        <v>159.60111111111112</v>
      </c>
      <c r="Y391" s="3">
        <f t="shared" si="163"/>
        <v>159.60111111111109</v>
      </c>
      <c r="Z391" s="3">
        <f t="shared" si="168"/>
        <v>823468.68945021997</v>
      </c>
    </row>
    <row r="392" spans="1:26" x14ac:dyDescent="0.45">
      <c r="A392">
        <f t="shared" si="170"/>
        <v>380</v>
      </c>
      <c r="B392" s="3">
        <f t="shared" si="151"/>
        <v>6.2326869806094187</v>
      </c>
      <c r="C392" s="3">
        <f t="shared" si="171"/>
        <v>2368.4210526315792</v>
      </c>
      <c r="D392" s="3">
        <f t="shared" si="152"/>
        <v>2.3289715449064123E-4</v>
      </c>
      <c r="E392" s="3">
        <f t="shared" si="153"/>
        <v>160.44444444444446</v>
      </c>
      <c r="F392" s="3"/>
      <c r="G392" s="3">
        <f t="shared" si="154"/>
        <v>196579924.31062531</v>
      </c>
      <c r="H392" s="3">
        <f t="shared" si="155"/>
        <v>236842.10526315789</v>
      </c>
      <c r="I392" s="3">
        <f t="shared" si="164"/>
        <v>98290247.505414397</v>
      </c>
      <c r="J392" s="3">
        <f t="shared" si="156"/>
        <v>9.3158320891074562E-4</v>
      </c>
      <c r="K392" s="3">
        <f t="shared" si="165"/>
        <v>5.8062665375323485E-3</v>
      </c>
      <c r="L392" s="3">
        <f t="shared" si="169"/>
        <v>5.8062665375323477E-3</v>
      </c>
      <c r="O392" s="9">
        <f t="shared" si="157"/>
        <v>5.806266537864469E-6</v>
      </c>
      <c r="P392" s="9">
        <f t="shared" si="166"/>
        <v>172226.71181424227</v>
      </c>
      <c r="Q392" s="3">
        <f t="shared" si="158"/>
        <v>1073441.4171247787</v>
      </c>
      <c r="R392" s="3">
        <f t="shared" si="159"/>
        <v>172226711.82585466</v>
      </c>
      <c r="S392" s="3">
        <f t="shared" si="160"/>
        <v>172226711.82585475</v>
      </c>
      <c r="T392" s="3"/>
      <c r="U392" s="3"/>
      <c r="V392" s="3">
        <f t="shared" si="161"/>
        <v>5173.1559029111932</v>
      </c>
      <c r="W392" s="3">
        <f t="shared" si="167"/>
        <v>1965799.2431062534</v>
      </c>
      <c r="X392" s="3">
        <f t="shared" si="162"/>
        <v>160.44444444444446</v>
      </c>
      <c r="Y392" s="3">
        <f t="shared" si="163"/>
        <v>160.44444444444446</v>
      </c>
      <c r="Z392" s="3">
        <f t="shared" si="168"/>
        <v>830004.12486708479</v>
      </c>
    </row>
    <row r="393" spans="1:26" x14ac:dyDescent="0.45">
      <c r="A393">
        <f t="shared" si="170"/>
        <v>381</v>
      </c>
      <c r="B393" s="3">
        <f t="shared" si="151"/>
        <v>6.2000124000248</v>
      </c>
      <c r="C393" s="3">
        <f t="shared" si="171"/>
        <v>2362.2047244094488</v>
      </c>
      <c r="D393" s="3">
        <f t="shared" si="152"/>
        <v>2.3046164960966852E-4</v>
      </c>
      <c r="E393" s="3">
        <f t="shared" si="153"/>
        <v>161.29000000000002</v>
      </c>
      <c r="F393" s="3"/>
      <c r="G393" s="3">
        <f t="shared" si="154"/>
        <v>197615916.84802413</v>
      </c>
      <c r="H393" s="3">
        <f t="shared" si="155"/>
        <v>236220.47244094487</v>
      </c>
      <c r="I393" s="3">
        <f t="shared" si="164"/>
        <v>98808240.790092483</v>
      </c>
      <c r="J393" s="3">
        <f t="shared" si="156"/>
        <v>9.2184132969111345E-4</v>
      </c>
      <c r="K393" s="3">
        <f t="shared" si="165"/>
        <v>5.7154276749402533E-3</v>
      </c>
      <c r="L393" s="3">
        <f t="shared" si="169"/>
        <v>5.7154276749402533E-3</v>
      </c>
      <c r="O393" s="9">
        <f t="shared" si="157"/>
        <v>5.715427675267178E-6</v>
      </c>
      <c r="P393" s="9">
        <f t="shared" si="166"/>
        <v>174964.03443257257</v>
      </c>
      <c r="Q393" s="3">
        <f t="shared" si="158"/>
        <v>1084785.383052716</v>
      </c>
      <c r="R393" s="3">
        <f t="shared" si="159"/>
        <v>174964034.44400331</v>
      </c>
      <c r="S393" s="3">
        <f t="shared" si="160"/>
        <v>174964034.44400328</v>
      </c>
      <c r="T393" s="3"/>
      <c r="U393" s="3"/>
      <c r="V393" s="3">
        <f t="shared" si="161"/>
        <v>5186.7694710767491</v>
      </c>
      <c r="W393" s="3">
        <f t="shared" si="167"/>
        <v>1976159.1684802414</v>
      </c>
      <c r="X393" s="3">
        <f t="shared" si="162"/>
        <v>161.29000000000005</v>
      </c>
      <c r="Y393" s="3">
        <f t="shared" si="163"/>
        <v>161.29000000000002</v>
      </c>
      <c r="Z393" s="3">
        <f t="shared" si="168"/>
        <v>836574.04798996903</v>
      </c>
    </row>
    <row r="394" spans="1:26" x14ac:dyDescent="0.45">
      <c r="A394">
        <f t="shared" si="170"/>
        <v>382</v>
      </c>
      <c r="B394" s="3">
        <f t="shared" si="151"/>
        <v>6.1675940900742852</v>
      </c>
      <c r="C394" s="3">
        <f t="shared" si="171"/>
        <v>2356.0209424083769</v>
      </c>
      <c r="D394" s="3">
        <f t="shared" si="152"/>
        <v>2.2805789805175087E-4</v>
      </c>
      <c r="E394" s="3">
        <f t="shared" si="153"/>
        <v>162.13777777777776</v>
      </c>
      <c r="F394" s="3"/>
      <c r="G394" s="3">
        <f t="shared" si="154"/>
        <v>198654632.09905604</v>
      </c>
      <c r="H394" s="3">
        <f t="shared" si="155"/>
        <v>235602.0942408377</v>
      </c>
      <c r="I394" s="3">
        <f t="shared" si="164"/>
        <v>99327595.470491663</v>
      </c>
      <c r="J394" s="3">
        <f t="shared" si="156"/>
        <v>9.122264597708294E-4</v>
      </c>
      <c r="K394" s="3">
        <f t="shared" si="165"/>
        <v>5.6262425220919548E-3</v>
      </c>
      <c r="L394" s="3">
        <f t="shared" si="169"/>
        <v>5.6262425220919557E-3</v>
      </c>
      <c r="O394" s="9">
        <f t="shared" si="157"/>
        <v>5.6262425224137785E-6</v>
      </c>
      <c r="P394" s="9">
        <f t="shared" si="166"/>
        <v>177737.51660610226</v>
      </c>
      <c r="Q394" s="3">
        <f t="shared" si="158"/>
        <v>1096219.0245983666</v>
      </c>
      <c r="R394" s="3">
        <f t="shared" si="159"/>
        <v>177737516.6173546</v>
      </c>
      <c r="S394" s="3">
        <f t="shared" si="160"/>
        <v>177737516.61735457</v>
      </c>
      <c r="T394" s="3"/>
      <c r="U394" s="3"/>
      <c r="V394" s="3">
        <f t="shared" si="161"/>
        <v>5200.3830392423051</v>
      </c>
      <c r="W394" s="3">
        <f t="shared" si="167"/>
        <v>1986546.3209905606</v>
      </c>
      <c r="X394" s="3">
        <f t="shared" si="162"/>
        <v>162.13777777777781</v>
      </c>
      <c r="Y394" s="3">
        <f t="shared" si="163"/>
        <v>162.13777777777776</v>
      </c>
      <c r="Z394" s="3">
        <f t="shared" si="168"/>
        <v>843178.54957599333</v>
      </c>
    </row>
    <row r="395" spans="1:26" x14ac:dyDescent="0.45">
      <c r="A395">
        <f t="shared" si="170"/>
        <v>383</v>
      </c>
      <c r="B395" s="3">
        <f t="shared" si="151"/>
        <v>6.1354293777992899</v>
      </c>
      <c r="C395" s="3">
        <f t="shared" si="171"/>
        <v>2349.8694516971282</v>
      </c>
      <c r="D395" s="3">
        <f t="shared" si="152"/>
        <v>2.256854043223097E-4</v>
      </c>
      <c r="E395" s="3">
        <f t="shared" si="153"/>
        <v>162.98777777777775</v>
      </c>
      <c r="F395" s="3"/>
      <c r="G395" s="3">
        <f t="shared" si="154"/>
        <v>199696070.06372103</v>
      </c>
      <c r="H395" s="3">
        <f t="shared" si="155"/>
        <v>234986.9451697128</v>
      </c>
      <c r="I395" s="3">
        <f t="shared" si="164"/>
        <v>99848311.546004847</v>
      </c>
      <c r="J395" s="3">
        <f t="shared" si="156"/>
        <v>9.0273661729522114E-4</v>
      </c>
      <c r="K395" s="3">
        <f t="shared" si="165"/>
        <v>5.538676762168254E-3</v>
      </c>
      <c r="L395" s="3">
        <f t="shared" si="169"/>
        <v>5.5386767621682549E-3</v>
      </c>
      <c r="O395" s="9">
        <f t="shared" si="157"/>
        <v>5.5386767624850689E-6</v>
      </c>
      <c r="P395" s="9">
        <f t="shared" si="166"/>
        <v>180547.53945860607</v>
      </c>
      <c r="Q395" s="3">
        <f t="shared" si="158"/>
        <v>1107742.8131130859</v>
      </c>
      <c r="R395" s="3">
        <f t="shared" si="159"/>
        <v>180547539.46968326</v>
      </c>
      <c r="S395" s="3">
        <f t="shared" si="160"/>
        <v>180547539.46968323</v>
      </c>
      <c r="T395" s="3"/>
      <c r="U395" s="3"/>
      <c r="V395" s="3">
        <f t="shared" si="161"/>
        <v>5213.9966074078602</v>
      </c>
      <c r="W395" s="3">
        <f t="shared" si="167"/>
        <v>1996960.7006372104</v>
      </c>
      <c r="X395" s="3">
        <f t="shared" si="162"/>
        <v>162.98777777777778</v>
      </c>
      <c r="Y395" s="3">
        <f t="shared" si="163"/>
        <v>162.98777777777775</v>
      </c>
      <c r="Z395" s="3">
        <f t="shared" si="168"/>
        <v>849817.72038227937</v>
      </c>
    </row>
    <row r="396" spans="1:26" x14ac:dyDescent="0.45">
      <c r="A396">
        <f t="shared" si="170"/>
        <v>384</v>
      </c>
      <c r="B396" s="3">
        <f t="shared" si="151"/>
        <v>6.103515625</v>
      </c>
      <c r="C396" s="3">
        <f t="shared" si="171"/>
        <v>2343.75</v>
      </c>
      <c r="D396" s="3">
        <f t="shared" si="152"/>
        <v>2.2334368192395199E-4</v>
      </c>
      <c r="E396" s="3">
        <f t="shared" si="153"/>
        <v>163.84</v>
      </c>
      <c r="F396" s="3"/>
      <c r="G396" s="3">
        <f t="shared" si="154"/>
        <v>200740230.74201918</v>
      </c>
      <c r="H396" s="3">
        <f t="shared" si="155"/>
        <v>234375</v>
      </c>
      <c r="I396" s="3">
        <f t="shared" si="164"/>
        <v>100370389.016036</v>
      </c>
      <c r="J396" s="3">
        <f t="shared" si="156"/>
        <v>8.9336985639421995E-4</v>
      </c>
      <c r="K396" s="3">
        <f t="shared" si="165"/>
        <v>5.4526968774061277E-3</v>
      </c>
      <c r="L396" s="3">
        <f t="shared" si="169"/>
        <v>5.4526968774061269E-3</v>
      </c>
      <c r="O396" s="9">
        <f t="shared" si="157"/>
        <v>5.4526968777180238E-6</v>
      </c>
      <c r="P396" s="9">
        <f t="shared" si="166"/>
        <v>183394.48711875291</v>
      </c>
      <c r="Q396" s="3">
        <f t="shared" si="158"/>
        <v>1119357.2211837946</v>
      </c>
      <c r="R396" s="3">
        <f t="shared" si="159"/>
        <v>183394487.12965816</v>
      </c>
      <c r="S396" s="3">
        <f t="shared" si="160"/>
        <v>183394487.12965813</v>
      </c>
      <c r="T396" s="3"/>
      <c r="U396" s="3"/>
      <c r="V396" s="3">
        <f t="shared" si="161"/>
        <v>5227.6101755734162</v>
      </c>
      <c r="W396" s="3">
        <f t="shared" si="167"/>
        <v>2007402.3074201918</v>
      </c>
      <c r="X396" s="3">
        <f t="shared" si="162"/>
        <v>163.84000000000003</v>
      </c>
      <c r="Y396" s="3">
        <f t="shared" si="163"/>
        <v>163.84</v>
      </c>
      <c r="Z396" s="3">
        <f t="shared" si="168"/>
        <v>856491.65116594848</v>
      </c>
    </row>
    <row r="397" spans="1:26" x14ac:dyDescent="0.45">
      <c r="A397">
        <f t="shared" si="170"/>
        <v>385</v>
      </c>
      <c r="B397" s="3">
        <f t="shared" ref="B397:B460" si="172">REQD_MBPS*DIST_RINGS_EM^2/(IMPROVED_MBPS*IMPROVED_KM^2*A397^2)</f>
        <v>6.0718502276943838</v>
      </c>
      <c r="C397" s="3">
        <f t="shared" si="171"/>
        <v>2337.6623376623379</v>
      </c>
      <c r="D397" s="3">
        <f t="shared" ref="D397:D460" si="173">IMPROVED_MBPS*IMPROVED_KM^2*B397^2/(4*PI()^2*AVG_SUN_DIST^2)</f>
        <v>2.2103225317024388E-4</v>
      </c>
      <c r="E397" s="3">
        <f t="shared" ref="E397:E460" si="174">IMPROVED_MBPS*IMPROVED_KM^2/(DIST_RINGS_EM/A397)^2</f>
        <v>164.69444444444446</v>
      </c>
      <c r="F397" s="3"/>
      <c r="G397" s="3">
        <f t="shared" ref="G397:G460" si="175">(2*PI()*AVG_SUN_DIST)/B397</f>
        <v>201787114.13395041</v>
      </c>
      <c r="H397" s="3">
        <f t="shared" ref="H397:H460" si="176">DIST_RINGS_EM/A397</f>
        <v>233766.23376623375</v>
      </c>
      <c r="I397" s="3">
        <f t="shared" si="164"/>
        <v>100893827.87999983</v>
      </c>
      <c r="J397" s="3">
        <f t="shared" ref="J397:J460" si="177">IMPROVED_MBPS*IMPROVED_KM^2/I397^2</f>
        <v>8.8412426643760681E-4</v>
      </c>
      <c r="K397" s="3">
        <f t="shared" si="165"/>
        <v>5.3682701284793128E-3</v>
      </c>
      <c r="L397" s="3">
        <f t="shared" si="169"/>
        <v>5.3682701284793145E-3</v>
      </c>
      <c r="O397" s="9">
        <f t="shared" ref="O397:O460" si="178">K397/$K$13</f>
        <v>5.3682701287863803E-6</v>
      </c>
      <c r="P397" s="9">
        <f t="shared" si="166"/>
        <v>186278.74673585824</v>
      </c>
      <c r="Q397" s="3">
        <f t="shared" ref="Q397:Q460" si="179">B397*(1+P397)</f>
        <v>1131062.722632973</v>
      </c>
      <c r="R397" s="3">
        <f t="shared" ref="R397:R460" si="180">IMPROVED_MBPS*IMPROVED_KM^2/((PI()*AVG_SUN_DIST/Q397)^2+(DIST_RINGS_EM/A397)^2)*Q397</f>
        <v>186278746.7465947</v>
      </c>
      <c r="S397" s="3">
        <f t="shared" ref="S397:S460" si="181">IMPROVED_MBPS*IMPROVED_KM^2*Q397^3*A397^2/((A397*PI()*AVG_SUN_DIST)^2+(DIST_RINGS_EM*Q397)^2)</f>
        <v>186278746.7465947</v>
      </c>
      <c r="T397" s="3"/>
      <c r="U397" s="3"/>
      <c r="V397" s="3">
        <f t="shared" ref="V397:V460" si="182">2*PI()*AVG_SUN_DIST*A397/DIST_RINGS_EM</f>
        <v>5241.2237437389713</v>
      </c>
      <c r="W397" s="3">
        <f t="shared" si="167"/>
        <v>2017871.1413395039</v>
      </c>
      <c r="X397" s="3">
        <f t="shared" ref="X397:X460" si="183">IMPROVED_MBPS*IMPROVED_KM^2*V397^2/(4*PI()^2*AVG_SUN_DIST^2)</f>
        <v>164.69444444444443</v>
      </c>
      <c r="Y397" s="3">
        <f t="shared" ref="Y397:Y460" si="184">IMPROVED_MBPS*IMPROVED_KM^2/(DIST_RINGS_EM/A397)^2</f>
        <v>164.69444444444446</v>
      </c>
      <c r="Z397" s="3">
        <f t="shared" si="168"/>
        <v>863200.43268412119</v>
      </c>
    </row>
    <row r="398" spans="1:26" x14ac:dyDescent="0.45">
      <c r="A398">
        <f t="shared" si="170"/>
        <v>386</v>
      </c>
      <c r="B398" s="3">
        <f t="shared" si="172"/>
        <v>6.0404306155869953</v>
      </c>
      <c r="C398" s="3">
        <f t="shared" si="171"/>
        <v>2331.6062176165801</v>
      </c>
      <c r="D398" s="3">
        <f t="shared" si="173"/>
        <v>2.1875064900380966E-4</v>
      </c>
      <c r="E398" s="3">
        <f t="shared" si="174"/>
        <v>165.55111111111111</v>
      </c>
      <c r="F398" s="3"/>
      <c r="G398" s="3">
        <f t="shared" si="175"/>
        <v>202836720.23951477</v>
      </c>
      <c r="H398" s="3">
        <f t="shared" si="176"/>
        <v>233160.62176165803</v>
      </c>
      <c r="I398" s="3">
        <f t="shared" ref="I398:I461" si="185">SQRT((G398/2)^2+H398^2)</f>
        <v>101418628.13732167</v>
      </c>
      <c r="J398" s="3">
        <f t="shared" si="177"/>
        <v>8.749979713075501E-4</v>
      </c>
      <c r="K398" s="3">
        <f t="shared" ref="K398:K461" si="186">J398*B398</f>
        <v>5.2853645344626372E-3</v>
      </c>
      <c r="L398" s="3">
        <f t="shared" si="169"/>
        <v>5.2853645344626355E-3</v>
      </c>
      <c r="O398" s="9">
        <f t="shared" si="178"/>
        <v>5.2853645347649619E-6</v>
      </c>
      <c r="P398" s="9">
        <f t="shared" ref="P398:P461" si="187">1/O398-1</f>
        <v>189200.70849567893</v>
      </c>
      <c r="Q398" s="3">
        <f t="shared" si="179"/>
        <v>1142859.7925186651</v>
      </c>
      <c r="R398" s="3">
        <f t="shared" si="180"/>
        <v>189200708.50624952</v>
      </c>
      <c r="S398" s="3">
        <f t="shared" si="181"/>
        <v>189200708.50624946</v>
      </c>
      <c r="T398" s="3"/>
      <c r="U398" s="3"/>
      <c r="V398" s="3">
        <f t="shared" si="182"/>
        <v>5254.8373119045273</v>
      </c>
      <c r="W398" s="3">
        <f t="shared" ref="W398:W461" si="188">V398*A398</f>
        <v>2028367.2023951474</v>
      </c>
      <c r="X398" s="3">
        <f t="shared" si="183"/>
        <v>165.55111111111108</v>
      </c>
      <c r="Y398" s="3">
        <f t="shared" si="184"/>
        <v>165.55111111111111</v>
      </c>
      <c r="Z398" s="3">
        <f t="shared" ref="Z398:Z461" si="189">Y398*V398</f>
        <v>869944.15569391882</v>
      </c>
    </row>
    <row r="399" spans="1:26" x14ac:dyDescent="0.45">
      <c r="A399">
        <f t="shared" si="170"/>
        <v>387</v>
      </c>
      <c r="B399" s="3">
        <f t="shared" si="172"/>
        <v>6.0092542515473832</v>
      </c>
      <c r="C399" s="3">
        <f t="shared" si="171"/>
        <v>2325.5813953488373</v>
      </c>
      <c r="D399" s="3">
        <f t="shared" si="173"/>
        <v>2.1649840881864517E-4</v>
      </c>
      <c r="E399" s="3">
        <f t="shared" si="174"/>
        <v>166.41</v>
      </c>
      <c r="F399" s="3"/>
      <c r="G399" s="3">
        <f t="shared" si="175"/>
        <v>203889049.05871221</v>
      </c>
      <c r="H399" s="3">
        <f t="shared" si="176"/>
        <v>232558.13953488372</v>
      </c>
      <c r="I399" s="3">
        <f t="shared" si="185"/>
        <v>101944789.78743717</v>
      </c>
      <c r="J399" s="3">
        <f t="shared" si="177"/>
        <v>8.6598912868799511E-4</v>
      </c>
      <c r="K399" s="3">
        <f t="shared" si="186"/>
        <v>5.2039488533621482E-3</v>
      </c>
      <c r="L399" s="3">
        <f t="shared" si="169"/>
        <v>5.2039488533621491E-3</v>
      </c>
      <c r="O399" s="9">
        <f t="shared" si="178"/>
        <v>5.2039488536598161E-6</v>
      </c>
      <c r="P399" s="9">
        <f t="shared" si="187"/>
        <v>192160.76563624819</v>
      </c>
      <c r="Q399" s="3">
        <f t="shared" si="179"/>
        <v>1154748.9071344764</v>
      </c>
      <c r="R399" s="3">
        <f t="shared" si="180"/>
        <v>192160765.64665598</v>
      </c>
      <c r="S399" s="3">
        <f t="shared" si="181"/>
        <v>192160765.64665595</v>
      </c>
      <c r="T399" s="3"/>
      <c r="U399" s="3"/>
      <c r="V399" s="3">
        <f t="shared" si="182"/>
        <v>5268.4508800700833</v>
      </c>
      <c r="W399" s="3">
        <f t="shared" si="188"/>
        <v>2038890.4905871223</v>
      </c>
      <c r="X399" s="3">
        <f t="shared" si="183"/>
        <v>166.41</v>
      </c>
      <c r="Y399" s="3">
        <f t="shared" si="184"/>
        <v>166.41</v>
      </c>
      <c r="Z399" s="3">
        <f t="shared" si="189"/>
        <v>876722.91095246258</v>
      </c>
    </row>
    <row r="400" spans="1:26" x14ac:dyDescent="0.45">
      <c r="A400">
        <f t="shared" si="170"/>
        <v>388</v>
      </c>
      <c r="B400" s="3">
        <f t="shared" si="172"/>
        <v>5.9783186310978849</v>
      </c>
      <c r="C400" s="3">
        <f t="shared" si="171"/>
        <v>2319.5876288659792</v>
      </c>
      <c r="D400" s="3">
        <f t="shared" si="173"/>
        <v>2.1427508028653574E-4</v>
      </c>
      <c r="E400" s="3">
        <f t="shared" si="174"/>
        <v>167.27111111111108</v>
      </c>
      <c r="F400" s="3"/>
      <c r="G400" s="3">
        <f t="shared" si="175"/>
        <v>204944100.59154281</v>
      </c>
      <c r="H400" s="3">
        <f t="shared" si="176"/>
        <v>231958.76288659795</v>
      </c>
      <c r="I400" s="3">
        <f t="shared" si="185"/>
        <v>102472312.82979214</v>
      </c>
      <c r="J400" s="3">
        <f t="shared" si="177"/>
        <v>8.5709592937047131E-4</v>
      </c>
      <c r="K400" s="3">
        <f t="shared" si="186"/>
        <v>5.1239925631936453E-3</v>
      </c>
      <c r="L400" s="3">
        <f t="shared" si="169"/>
        <v>5.1239925631936479E-3</v>
      </c>
      <c r="O400" s="9">
        <f t="shared" si="178"/>
        <v>5.1239925634867397E-6</v>
      </c>
      <c r="P400" s="9">
        <f t="shared" si="187"/>
        <v>195159.31446375223</v>
      </c>
      <c r="Q400" s="3">
        <f t="shared" si="179"/>
        <v>1166730.5440095719</v>
      </c>
      <c r="R400" s="3">
        <f t="shared" si="180"/>
        <v>195159314.47400004</v>
      </c>
      <c r="S400" s="3">
        <f t="shared" si="181"/>
        <v>195159314.47400007</v>
      </c>
      <c r="T400" s="3"/>
      <c r="U400" s="3"/>
      <c r="V400" s="3">
        <f t="shared" si="182"/>
        <v>5282.0644482356392</v>
      </c>
      <c r="W400" s="3">
        <f t="shared" si="188"/>
        <v>2049441.005915428</v>
      </c>
      <c r="X400" s="3">
        <f t="shared" si="183"/>
        <v>167.27111111111114</v>
      </c>
      <c r="Y400" s="3">
        <f t="shared" si="184"/>
        <v>167.27111111111108</v>
      </c>
      <c r="Z400" s="3">
        <f t="shared" si="189"/>
        <v>883536.78921687324</v>
      </c>
    </row>
    <row r="401" spans="1:26" x14ac:dyDescent="0.45">
      <c r="A401">
        <f t="shared" si="170"/>
        <v>389</v>
      </c>
      <c r="B401" s="3">
        <f t="shared" si="172"/>
        <v>5.9476212819106404</v>
      </c>
      <c r="C401" s="3">
        <f t="shared" si="171"/>
        <v>2313.6246786632391</v>
      </c>
      <c r="D401" s="3">
        <f t="shared" si="173"/>
        <v>2.1208021918747594E-4</v>
      </c>
      <c r="E401" s="3">
        <f t="shared" si="174"/>
        <v>168.13444444444443</v>
      </c>
      <c r="F401" s="3"/>
      <c r="G401" s="3">
        <f t="shared" si="175"/>
        <v>206001874.83800647</v>
      </c>
      <c r="H401" s="3">
        <f t="shared" si="176"/>
        <v>231362.46786632392</v>
      </c>
      <c r="I401" s="3">
        <f t="shared" si="185"/>
        <v>103001197.26384231</v>
      </c>
      <c r="J401" s="3">
        <f t="shared" si="177"/>
        <v>8.4831659657589567E-4</v>
      </c>
      <c r="K401" s="3">
        <f t="shared" si="186"/>
        <v>5.0454658435928005E-3</v>
      </c>
      <c r="L401" s="3">
        <f t="shared" si="169"/>
        <v>5.0454658435927996E-3</v>
      </c>
      <c r="O401" s="9">
        <f t="shared" si="178"/>
        <v>5.0454658438814031E-6</v>
      </c>
      <c r="P401" s="9">
        <f t="shared" si="187"/>
        <v>198196.7543684479</v>
      </c>
      <c r="Q401" s="3">
        <f t="shared" si="179"/>
        <v>1178805.1819086783</v>
      </c>
      <c r="R401" s="3">
        <f t="shared" si="180"/>
        <v>198196754.37853867</v>
      </c>
      <c r="S401" s="3">
        <f t="shared" si="181"/>
        <v>198196754.37853861</v>
      </c>
      <c r="T401" s="3"/>
      <c r="U401" s="3"/>
      <c r="V401" s="3">
        <f t="shared" si="182"/>
        <v>5295.6780164011952</v>
      </c>
      <c r="W401" s="3">
        <f t="shared" si="188"/>
        <v>2060018.748380065</v>
      </c>
      <c r="X401" s="3">
        <f t="shared" si="183"/>
        <v>168.13444444444448</v>
      </c>
      <c r="Y401" s="3">
        <f t="shared" si="184"/>
        <v>168.13444444444443</v>
      </c>
      <c r="Z401" s="3">
        <f t="shared" si="189"/>
        <v>890385.88124427246</v>
      </c>
    </row>
    <row r="402" spans="1:26" x14ac:dyDescent="0.45">
      <c r="A402">
        <f t="shared" si="170"/>
        <v>390</v>
      </c>
      <c r="B402" s="3">
        <f t="shared" si="172"/>
        <v>5.9171597633136095</v>
      </c>
      <c r="C402" s="3">
        <f t="shared" si="171"/>
        <v>2307.6923076923076</v>
      </c>
      <c r="D402" s="3">
        <f t="shared" si="173"/>
        <v>2.0991338924398659E-4</v>
      </c>
      <c r="E402" s="3">
        <f t="shared" si="174"/>
        <v>169</v>
      </c>
      <c r="F402" s="3"/>
      <c r="G402" s="3">
        <f t="shared" si="175"/>
        <v>207062371.79810327</v>
      </c>
      <c r="H402" s="3">
        <f t="shared" si="176"/>
        <v>230769.23076923078</v>
      </c>
      <c r="I402" s="3">
        <f t="shared" si="185"/>
        <v>103531443.08905318</v>
      </c>
      <c r="J402" s="3">
        <f t="shared" si="177"/>
        <v>8.3964938529196428E-4</v>
      </c>
      <c r="K402" s="3">
        <f t="shared" si="186"/>
        <v>4.9683395579406169E-3</v>
      </c>
      <c r="L402" s="3">
        <f t="shared" si="169"/>
        <v>4.9683395579406186E-3</v>
      </c>
      <c r="O402" s="9">
        <f t="shared" si="178"/>
        <v>4.9683395582248077E-6</v>
      </c>
      <c r="P402" s="9">
        <f t="shared" si="187"/>
        <v>201273.48784062194</v>
      </c>
      <c r="Q402" s="3">
        <f t="shared" si="179"/>
        <v>1190973.3008320825</v>
      </c>
      <c r="R402" s="3">
        <f t="shared" si="180"/>
        <v>201273487.85055849</v>
      </c>
      <c r="S402" s="3">
        <f t="shared" si="181"/>
        <v>201273487.85055855</v>
      </c>
      <c r="T402" s="3"/>
      <c r="U402" s="3"/>
      <c r="V402" s="3">
        <f t="shared" si="182"/>
        <v>5309.2915845667503</v>
      </c>
      <c r="W402" s="3">
        <f t="shared" si="188"/>
        <v>2070623.7179810326</v>
      </c>
      <c r="X402" s="3">
        <f t="shared" si="183"/>
        <v>168.99999999999997</v>
      </c>
      <c r="Y402" s="3">
        <f t="shared" si="184"/>
        <v>169</v>
      </c>
      <c r="Z402" s="3">
        <f t="shared" si="189"/>
        <v>897270.27779178077</v>
      </c>
    </row>
    <row r="403" spans="1:26" x14ac:dyDescent="0.45">
      <c r="A403">
        <f t="shared" si="170"/>
        <v>391</v>
      </c>
      <c r="B403" s="3">
        <f t="shared" si="172"/>
        <v>5.88693166580543</v>
      </c>
      <c r="C403" s="3">
        <f t="shared" si="171"/>
        <v>2301.7902813299233</v>
      </c>
      <c r="D403" s="3">
        <f t="shared" si="173"/>
        <v>2.0777416195923157E-4</v>
      </c>
      <c r="E403" s="3">
        <f t="shared" si="174"/>
        <v>169.86777777777777</v>
      </c>
      <c r="F403" s="3"/>
      <c r="G403" s="3">
        <f t="shared" si="175"/>
        <v>208125591.4718332</v>
      </c>
      <c r="H403" s="3">
        <f t="shared" si="176"/>
        <v>230179.02813299233</v>
      </c>
      <c r="I403" s="3">
        <f t="shared" si="185"/>
        <v>104063050.30489974</v>
      </c>
      <c r="J403" s="3">
        <f t="shared" si="177"/>
        <v>8.3109258162573723E-4</v>
      </c>
      <c r="K403" s="3">
        <f t="shared" si="186"/>
        <v>4.8925852359885365E-3</v>
      </c>
      <c r="L403" s="3">
        <f t="shared" si="169"/>
        <v>4.8925852359885356E-3</v>
      </c>
      <c r="O403" s="9">
        <f t="shared" si="178"/>
        <v>4.892585236268394E-6</v>
      </c>
      <c r="P403" s="9">
        <f t="shared" si="187"/>
        <v>204389.9204865905</v>
      </c>
      <c r="Q403" s="3">
        <f t="shared" si="179"/>
        <v>1203235.3820156294</v>
      </c>
      <c r="R403" s="3">
        <f t="shared" si="180"/>
        <v>204389920.4963755</v>
      </c>
      <c r="S403" s="3">
        <f t="shared" si="181"/>
        <v>204389920.4963755</v>
      </c>
      <c r="T403" s="3"/>
      <c r="U403" s="3"/>
      <c r="V403" s="3">
        <f t="shared" si="182"/>
        <v>5322.9051527323063</v>
      </c>
      <c r="W403" s="3">
        <f t="shared" si="188"/>
        <v>2081255.9147183318</v>
      </c>
      <c r="X403" s="3">
        <f t="shared" si="183"/>
        <v>169.86777777777777</v>
      </c>
      <c r="Y403" s="3">
        <f t="shared" si="184"/>
        <v>169.86777777777777</v>
      </c>
      <c r="Z403" s="3">
        <f t="shared" si="189"/>
        <v>904190.06961651973</v>
      </c>
    </row>
    <row r="404" spans="1:26" x14ac:dyDescent="0.45">
      <c r="A404">
        <f t="shared" si="170"/>
        <v>392</v>
      </c>
      <c r="B404" s="3">
        <f t="shared" si="172"/>
        <v>5.8569346105789251</v>
      </c>
      <c r="C404" s="3">
        <f t="shared" si="171"/>
        <v>2295.9183673469388</v>
      </c>
      <c r="D404" s="3">
        <f t="shared" si="173"/>
        <v>2.0566211645883656E-4</v>
      </c>
      <c r="E404" s="3">
        <f t="shared" si="174"/>
        <v>170.73777777777778</v>
      </c>
      <c r="F404" s="3"/>
      <c r="G404" s="3">
        <f t="shared" si="175"/>
        <v>209191533.85919622</v>
      </c>
      <c r="H404" s="3">
        <f t="shared" si="176"/>
        <v>229591.83673469388</v>
      </c>
      <c r="I404" s="3">
        <f t="shared" si="185"/>
        <v>104596018.91086632</v>
      </c>
      <c r="J404" s="3">
        <f t="shared" si="177"/>
        <v>8.2264450217102751E-4</v>
      </c>
      <c r="K404" s="3">
        <f t="shared" si="186"/>
        <v>4.8181750569679608E-3</v>
      </c>
      <c r="L404" s="3">
        <f t="shared" si="169"/>
        <v>4.8181750569679617E-3</v>
      </c>
      <c r="O404" s="9">
        <f t="shared" si="178"/>
        <v>4.8181750572435621E-6</v>
      </c>
      <c r="P404" s="9">
        <f t="shared" si="187"/>
        <v>207546.4610447408</v>
      </c>
      <c r="Q404" s="3">
        <f t="shared" si="179"/>
        <v>1215591.9079307236</v>
      </c>
      <c r="R404" s="3">
        <f t="shared" si="180"/>
        <v>207546461.05437702</v>
      </c>
      <c r="S404" s="3">
        <f t="shared" si="181"/>
        <v>207546461.05437702</v>
      </c>
      <c r="T404" s="3"/>
      <c r="U404" s="3"/>
      <c r="V404" s="3">
        <f t="shared" si="182"/>
        <v>5336.5187208978623</v>
      </c>
      <c r="W404" s="3">
        <f t="shared" si="188"/>
        <v>2091915.3385919621</v>
      </c>
      <c r="X404" s="3">
        <f t="shared" si="183"/>
        <v>170.73777777777778</v>
      </c>
      <c r="Y404" s="3">
        <f t="shared" si="184"/>
        <v>170.73777777777778</v>
      </c>
      <c r="Z404" s="3">
        <f t="shared" si="189"/>
        <v>911145.34747561009</v>
      </c>
    </row>
    <row r="405" spans="1:26" x14ac:dyDescent="0.45">
      <c r="A405">
        <f t="shared" si="170"/>
        <v>393</v>
      </c>
      <c r="B405" s="3">
        <f t="shared" si="172"/>
        <v>5.8271662490530858</v>
      </c>
      <c r="C405" s="3">
        <f t="shared" si="171"/>
        <v>2290.0763358778627</v>
      </c>
      <c r="D405" s="3">
        <f t="shared" si="173"/>
        <v>2.0357683933631691E-4</v>
      </c>
      <c r="E405" s="3">
        <f t="shared" si="174"/>
        <v>171.61</v>
      </c>
      <c r="F405" s="3"/>
      <c r="G405" s="3">
        <f t="shared" si="175"/>
        <v>210260198.96019232</v>
      </c>
      <c r="H405" s="3">
        <f t="shared" si="176"/>
        <v>229007.63358778626</v>
      </c>
      <c r="I405" s="3">
        <f t="shared" si="185"/>
        <v>105130348.90644641</v>
      </c>
      <c r="J405" s="3">
        <f t="shared" si="177"/>
        <v>8.1430349339021947E-4</v>
      </c>
      <c r="K405" s="3">
        <f t="shared" si="186"/>
        <v>4.745081833169509E-3</v>
      </c>
      <c r="L405" s="3">
        <f t="shared" si="169"/>
        <v>4.7450818331695116E-3</v>
      </c>
      <c r="O405" s="9">
        <f t="shared" si="178"/>
        <v>4.7450818334409299E-6</v>
      </c>
      <c r="P405" s="9">
        <f t="shared" si="187"/>
        <v>210743.5214016136</v>
      </c>
      <c r="Q405" s="3">
        <f t="shared" si="179"/>
        <v>1228043.3622843286</v>
      </c>
      <c r="R405" s="3">
        <f t="shared" si="180"/>
        <v>210743521.41110367</v>
      </c>
      <c r="S405" s="3">
        <f t="shared" si="181"/>
        <v>210743521.41110367</v>
      </c>
      <c r="T405" s="3"/>
      <c r="U405" s="3"/>
      <c r="V405" s="3">
        <f t="shared" si="182"/>
        <v>5350.1322890634183</v>
      </c>
      <c r="W405" s="3">
        <f t="shared" si="188"/>
        <v>2102601.9896019232</v>
      </c>
      <c r="X405" s="3">
        <f t="shared" si="183"/>
        <v>171.61000000000004</v>
      </c>
      <c r="Y405" s="3">
        <f t="shared" si="184"/>
        <v>171.61</v>
      </c>
      <c r="Z405" s="3">
        <f t="shared" si="189"/>
        <v>918136.2021261733</v>
      </c>
    </row>
    <row r="406" spans="1:26" x14ac:dyDescent="0.45">
      <c r="A406">
        <f t="shared" si="170"/>
        <v>394</v>
      </c>
      <c r="B406" s="3">
        <f t="shared" si="172"/>
        <v>5.7976242624133576</v>
      </c>
      <c r="C406" s="3">
        <f t="shared" si="171"/>
        <v>2284.263959390863</v>
      </c>
      <c r="D406" s="3">
        <f t="shared" si="173"/>
        <v>2.0151792450202226E-4</v>
      </c>
      <c r="E406" s="3">
        <f t="shared" si="174"/>
        <v>172.48444444444442</v>
      </c>
      <c r="F406" s="3"/>
      <c r="G406" s="3">
        <f t="shared" si="175"/>
        <v>211331586.77482158</v>
      </c>
      <c r="H406" s="3">
        <f t="shared" si="176"/>
        <v>228426.3959390863</v>
      </c>
      <c r="I406" s="3">
        <f t="shared" si="185"/>
        <v>105666040.29114249</v>
      </c>
      <c r="J406" s="3">
        <f t="shared" si="177"/>
        <v>8.0606793101015498E-4</v>
      </c>
      <c r="K406" s="3">
        <f t="shared" si="186"/>
        <v>4.673278993977811E-3</v>
      </c>
      <c r="L406" s="3">
        <f t="shared" ref="L406:L469" si="190">IMPROVED_MBPS*IMPROVED_KM^2*B406^3*A406^2/((A406*PI()*AVG_SUN_DIST)^2+(DIST_RINGS_EM*B406)^2)</f>
        <v>4.6732789939778136E-3</v>
      </c>
      <c r="O406" s="9">
        <f t="shared" si="178"/>
        <v>4.6732789942451242E-6</v>
      </c>
      <c r="P406" s="9">
        <f t="shared" si="187"/>
        <v>213981.51660802678</v>
      </c>
      <c r="Q406" s="3">
        <f t="shared" si="179"/>
        <v>1240590.2300189652</v>
      </c>
      <c r="R406" s="3">
        <f t="shared" si="180"/>
        <v>213981516.6173732</v>
      </c>
      <c r="S406" s="3">
        <f t="shared" si="181"/>
        <v>213981516.61737317</v>
      </c>
      <c r="T406" s="3"/>
      <c r="U406" s="3"/>
      <c r="V406" s="3">
        <f t="shared" si="182"/>
        <v>5363.7458572289743</v>
      </c>
      <c r="W406" s="3">
        <f t="shared" si="188"/>
        <v>2113315.8677482158</v>
      </c>
      <c r="X406" s="3">
        <f t="shared" si="183"/>
        <v>172.48444444444448</v>
      </c>
      <c r="Y406" s="3">
        <f t="shared" si="184"/>
        <v>172.48444444444442</v>
      </c>
      <c r="Z406" s="3">
        <f t="shared" si="189"/>
        <v>925162.72432532988</v>
      </c>
    </row>
    <row r="407" spans="1:26" x14ac:dyDescent="0.45">
      <c r="A407">
        <f t="shared" si="170"/>
        <v>395</v>
      </c>
      <c r="B407" s="3">
        <f t="shared" si="172"/>
        <v>5.7683063611600707</v>
      </c>
      <c r="C407" s="3">
        <f t="shared" si="171"/>
        <v>2278.4810126582279</v>
      </c>
      <c r="D407" s="3">
        <f t="shared" si="173"/>
        <v>1.9948497303551082E-4</v>
      </c>
      <c r="E407" s="3">
        <f t="shared" si="174"/>
        <v>173.36111111111109</v>
      </c>
      <c r="F407" s="3"/>
      <c r="G407" s="3">
        <f t="shared" si="175"/>
        <v>212405697.30308393</v>
      </c>
      <c r="H407" s="3">
        <f t="shared" si="176"/>
        <v>227848.1012658228</v>
      </c>
      <c r="I407" s="3">
        <f t="shared" si="185"/>
        <v>106203093.06446578</v>
      </c>
      <c r="J407" s="3">
        <f t="shared" si="177"/>
        <v>7.9793621943172893E-4</v>
      </c>
      <c r="K407" s="3">
        <f t="shared" si="186"/>
        <v>4.6027405703480597E-3</v>
      </c>
      <c r="L407" s="3">
        <f t="shared" si="190"/>
        <v>4.6027405703480606E-3</v>
      </c>
      <c r="O407" s="9">
        <f t="shared" si="178"/>
        <v>4.602740570611338E-6</v>
      </c>
      <c r="P407" s="9">
        <f t="shared" si="187"/>
        <v>217260.86489523991</v>
      </c>
      <c r="Q407" s="3">
        <f t="shared" si="179"/>
        <v>1253232.9973127123</v>
      </c>
      <c r="R407" s="3">
        <f t="shared" si="180"/>
        <v>217260864.90444523</v>
      </c>
      <c r="S407" s="3">
        <f t="shared" si="181"/>
        <v>217260864.90444529</v>
      </c>
      <c r="T407" s="3"/>
      <c r="U407" s="3"/>
      <c r="V407" s="3">
        <f t="shared" si="182"/>
        <v>5377.3594253945303</v>
      </c>
      <c r="W407" s="3">
        <f t="shared" si="188"/>
        <v>2124056.9730308396</v>
      </c>
      <c r="X407" s="3">
        <f t="shared" si="183"/>
        <v>173.36111111111117</v>
      </c>
      <c r="Y407" s="3">
        <f t="shared" si="184"/>
        <v>173.36111111111109</v>
      </c>
      <c r="Z407" s="3">
        <f t="shared" si="189"/>
        <v>932225.00483020162</v>
      </c>
    </row>
    <row r="408" spans="1:26" x14ac:dyDescent="0.45">
      <c r="A408">
        <f t="shared" ref="A408:A471" si="191">A407+1</f>
        <v>396</v>
      </c>
      <c r="B408" s="3">
        <f t="shared" si="172"/>
        <v>5.7392102846648303</v>
      </c>
      <c r="C408" s="3">
        <f t="shared" ref="C408:C471" si="192">B408*A408</f>
        <v>2272.727272727273</v>
      </c>
      <c r="D408" s="3">
        <f t="shared" si="173"/>
        <v>1.9747759304126491E-4</v>
      </c>
      <c r="E408" s="3">
        <f t="shared" si="174"/>
        <v>174.24</v>
      </c>
      <c r="F408" s="3"/>
      <c r="G408" s="3">
        <f t="shared" si="175"/>
        <v>213482530.54497936</v>
      </c>
      <c r="H408" s="3">
        <f t="shared" si="176"/>
        <v>227272.72727272726</v>
      </c>
      <c r="I408" s="3">
        <f t="shared" si="185"/>
        <v>106741507.22593613</v>
      </c>
      <c r="J408" s="3">
        <f t="shared" si="177"/>
        <v>7.899067911528501E-4</v>
      </c>
      <c r="K408" s="3">
        <f t="shared" si="186"/>
        <v>4.5334411797110317E-3</v>
      </c>
      <c r="L408" s="3">
        <f t="shared" si="190"/>
        <v>4.5334411797110317E-3</v>
      </c>
      <c r="O408" s="9">
        <f t="shared" si="178"/>
        <v>4.5334411799703466E-6</v>
      </c>
      <c r="P408" s="9">
        <f t="shared" si="187"/>
        <v>220581.9876911607</v>
      </c>
      <c r="Q408" s="3">
        <f t="shared" si="179"/>
        <v>1265972.1515792052</v>
      </c>
      <c r="R408" s="3">
        <f t="shared" si="180"/>
        <v>220581987.7002275</v>
      </c>
      <c r="S408" s="3">
        <f t="shared" si="181"/>
        <v>220581987.70022744</v>
      </c>
      <c r="T408" s="3"/>
      <c r="U408" s="3"/>
      <c r="V408" s="3">
        <f t="shared" si="182"/>
        <v>5390.9729935600853</v>
      </c>
      <c r="W408" s="3">
        <f t="shared" si="188"/>
        <v>2134825.3054497936</v>
      </c>
      <c r="X408" s="3">
        <f t="shared" si="183"/>
        <v>174.24</v>
      </c>
      <c r="Y408" s="3">
        <f t="shared" si="184"/>
        <v>174.24</v>
      </c>
      <c r="Z408" s="3">
        <f t="shared" si="189"/>
        <v>939323.13439790928</v>
      </c>
    </row>
    <row r="409" spans="1:26" x14ac:dyDescent="0.45">
      <c r="A409">
        <f t="shared" si="191"/>
        <v>397</v>
      </c>
      <c r="B409" s="3">
        <f t="shared" si="172"/>
        <v>5.7103338007347295</v>
      </c>
      <c r="C409" s="3">
        <f t="shared" si="192"/>
        <v>2267.0025188916875</v>
      </c>
      <c r="D409" s="3">
        <f t="shared" si="173"/>
        <v>1.9549539950766597E-4</v>
      </c>
      <c r="E409" s="3">
        <f t="shared" si="174"/>
        <v>175.12111111111111</v>
      </c>
      <c r="F409" s="3"/>
      <c r="G409" s="3">
        <f t="shared" si="175"/>
        <v>214562086.50050795</v>
      </c>
      <c r="H409" s="3">
        <f t="shared" si="176"/>
        <v>226700.25188916878</v>
      </c>
      <c r="I409" s="3">
        <f t="shared" si="185"/>
        <v>107281282.77508183</v>
      </c>
      <c r="J409" s="3">
        <f t="shared" si="177"/>
        <v>7.8197810620443447E-4</v>
      </c>
      <c r="K409" s="3">
        <f t="shared" si="186"/>
        <v>4.4653560112937144E-3</v>
      </c>
      <c r="L409" s="3">
        <f t="shared" si="190"/>
        <v>4.4653560112937135E-3</v>
      </c>
      <c r="O409" s="9">
        <f t="shared" si="178"/>
        <v>4.4653560115491343E-6</v>
      </c>
      <c r="P409" s="9">
        <f t="shared" si="187"/>
        <v>223945.30963659202</v>
      </c>
      <c r="Q409" s="3">
        <f t="shared" si="179"/>
        <v>1278808.1814676372</v>
      </c>
      <c r="R409" s="3">
        <f t="shared" si="180"/>
        <v>223945309.64552259</v>
      </c>
      <c r="S409" s="3">
        <f t="shared" si="181"/>
        <v>223945309.64552268</v>
      </c>
      <c r="T409" s="3"/>
      <c r="U409" s="3"/>
      <c r="V409" s="3">
        <f t="shared" si="182"/>
        <v>5404.5865617256404</v>
      </c>
      <c r="W409" s="3">
        <f t="shared" si="188"/>
        <v>2145620.8650050792</v>
      </c>
      <c r="X409" s="3">
        <f t="shared" si="183"/>
        <v>175.12111111111108</v>
      </c>
      <c r="Y409" s="3">
        <f t="shared" si="184"/>
        <v>175.12111111111111</v>
      </c>
      <c r="Z409" s="3">
        <f t="shared" si="189"/>
        <v>946457.20378557383</v>
      </c>
    </row>
    <row r="410" spans="1:26" x14ac:dyDescent="0.45">
      <c r="A410">
        <f t="shared" si="191"/>
        <v>398</v>
      </c>
      <c r="B410" s="3">
        <f t="shared" si="172"/>
        <v>5.6816747051842125</v>
      </c>
      <c r="C410" s="3">
        <f t="shared" si="192"/>
        <v>2261.3065326633164</v>
      </c>
      <c r="D410" s="3">
        <f t="shared" si="173"/>
        <v>1.9353801416914618E-4</v>
      </c>
      <c r="E410" s="3">
        <f t="shared" si="174"/>
        <v>176.00444444444446</v>
      </c>
      <c r="F410" s="3"/>
      <c r="G410" s="3">
        <f t="shared" si="175"/>
        <v>215644365.16966963</v>
      </c>
      <c r="H410" s="3">
        <f t="shared" si="176"/>
        <v>226130.65326633165</v>
      </c>
      <c r="I410" s="3">
        <f t="shared" si="185"/>
        <v>107822419.71143943</v>
      </c>
      <c r="J410" s="3">
        <f t="shared" si="177"/>
        <v>7.7414865159910107E-4</v>
      </c>
      <c r="K410" s="3">
        <f t="shared" si="186"/>
        <v>4.3984608118430779E-3</v>
      </c>
      <c r="L410" s="3">
        <f t="shared" si="190"/>
        <v>4.3984608118430779E-3</v>
      </c>
      <c r="O410" s="9">
        <f t="shared" si="178"/>
        <v>4.3984608120946712E-6</v>
      </c>
      <c r="P410" s="9">
        <f t="shared" si="187"/>
        <v>227351.25860152015</v>
      </c>
      <c r="Q410" s="3">
        <f t="shared" si="179"/>
        <v>1291741.5768627569</v>
      </c>
      <c r="R410" s="3">
        <f t="shared" si="180"/>
        <v>227351258.61031696</v>
      </c>
      <c r="S410" s="3">
        <f t="shared" si="181"/>
        <v>227351258.6103169</v>
      </c>
      <c r="T410" s="3"/>
      <c r="U410" s="3"/>
      <c r="V410" s="3">
        <f t="shared" si="182"/>
        <v>5418.2001298911964</v>
      </c>
      <c r="W410" s="3">
        <f t="shared" si="188"/>
        <v>2156443.6516966959</v>
      </c>
      <c r="X410" s="3">
        <f t="shared" si="183"/>
        <v>176.00444444444443</v>
      </c>
      <c r="Y410" s="3">
        <f t="shared" si="184"/>
        <v>176.00444444444446</v>
      </c>
      <c r="Z410" s="3">
        <f t="shared" si="189"/>
        <v>953627.30375031685</v>
      </c>
    </row>
    <row r="411" spans="1:26" x14ac:dyDescent="0.45">
      <c r="A411">
        <f t="shared" si="191"/>
        <v>399</v>
      </c>
      <c r="B411" s="3">
        <f t="shared" si="172"/>
        <v>5.6532308214144384</v>
      </c>
      <c r="C411" s="3">
        <f t="shared" si="192"/>
        <v>2255.6390977443612</v>
      </c>
      <c r="D411" s="3">
        <f t="shared" si="173"/>
        <v>1.916050653714378E-4</v>
      </c>
      <c r="E411" s="3">
        <f t="shared" si="174"/>
        <v>176.89000000000001</v>
      </c>
      <c r="F411" s="3"/>
      <c r="G411" s="3">
        <f t="shared" si="175"/>
        <v>216729366.55246443</v>
      </c>
      <c r="H411" s="3">
        <f t="shared" si="176"/>
        <v>225563.90977443609</v>
      </c>
      <c r="I411" s="3">
        <f t="shared" si="185"/>
        <v>108364918.03455357</v>
      </c>
      <c r="J411" s="3">
        <f t="shared" si="177"/>
        <v>7.6641694079225705E-4</v>
      </c>
      <c r="K411" s="3">
        <f t="shared" si="186"/>
        <v>4.3327318717409522E-3</v>
      </c>
      <c r="L411" s="3">
        <f t="shared" si="190"/>
        <v>4.3327318717409531E-3</v>
      </c>
      <c r="O411" s="9">
        <f t="shared" si="178"/>
        <v>4.3327318719887866E-6</v>
      </c>
      <c r="P411" s="9">
        <f t="shared" si="187"/>
        <v>230800.26570144427</v>
      </c>
      <c r="Q411" s="3">
        <f t="shared" si="179"/>
        <v>1304772.8288848677</v>
      </c>
      <c r="R411" s="3">
        <f t="shared" si="180"/>
        <v>230800265.71010959</v>
      </c>
      <c r="S411" s="3">
        <f t="shared" si="181"/>
        <v>230800265.71010959</v>
      </c>
      <c r="T411" s="3"/>
      <c r="U411" s="3"/>
      <c r="V411" s="3">
        <f t="shared" si="182"/>
        <v>5431.8136980567524</v>
      </c>
      <c r="W411" s="3">
        <f t="shared" si="188"/>
        <v>2167293.6655246443</v>
      </c>
      <c r="X411" s="3">
        <f t="shared" si="183"/>
        <v>176.89000000000001</v>
      </c>
      <c r="Y411" s="3">
        <f t="shared" si="184"/>
        <v>176.89000000000001</v>
      </c>
      <c r="Z411" s="3">
        <f t="shared" si="189"/>
        <v>960833.52504925895</v>
      </c>
    </row>
    <row r="412" spans="1:26" x14ac:dyDescent="0.45">
      <c r="A412">
        <f t="shared" si="191"/>
        <v>400</v>
      </c>
      <c r="B412" s="3">
        <f t="shared" si="172"/>
        <v>5.625</v>
      </c>
      <c r="C412" s="3">
        <f t="shared" si="192"/>
        <v>2250</v>
      </c>
      <c r="D412" s="3">
        <f t="shared" si="173"/>
        <v>1.8969618793984283E-4</v>
      </c>
      <c r="E412" s="3">
        <f t="shared" si="174"/>
        <v>177.77777777777777</v>
      </c>
      <c r="F412" s="3"/>
      <c r="G412" s="3">
        <f t="shared" si="175"/>
        <v>217817090.64889234</v>
      </c>
      <c r="H412" s="3">
        <f t="shared" si="176"/>
        <v>225000</v>
      </c>
      <c r="I412" s="3">
        <f t="shared" si="185"/>
        <v>108908777.74397685</v>
      </c>
      <c r="J412" s="3">
        <f t="shared" si="177"/>
        <v>7.5878151315525932E-4</v>
      </c>
      <c r="K412" s="3">
        <f t="shared" si="186"/>
        <v>4.268146011498334E-3</v>
      </c>
      <c r="L412" s="3">
        <f t="shared" si="190"/>
        <v>4.268146011498334E-3</v>
      </c>
      <c r="O412" s="9">
        <f t="shared" si="178"/>
        <v>4.2681460117424735E-6</v>
      </c>
      <c r="P412" s="9">
        <f t="shared" si="187"/>
        <v>234292.76531374786</v>
      </c>
      <c r="Q412" s="3">
        <f t="shared" si="179"/>
        <v>1317902.4298898317</v>
      </c>
      <c r="R412" s="3">
        <f t="shared" si="180"/>
        <v>234292765.32228401</v>
      </c>
      <c r="S412" s="3">
        <f t="shared" si="181"/>
        <v>234292765.32228401</v>
      </c>
      <c r="T412" s="3"/>
      <c r="U412" s="3"/>
      <c r="V412" s="3">
        <f t="shared" si="182"/>
        <v>5445.4272662223084</v>
      </c>
      <c r="W412" s="3">
        <f t="shared" si="188"/>
        <v>2178170.9064889234</v>
      </c>
      <c r="X412" s="3">
        <f t="shared" si="183"/>
        <v>177.7777777777778</v>
      </c>
      <c r="Y412" s="3">
        <f t="shared" si="184"/>
        <v>177.77777777777777</v>
      </c>
      <c r="Z412" s="3">
        <f t="shared" si="189"/>
        <v>968075.95843952149</v>
      </c>
    </row>
    <row r="413" spans="1:26" x14ac:dyDescent="0.45">
      <c r="A413">
        <f t="shared" si="191"/>
        <v>401</v>
      </c>
      <c r="B413" s="3">
        <f t="shared" si="172"/>
        <v>5.5969801182828469</v>
      </c>
      <c r="C413" s="3">
        <f t="shared" si="192"/>
        <v>2244.3890274314217</v>
      </c>
      <c r="D413" s="3">
        <f t="shared" si="173"/>
        <v>1.8781102305044867E-4</v>
      </c>
      <c r="E413" s="3">
        <f t="shared" si="174"/>
        <v>178.66777777777776</v>
      </c>
      <c r="F413" s="3"/>
      <c r="G413" s="3">
        <f t="shared" si="175"/>
        <v>218907537.45895335</v>
      </c>
      <c r="H413" s="3">
        <f t="shared" si="176"/>
        <v>224438.90274314216</v>
      </c>
      <c r="I413" s="3">
        <f t="shared" si="185"/>
        <v>109453998.83926959</v>
      </c>
      <c r="J413" s="3">
        <f t="shared" si="177"/>
        <v>7.5124093346035775E-4</v>
      </c>
      <c r="K413" s="3">
        <f t="shared" si="186"/>
        <v>4.2046805686178695E-3</v>
      </c>
      <c r="L413" s="3">
        <f t="shared" si="190"/>
        <v>4.2046805686178704E-3</v>
      </c>
      <c r="O413" s="9">
        <f t="shared" si="178"/>
        <v>4.2046805688583785E-6</v>
      </c>
      <c r="P413" s="9">
        <f t="shared" si="187"/>
        <v>237829.19509410963</v>
      </c>
      <c r="Q413" s="3">
        <f t="shared" si="179"/>
        <v>1331130.8734690624</v>
      </c>
      <c r="R413" s="3">
        <f t="shared" si="180"/>
        <v>237829195.10251889</v>
      </c>
      <c r="S413" s="3">
        <f t="shared" si="181"/>
        <v>237829195.10251892</v>
      </c>
      <c r="T413" s="3"/>
      <c r="U413" s="3"/>
      <c r="V413" s="3">
        <f t="shared" si="182"/>
        <v>5459.0408343878644</v>
      </c>
      <c r="W413" s="3">
        <f t="shared" si="188"/>
        <v>2189075.3745895335</v>
      </c>
      <c r="X413" s="3">
        <f t="shared" si="183"/>
        <v>178.66777777777781</v>
      </c>
      <c r="Y413" s="3">
        <f t="shared" si="184"/>
        <v>178.66777777777776</v>
      </c>
      <c r="Z413" s="3">
        <f t="shared" si="189"/>
        <v>975354.69467822544</v>
      </c>
    </row>
    <row r="414" spans="1:26" x14ac:dyDescent="0.45">
      <c r="A414">
        <f t="shared" si="191"/>
        <v>402</v>
      </c>
      <c r="B414" s="3">
        <f t="shared" si="172"/>
        <v>5.5691690799732676</v>
      </c>
      <c r="C414" s="3">
        <f t="shared" si="192"/>
        <v>2238.8059701492534</v>
      </c>
      <c r="D414" s="3">
        <f t="shared" si="173"/>
        <v>1.8594921810421555E-4</v>
      </c>
      <c r="E414" s="3">
        <f t="shared" si="174"/>
        <v>179.56</v>
      </c>
      <c r="F414" s="3"/>
      <c r="G414" s="3">
        <f t="shared" si="175"/>
        <v>220000706.98264751</v>
      </c>
      <c r="H414" s="3">
        <f t="shared" si="176"/>
        <v>223880.59701492538</v>
      </c>
      <c r="I414" s="3">
        <f t="shared" si="185"/>
        <v>110000581.31999986</v>
      </c>
      <c r="J414" s="3">
        <f t="shared" si="177"/>
        <v>7.4379379137712179E-4</v>
      </c>
      <c r="K414" s="3">
        <f t="shared" si="186"/>
        <v>4.1423133848135542E-3</v>
      </c>
      <c r="L414" s="3">
        <f t="shared" si="190"/>
        <v>4.1423133848135542E-3</v>
      </c>
      <c r="O414" s="9">
        <f t="shared" si="178"/>
        <v>4.1423133850504957E-6</v>
      </c>
      <c r="P414" s="9">
        <f t="shared" si="187"/>
        <v>241409.99599295764</v>
      </c>
      <c r="Q414" s="3">
        <f t="shared" si="179"/>
        <v>1344458.6544495302</v>
      </c>
      <c r="R414" s="3">
        <f t="shared" si="180"/>
        <v>241409996.00124213</v>
      </c>
      <c r="S414" s="3">
        <f t="shared" si="181"/>
        <v>241409996.00124213</v>
      </c>
      <c r="T414" s="3"/>
      <c r="U414" s="3"/>
      <c r="V414" s="3">
        <f t="shared" si="182"/>
        <v>5472.6544025534204</v>
      </c>
      <c r="W414" s="3">
        <f t="shared" si="188"/>
        <v>2200007.0698264749</v>
      </c>
      <c r="X414" s="3">
        <f t="shared" si="183"/>
        <v>179.56000000000006</v>
      </c>
      <c r="Y414" s="3">
        <f t="shared" si="184"/>
        <v>179.56</v>
      </c>
      <c r="Z414" s="3">
        <f t="shared" si="189"/>
        <v>982669.82452249213</v>
      </c>
    </row>
    <row r="415" spans="1:26" x14ac:dyDescent="0.45">
      <c r="A415">
        <f t="shared" si="191"/>
        <v>403</v>
      </c>
      <c r="B415" s="3">
        <f t="shared" si="172"/>
        <v>5.5415648147578027</v>
      </c>
      <c r="C415" s="3">
        <f t="shared" si="192"/>
        <v>2233.2506203473945</v>
      </c>
      <c r="D415" s="3">
        <f t="shared" si="173"/>
        <v>1.8411042660386624E-4</v>
      </c>
      <c r="E415" s="3">
        <f t="shared" si="174"/>
        <v>180.45444444444445</v>
      </c>
      <c r="F415" s="3"/>
      <c r="G415" s="3">
        <f t="shared" si="175"/>
        <v>221096599.21997473</v>
      </c>
      <c r="H415" s="3">
        <f t="shared" si="176"/>
        <v>223325.06203473944</v>
      </c>
      <c r="I415" s="3">
        <f t="shared" si="185"/>
        <v>110548525.18574305</v>
      </c>
      <c r="J415" s="3">
        <f t="shared" si="177"/>
        <v>7.3643870098007473E-4</v>
      </c>
      <c r="K415" s="3">
        <f t="shared" si="186"/>
        <v>4.0810227935771243E-3</v>
      </c>
      <c r="L415" s="3">
        <f t="shared" si="190"/>
        <v>4.081022793577126E-3</v>
      </c>
      <c r="O415" s="9">
        <f t="shared" si="178"/>
        <v>4.0810227938105601E-6</v>
      </c>
      <c r="P415" s="9">
        <f t="shared" si="187"/>
        <v>245035.61227196266</v>
      </c>
      <c r="Q415" s="3">
        <f t="shared" si="179"/>
        <v>1357886.2688937583</v>
      </c>
      <c r="R415" s="3">
        <f t="shared" si="180"/>
        <v>245035612.28012466</v>
      </c>
      <c r="S415" s="3">
        <f t="shared" si="181"/>
        <v>245035612.28012457</v>
      </c>
      <c r="T415" s="3"/>
      <c r="U415" s="3"/>
      <c r="V415" s="3">
        <f t="shared" si="182"/>
        <v>5486.2679707189754</v>
      </c>
      <c r="W415" s="3">
        <f t="shared" si="188"/>
        <v>2210965.9921997469</v>
      </c>
      <c r="X415" s="3">
        <f t="shared" si="183"/>
        <v>180.45444444444445</v>
      </c>
      <c r="Y415" s="3">
        <f t="shared" si="184"/>
        <v>180.45444444444445</v>
      </c>
      <c r="Z415" s="3">
        <f t="shared" si="189"/>
        <v>990021.43872944231</v>
      </c>
    </row>
    <row r="416" spans="1:26" x14ac:dyDescent="0.45">
      <c r="A416">
        <f t="shared" si="191"/>
        <v>404</v>
      </c>
      <c r="B416" s="3">
        <f t="shared" si="172"/>
        <v>5.5141652779139303</v>
      </c>
      <c r="C416" s="3">
        <f t="shared" si="192"/>
        <v>2227.7227722772277</v>
      </c>
      <c r="D416" s="3">
        <f t="shared" si="173"/>
        <v>1.8229430803350726E-4</v>
      </c>
      <c r="E416" s="3">
        <f t="shared" si="174"/>
        <v>181.35111111111109</v>
      </c>
      <c r="F416" s="3"/>
      <c r="G416" s="3">
        <f t="shared" si="175"/>
        <v>222195214.17093506</v>
      </c>
      <c r="H416" s="3">
        <f t="shared" si="176"/>
        <v>222772.27722772278</v>
      </c>
      <c r="I416" s="3">
        <f t="shared" si="185"/>
        <v>111097830.43608201</v>
      </c>
      <c r="J416" s="3">
        <f t="shared" si="177"/>
        <v>7.2917430026724962E-4</v>
      </c>
      <c r="K416" s="3">
        <f t="shared" si="186"/>
        <v>4.0207876080808544E-3</v>
      </c>
      <c r="L416" s="3">
        <f t="shared" si="190"/>
        <v>4.0207876080808561E-3</v>
      </c>
      <c r="O416" s="9">
        <f t="shared" si="178"/>
        <v>4.0207876083108446E-6</v>
      </c>
      <c r="P416" s="9">
        <f t="shared" si="187"/>
        <v>248706.4915205744</v>
      </c>
      <c r="Q416" s="3">
        <f t="shared" si="179"/>
        <v>1371414.2140998247</v>
      </c>
      <c r="R416" s="3">
        <f t="shared" si="180"/>
        <v>248706491.52861586</v>
      </c>
      <c r="S416" s="3">
        <f t="shared" si="181"/>
        <v>248706491.52861586</v>
      </c>
      <c r="T416" s="3"/>
      <c r="U416" s="3"/>
      <c r="V416" s="3">
        <f t="shared" si="182"/>
        <v>5499.8815388845314</v>
      </c>
      <c r="W416" s="3">
        <f t="shared" si="188"/>
        <v>2221952.1417093505</v>
      </c>
      <c r="X416" s="3">
        <f t="shared" si="183"/>
        <v>181.35111111111112</v>
      </c>
      <c r="Y416" s="3">
        <f t="shared" si="184"/>
        <v>181.35111111111109</v>
      </c>
      <c r="Z416" s="3">
        <f t="shared" si="189"/>
        <v>997409.62805619731</v>
      </c>
    </row>
    <row r="417" spans="1:26" x14ac:dyDescent="0.45">
      <c r="A417">
        <f t="shared" si="191"/>
        <v>405</v>
      </c>
      <c r="B417" s="3">
        <f t="shared" si="172"/>
        <v>5.4869684499314131</v>
      </c>
      <c r="C417" s="3">
        <f t="shared" si="192"/>
        <v>2222.2222222222222</v>
      </c>
      <c r="D417" s="3">
        <f t="shared" si="173"/>
        <v>1.805005277409158E-4</v>
      </c>
      <c r="E417" s="3">
        <f t="shared" si="174"/>
        <v>182.25</v>
      </c>
      <c r="F417" s="3"/>
      <c r="G417" s="3">
        <f t="shared" si="175"/>
        <v>223296551.83552852</v>
      </c>
      <c r="H417" s="3">
        <f t="shared" si="176"/>
        <v>222222.22222222222</v>
      </c>
      <c r="I417" s="3">
        <f t="shared" si="185"/>
        <v>111648497.07060669</v>
      </c>
      <c r="J417" s="3">
        <f t="shared" si="177"/>
        <v>7.2199925068940714E-4</v>
      </c>
      <c r="K417" s="3">
        <f t="shared" si="186"/>
        <v>3.9615871094068984E-3</v>
      </c>
      <c r="L417" s="3">
        <f t="shared" si="190"/>
        <v>3.961587109406901E-3</v>
      </c>
      <c r="O417" s="9">
        <f t="shared" si="178"/>
        <v>3.9615871096335028E-6</v>
      </c>
      <c r="P417" s="9">
        <f t="shared" si="187"/>
        <v>252423.08467259799</v>
      </c>
      <c r="Q417" s="3">
        <f t="shared" si="179"/>
        <v>1385042.9886013607</v>
      </c>
      <c r="R417" s="3">
        <f t="shared" si="180"/>
        <v>252423084.68052107</v>
      </c>
      <c r="S417" s="3">
        <f t="shared" si="181"/>
        <v>252423084.68052107</v>
      </c>
      <c r="T417" s="3"/>
      <c r="U417" s="3"/>
      <c r="V417" s="3">
        <f t="shared" si="182"/>
        <v>5513.4951070500874</v>
      </c>
      <c r="W417" s="3">
        <f t="shared" si="188"/>
        <v>2232965.5183552853</v>
      </c>
      <c r="X417" s="3">
        <f t="shared" si="183"/>
        <v>182.25000000000003</v>
      </c>
      <c r="Y417" s="3">
        <f t="shared" si="184"/>
        <v>182.25</v>
      </c>
      <c r="Z417" s="3">
        <f t="shared" si="189"/>
        <v>1004834.4832598785</v>
      </c>
    </row>
    <row r="418" spans="1:26" x14ac:dyDescent="0.45">
      <c r="A418">
        <f t="shared" si="191"/>
        <v>406</v>
      </c>
      <c r="B418" s="3">
        <f t="shared" si="172"/>
        <v>5.4599723361401633</v>
      </c>
      <c r="C418" s="3">
        <f t="shared" si="192"/>
        <v>2216.7487684729062</v>
      </c>
      <c r="D418" s="3">
        <f t="shared" si="173"/>
        <v>1.7872875682242655E-4</v>
      </c>
      <c r="E418" s="3">
        <f t="shared" si="174"/>
        <v>183.15111111111111</v>
      </c>
      <c r="F418" s="3"/>
      <c r="G418" s="3">
        <f t="shared" si="175"/>
        <v>224400612.21375513</v>
      </c>
      <c r="H418" s="3">
        <f t="shared" si="176"/>
        <v>221674.87684729064</v>
      </c>
      <c r="I418" s="3">
        <f t="shared" si="185"/>
        <v>112200525.08891416</v>
      </c>
      <c r="J418" s="3">
        <f t="shared" si="177"/>
        <v>7.149122366896483E-4</v>
      </c>
      <c r="K418" s="3">
        <f t="shared" si="186"/>
        <v>3.9034010350935686E-3</v>
      </c>
      <c r="L418" s="3">
        <f t="shared" si="190"/>
        <v>3.9034010350935708E-3</v>
      </c>
      <c r="O418" s="9">
        <f t="shared" si="178"/>
        <v>3.9034010353168448E-6</v>
      </c>
      <c r="P418" s="9">
        <f t="shared" si="187"/>
        <v>256185.84602281163</v>
      </c>
      <c r="Q418" s="3">
        <f t="shared" si="179"/>
        <v>1398773.0921675512</v>
      </c>
      <c r="R418" s="3">
        <f t="shared" si="180"/>
        <v>256185846.03061828</v>
      </c>
      <c r="S418" s="3">
        <f t="shared" si="181"/>
        <v>256185846.03061834</v>
      </c>
      <c r="T418" s="3"/>
      <c r="U418" s="3"/>
      <c r="V418" s="3">
        <f t="shared" si="182"/>
        <v>5527.1086752156434</v>
      </c>
      <c r="W418" s="3">
        <f t="shared" si="188"/>
        <v>2244006.1221375512</v>
      </c>
      <c r="X418" s="3">
        <f t="shared" si="183"/>
        <v>183.15111111111113</v>
      </c>
      <c r="Y418" s="3">
        <f t="shared" si="184"/>
        <v>183.15111111111111</v>
      </c>
      <c r="Z418" s="3">
        <f t="shared" si="189"/>
        <v>1012296.0950976064</v>
      </c>
    </row>
    <row r="419" spans="1:26" x14ac:dyDescent="0.45">
      <c r="A419">
        <f t="shared" si="191"/>
        <v>407</v>
      </c>
      <c r="B419" s="3">
        <f t="shared" si="172"/>
        <v>5.4331749663444997</v>
      </c>
      <c r="C419" s="3">
        <f t="shared" si="192"/>
        <v>2211.3022113022112</v>
      </c>
      <c r="D419" s="3">
        <f t="shared" si="173"/>
        <v>1.7697867201035407E-4</v>
      </c>
      <c r="E419" s="3">
        <f t="shared" si="174"/>
        <v>184.05444444444444</v>
      </c>
      <c r="F419" s="3"/>
      <c r="G419" s="3">
        <f t="shared" si="175"/>
        <v>225507395.3056148</v>
      </c>
      <c r="H419" s="3">
        <f t="shared" si="176"/>
        <v>221130.22113022112</v>
      </c>
      <c r="I419" s="3">
        <f t="shared" si="185"/>
        <v>112753914.49060827</v>
      </c>
      <c r="J419" s="3">
        <f t="shared" si="177"/>
        <v>7.0791196525316969E-4</v>
      </c>
      <c r="K419" s="3">
        <f t="shared" si="186"/>
        <v>3.8462095679892587E-3</v>
      </c>
      <c r="L419" s="3">
        <f t="shared" si="190"/>
        <v>3.8462095679892595E-3</v>
      </c>
      <c r="O419" s="9">
        <f t="shared" si="178"/>
        <v>3.8462095682092634E-6</v>
      </c>
      <c r="P419" s="9">
        <f t="shared" si="187"/>
        <v>259995.23324362555</v>
      </c>
      <c r="Q419" s="3">
        <f t="shared" si="179"/>
        <v>1412605.025803132</v>
      </c>
      <c r="R419" s="3">
        <f t="shared" si="180"/>
        <v>259995233.25131789</v>
      </c>
      <c r="S419" s="3">
        <f t="shared" si="181"/>
        <v>259995233.25131786</v>
      </c>
      <c r="T419" s="3"/>
      <c r="U419" s="3"/>
      <c r="V419" s="3">
        <f t="shared" si="182"/>
        <v>5540.7222433811994</v>
      </c>
      <c r="W419" s="3">
        <f t="shared" si="188"/>
        <v>2255073.9530561483</v>
      </c>
      <c r="X419" s="3">
        <f t="shared" si="183"/>
        <v>184.0544444444445</v>
      </c>
      <c r="Y419" s="3">
        <f t="shared" si="184"/>
        <v>184.05444444444444</v>
      </c>
      <c r="Z419" s="3">
        <f t="shared" si="189"/>
        <v>1019794.5543265025</v>
      </c>
    </row>
    <row r="420" spans="1:26" x14ac:dyDescent="0.45">
      <c r="A420">
        <f t="shared" si="191"/>
        <v>408</v>
      </c>
      <c r="B420" s="3">
        <f t="shared" si="172"/>
        <v>5.4065743944636679</v>
      </c>
      <c r="C420" s="3">
        <f t="shared" si="192"/>
        <v>2205.8823529411766</v>
      </c>
      <c r="D420" s="3">
        <f t="shared" si="173"/>
        <v>1.7524995556288982E-4</v>
      </c>
      <c r="E420" s="3">
        <f t="shared" si="174"/>
        <v>184.96</v>
      </c>
      <c r="F420" s="3"/>
      <c r="G420" s="3">
        <f t="shared" si="175"/>
        <v>226616901.11110759</v>
      </c>
      <c r="H420" s="3">
        <f t="shared" si="176"/>
        <v>220588.23529411765</v>
      </c>
      <c r="I420" s="3">
        <f t="shared" si="185"/>
        <v>113308665.27529979</v>
      </c>
      <c r="J420" s="3">
        <f t="shared" si="177"/>
        <v>7.0099716546691174E-4</v>
      </c>
      <c r="K420" s="3">
        <f t="shared" si="186"/>
        <v>3.789993325405016E-3</v>
      </c>
      <c r="L420" s="3">
        <f t="shared" si="190"/>
        <v>3.7899933254050165E-3</v>
      </c>
      <c r="O420" s="9">
        <f t="shared" si="178"/>
        <v>3.7899933256218051E-6</v>
      </c>
      <c r="P420" s="9">
        <f t="shared" si="187"/>
        <v>263851.70740178286</v>
      </c>
      <c r="Q420" s="3">
        <f t="shared" si="179"/>
        <v>1426539.2917483936</v>
      </c>
      <c r="R420" s="3">
        <f t="shared" si="180"/>
        <v>263851707.40936273</v>
      </c>
      <c r="S420" s="3">
        <f t="shared" si="181"/>
        <v>263851707.40936273</v>
      </c>
      <c r="T420" s="3"/>
      <c r="U420" s="3"/>
      <c r="V420" s="3">
        <f t="shared" si="182"/>
        <v>5554.3358115467554</v>
      </c>
      <c r="W420" s="3">
        <f t="shared" si="188"/>
        <v>2266169.011111076</v>
      </c>
      <c r="X420" s="3">
        <f t="shared" si="183"/>
        <v>184.96000000000009</v>
      </c>
      <c r="Y420" s="3">
        <f t="shared" si="184"/>
        <v>184.96</v>
      </c>
      <c r="Z420" s="3">
        <f t="shared" si="189"/>
        <v>1027329.9517036879</v>
      </c>
    </row>
    <row r="421" spans="1:26" x14ac:dyDescent="0.45">
      <c r="A421">
        <f t="shared" si="191"/>
        <v>409</v>
      </c>
      <c r="B421" s="3">
        <f t="shared" si="172"/>
        <v>5.3801686981785144</v>
      </c>
      <c r="C421" s="3">
        <f t="shared" si="192"/>
        <v>2200.4889975550122</v>
      </c>
      <c r="D421" s="3">
        <f t="shared" si="173"/>
        <v>1.735422951564129E-4</v>
      </c>
      <c r="E421" s="3">
        <f t="shared" si="174"/>
        <v>185.8677777777778</v>
      </c>
      <c r="F421" s="3"/>
      <c r="G421" s="3">
        <f t="shared" si="175"/>
        <v>227729129.63023347</v>
      </c>
      <c r="H421" s="3">
        <f t="shared" si="176"/>
        <v>220048.89975550122</v>
      </c>
      <c r="I421" s="3">
        <f t="shared" si="185"/>
        <v>113864777.44260603</v>
      </c>
      <c r="J421" s="3">
        <f t="shared" si="177"/>
        <v>6.9416658808886306E-4</v>
      </c>
      <c r="K421" s="3">
        <f t="shared" si="186"/>
        <v>3.7347333485570795E-3</v>
      </c>
      <c r="L421" s="3">
        <f t="shared" si="190"/>
        <v>3.7347333485570804E-3</v>
      </c>
      <c r="O421" s="9">
        <f t="shared" si="178"/>
        <v>3.7347333487707079E-6</v>
      </c>
      <c r="P421" s="9">
        <f t="shared" si="187"/>
        <v>267755.73297510017</v>
      </c>
      <c r="Q421" s="3">
        <f t="shared" si="179"/>
        <v>1440576.3934791768</v>
      </c>
      <c r="R421" s="3">
        <f t="shared" si="180"/>
        <v>267755732.98256961</v>
      </c>
      <c r="S421" s="3">
        <f t="shared" si="181"/>
        <v>267755732.98256958</v>
      </c>
      <c r="T421" s="3"/>
      <c r="U421" s="3"/>
      <c r="V421" s="3">
        <f t="shared" si="182"/>
        <v>5567.9493797123105</v>
      </c>
      <c r="W421" s="3">
        <f t="shared" si="188"/>
        <v>2277291.2963023349</v>
      </c>
      <c r="X421" s="3">
        <f t="shared" si="183"/>
        <v>185.8677777777778</v>
      </c>
      <c r="Y421" s="3">
        <f t="shared" si="184"/>
        <v>185.8677777777778</v>
      </c>
      <c r="Z421" s="3">
        <f t="shared" si="189"/>
        <v>1034902.3779862835</v>
      </c>
    </row>
    <row r="422" spans="1:26" x14ac:dyDescent="0.45">
      <c r="A422">
        <f t="shared" si="191"/>
        <v>410</v>
      </c>
      <c r="B422" s="3">
        <f t="shared" si="172"/>
        <v>5.3539559785841764</v>
      </c>
      <c r="C422" s="3">
        <f t="shared" si="192"/>
        <v>2195.1219512195125</v>
      </c>
      <c r="D422" s="3">
        <f t="shared" si="173"/>
        <v>1.7185538378015609E-4</v>
      </c>
      <c r="E422" s="3">
        <f t="shared" si="174"/>
        <v>186.77777777777774</v>
      </c>
      <c r="F422" s="3"/>
      <c r="G422" s="3">
        <f t="shared" si="175"/>
        <v>228844080.8629925</v>
      </c>
      <c r="H422" s="3">
        <f t="shared" si="176"/>
        <v>219512.19512195123</v>
      </c>
      <c r="I422" s="3">
        <f t="shared" si="185"/>
        <v>114422250.99215087</v>
      </c>
      <c r="J422" s="3">
        <f t="shared" si="177"/>
        <v>6.8741900512678126E-4</v>
      </c>
      <c r="K422" s="3">
        <f t="shared" si="186"/>
        <v>3.6804110922909173E-3</v>
      </c>
      <c r="L422" s="3">
        <f t="shared" si="190"/>
        <v>3.680411092290919E-3</v>
      </c>
      <c r="O422" s="9">
        <f t="shared" si="178"/>
        <v>3.6804110925014384E-6</v>
      </c>
      <c r="P422" s="9">
        <f t="shared" si="187"/>
        <v>271707.7778692508</v>
      </c>
      <c r="Q422" s="3">
        <f t="shared" si="179"/>
        <v>1454716.8357068752</v>
      </c>
      <c r="R422" s="3">
        <f t="shared" si="180"/>
        <v>271707777.87661147</v>
      </c>
      <c r="S422" s="3">
        <f t="shared" si="181"/>
        <v>271707777.87661159</v>
      </c>
      <c r="T422" s="3"/>
      <c r="U422" s="3"/>
      <c r="V422" s="3">
        <f t="shared" si="182"/>
        <v>5581.5629478778656</v>
      </c>
      <c r="W422" s="3">
        <f t="shared" si="188"/>
        <v>2288440.8086299249</v>
      </c>
      <c r="X422" s="3">
        <f t="shared" si="183"/>
        <v>186.77777777777774</v>
      </c>
      <c r="Y422" s="3">
        <f t="shared" si="184"/>
        <v>186.77777777777774</v>
      </c>
      <c r="Z422" s="3">
        <f t="shared" si="189"/>
        <v>1042511.9239314101</v>
      </c>
    </row>
    <row r="423" spans="1:26" x14ac:dyDescent="0.45">
      <c r="A423">
        <f t="shared" si="191"/>
        <v>411</v>
      </c>
      <c r="B423" s="3">
        <f t="shared" si="172"/>
        <v>5.3279343598486868</v>
      </c>
      <c r="C423" s="3">
        <f t="shared" si="192"/>
        <v>2189.7810218978102</v>
      </c>
      <c r="D423" s="3">
        <f t="shared" si="173"/>
        <v>1.701889196331702E-4</v>
      </c>
      <c r="E423" s="3">
        <f t="shared" si="174"/>
        <v>187.69</v>
      </c>
      <c r="F423" s="3"/>
      <c r="G423" s="3">
        <f t="shared" si="175"/>
        <v>229961754.80938464</v>
      </c>
      <c r="H423" s="3">
        <f t="shared" si="176"/>
        <v>218978.10218978103</v>
      </c>
      <c r="I423" s="3">
        <f t="shared" si="185"/>
        <v>114981085.92356451</v>
      </c>
      <c r="J423" s="3">
        <f t="shared" si="177"/>
        <v>6.8075320942610599E-4</v>
      </c>
      <c r="K423" s="3">
        <f t="shared" si="186"/>
        <v>3.6270084150786192E-3</v>
      </c>
      <c r="L423" s="3">
        <f t="shared" si="190"/>
        <v>3.6270084150786196E-3</v>
      </c>
      <c r="O423" s="9">
        <f t="shared" si="178"/>
        <v>3.6270084152860857E-6</v>
      </c>
      <c r="P423" s="9">
        <f t="shared" si="187"/>
        <v>275708.31343458808</v>
      </c>
      <c r="Q423" s="3">
        <f t="shared" si="179"/>
        <v>1468961.124378433</v>
      </c>
      <c r="R423" s="3">
        <f t="shared" si="180"/>
        <v>275708313.44184196</v>
      </c>
      <c r="S423" s="3">
        <f t="shared" si="181"/>
        <v>275708313.44184202</v>
      </c>
      <c r="T423" s="3"/>
      <c r="U423" s="3"/>
      <c r="V423" s="3">
        <f t="shared" si="182"/>
        <v>5595.1765160434215</v>
      </c>
      <c r="W423" s="3">
        <f t="shared" si="188"/>
        <v>2299617.5480938461</v>
      </c>
      <c r="X423" s="3">
        <f t="shared" si="183"/>
        <v>187.69</v>
      </c>
      <c r="Y423" s="3">
        <f t="shared" si="184"/>
        <v>187.69</v>
      </c>
      <c r="Z423" s="3">
        <f t="shared" si="189"/>
        <v>1050158.6802961899</v>
      </c>
    </row>
    <row r="424" spans="1:26" x14ac:dyDescent="0.45">
      <c r="A424">
        <f t="shared" si="191"/>
        <v>412</v>
      </c>
      <c r="B424" s="3">
        <f t="shared" si="172"/>
        <v>5.3021019888773679</v>
      </c>
      <c r="C424" s="3">
        <f t="shared" si="192"/>
        <v>2184.4660194174758</v>
      </c>
      <c r="D424" s="3">
        <f t="shared" si="173"/>
        <v>1.6854260602353063E-4</v>
      </c>
      <c r="E424" s="3">
        <f t="shared" si="174"/>
        <v>188.60444444444445</v>
      </c>
      <c r="F424" s="3"/>
      <c r="G424" s="3">
        <f t="shared" si="175"/>
        <v>231082151.46940988</v>
      </c>
      <c r="H424" s="3">
        <f t="shared" si="176"/>
        <v>218446.60194174756</v>
      </c>
      <c r="I424" s="3">
        <f t="shared" si="185"/>
        <v>115541282.23648344</v>
      </c>
      <c r="J424" s="3">
        <f t="shared" si="177"/>
        <v>6.7416801426683863E-4</v>
      </c>
      <c r="K424" s="3">
        <f t="shared" si="186"/>
        <v>3.574507569281711E-3</v>
      </c>
      <c r="L424" s="3">
        <f t="shared" si="190"/>
        <v>3.5745075692817114E-3</v>
      </c>
      <c r="O424" s="9">
        <f t="shared" si="178"/>
        <v>3.5745075694861741E-6</v>
      </c>
      <c r="P424" s="9">
        <f t="shared" si="187"/>
        <v>279757.81448301068</v>
      </c>
      <c r="Q424" s="3">
        <f t="shared" si="179"/>
        <v>1483309.7666763456</v>
      </c>
      <c r="R424" s="3">
        <f t="shared" si="180"/>
        <v>279757814.49015963</v>
      </c>
      <c r="S424" s="3">
        <f t="shared" si="181"/>
        <v>279757814.49015957</v>
      </c>
      <c r="T424" s="3"/>
      <c r="U424" s="3"/>
      <c r="V424" s="3">
        <f t="shared" si="182"/>
        <v>5608.7900842089775</v>
      </c>
      <c r="W424" s="3">
        <f t="shared" si="188"/>
        <v>2310821.5146940988</v>
      </c>
      <c r="X424" s="3">
        <f t="shared" si="183"/>
        <v>188.60444444444443</v>
      </c>
      <c r="Y424" s="3">
        <f t="shared" si="184"/>
        <v>188.60444444444445</v>
      </c>
      <c r="Z424" s="3">
        <f t="shared" si="189"/>
        <v>1057842.737837743</v>
      </c>
    </row>
    <row r="425" spans="1:26" x14ac:dyDescent="0.45">
      <c r="A425">
        <f t="shared" si="191"/>
        <v>413</v>
      </c>
      <c r="B425" s="3">
        <f t="shared" si="172"/>
        <v>5.2764570349829105</v>
      </c>
      <c r="C425" s="3">
        <f t="shared" si="192"/>
        <v>2179.176755447942</v>
      </c>
      <c r="D425" s="3">
        <f t="shared" si="173"/>
        <v>1.6691615126973296E-4</v>
      </c>
      <c r="E425" s="3">
        <f t="shared" si="174"/>
        <v>189.52111111111111</v>
      </c>
      <c r="F425" s="3"/>
      <c r="G425" s="3">
        <f t="shared" si="175"/>
        <v>232205270.84306821</v>
      </c>
      <c r="H425" s="3">
        <f t="shared" si="176"/>
        <v>217917.67554479418</v>
      </c>
      <c r="I425" s="3">
        <f t="shared" si="185"/>
        <v>116102839.93055028</v>
      </c>
      <c r="J425" s="3">
        <f t="shared" si="177"/>
        <v>6.6766225296917574E-4</v>
      </c>
      <c r="K425" s="3">
        <f t="shared" si="186"/>
        <v>3.5228911916717468E-3</v>
      </c>
      <c r="L425" s="3">
        <f t="shared" si="190"/>
        <v>3.5228911916717464E-3</v>
      </c>
      <c r="O425" s="9">
        <f t="shared" si="178"/>
        <v>3.5228911918732576E-6</v>
      </c>
      <c r="P425" s="9">
        <f t="shared" si="187"/>
        <v>283856.75930486835</v>
      </c>
      <c r="Q425" s="3">
        <f t="shared" si="179"/>
        <v>1497763.2710186583</v>
      </c>
      <c r="R425" s="3">
        <f t="shared" si="180"/>
        <v>283856759.31191409</v>
      </c>
      <c r="S425" s="3">
        <f t="shared" si="181"/>
        <v>283856759.31191403</v>
      </c>
      <c r="T425" s="3"/>
      <c r="U425" s="3"/>
      <c r="V425" s="3">
        <f t="shared" si="182"/>
        <v>5622.4036523745335</v>
      </c>
      <c r="W425" s="3">
        <f t="shared" si="188"/>
        <v>2322052.7084306823</v>
      </c>
      <c r="X425" s="3">
        <f t="shared" si="183"/>
        <v>189.52111111111114</v>
      </c>
      <c r="Y425" s="3">
        <f t="shared" si="184"/>
        <v>189.52111111111111</v>
      </c>
      <c r="Z425" s="3">
        <f t="shared" si="189"/>
        <v>1065564.1873131909</v>
      </c>
    </row>
    <row r="426" spans="1:26" x14ac:dyDescent="0.45">
      <c r="A426">
        <f t="shared" si="191"/>
        <v>414</v>
      </c>
      <c r="B426" s="3">
        <f t="shared" si="172"/>
        <v>5.2509976895610162</v>
      </c>
      <c r="C426" s="3">
        <f t="shared" si="192"/>
        <v>2173.9130434782605</v>
      </c>
      <c r="D426" s="3">
        <f t="shared" si="173"/>
        <v>1.6530926860422362E-4</v>
      </c>
      <c r="E426" s="3">
        <f t="shared" si="174"/>
        <v>190.44</v>
      </c>
      <c r="F426" s="3"/>
      <c r="G426" s="3">
        <f t="shared" si="175"/>
        <v>233331112.93035972</v>
      </c>
      <c r="H426" s="3">
        <f t="shared" si="176"/>
        <v>217391.30434782608</v>
      </c>
      <c r="I426" s="3">
        <f t="shared" si="185"/>
        <v>116665759.00541374</v>
      </c>
      <c r="J426" s="3">
        <f t="shared" si="177"/>
        <v>6.6123477850768173E-4</v>
      </c>
      <c r="K426" s="3">
        <f t="shared" si="186"/>
        <v>3.4721422942012269E-3</v>
      </c>
      <c r="L426" s="3">
        <f t="shared" si="190"/>
        <v>3.4721422942012273E-3</v>
      </c>
      <c r="O426" s="9">
        <f t="shared" si="178"/>
        <v>3.4721422943998348E-6</v>
      </c>
      <c r="P426" s="9">
        <f t="shared" si="187"/>
        <v>288005.62968591024</v>
      </c>
      <c r="Q426" s="3">
        <f t="shared" si="179"/>
        <v>1512322.1470589698</v>
      </c>
      <c r="R426" s="3">
        <f t="shared" si="180"/>
        <v>288005629.6928544</v>
      </c>
      <c r="S426" s="3">
        <f t="shared" si="181"/>
        <v>288005629.6928544</v>
      </c>
      <c r="T426" s="3"/>
      <c r="U426" s="3"/>
      <c r="V426" s="3">
        <f t="shared" si="182"/>
        <v>5636.0172205400895</v>
      </c>
      <c r="W426" s="3">
        <f t="shared" si="188"/>
        <v>2333311.1293035969</v>
      </c>
      <c r="X426" s="3">
        <f t="shared" si="183"/>
        <v>190.44000000000005</v>
      </c>
      <c r="Y426" s="3">
        <f t="shared" si="184"/>
        <v>190.44</v>
      </c>
      <c r="Z426" s="3">
        <f t="shared" si="189"/>
        <v>1073323.1194796546</v>
      </c>
    </row>
    <row r="427" spans="1:26" x14ac:dyDescent="0.45">
      <c r="A427">
        <f t="shared" si="191"/>
        <v>415</v>
      </c>
      <c r="B427" s="3">
        <f t="shared" si="172"/>
        <v>5.2257221657715194</v>
      </c>
      <c r="C427" s="3">
        <f t="shared" si="192"/>
        <v>2168.6746987951806</v>
      </c>
      <c r="D427" s="3">
        <f t="shared" si="173"/>
        <v>1.6372167607901596E-4</v>
      </c>
      <c r="E427" s="3">
        <f t="shared" si="174"/>
        <v>191.36111111111114</v>
      </c>
      <c r="F427" s="3"/>
      <c r="G427" s="3">
        <f t="shared" si="175"/>
        <v>234459677.73128429</v>
      </c>
      <c r="H427" s="3">
        <f t="shared" si="176"/>
        <v>216867.46987951806</v>
      </c>
      <c r="I427" s="3">
        <f t="shared" si="185"/>
        <v>117230039.4607283</v>
      </c>
      <c r="J427" s="3">
        <f t="shared" si="177"/>
        <v>6.5488446313380214E-4</v>
      </c>
      <c r="K427" s="3">
        <f t="shared" si="186"/>
        <v>3.4222442550176911E-3</v>
      </c>
      <c r="L427" s="3">
        <f t="shared" si="190"/>
        <v>3.4222442550176928E-3</v>
      </c>
      <c r="O427" s="9">
        <f t="shared" si="178"/>
        <v>3.4222442552134448E-6</v>
      </c>
      <c r="P427" s="9">
        <f t="shared" si="187"/>
        <v>292204.91092427156</v>
      </c>
      <c r="Q427" s="3">
        <f t="shared" si="179"/>
        <v>1526986.9056864241</v>
      </c>
      <c r="R427" s="3">
        <f t="shared" si="180"/>
        <v>292204910.93111593</v>
      </c>
      <c r="S427" s="3">
        <f t="shared" si="181"/>
        <v>292204910.93111593</v>
      </c>
      <c r="T427" s="3"/>
      <c r="U427" s="3"/>
      <c r="V427" s="3">
        <f t="shared" si="182"/>
        <v>5649.6307887056455</v>
      </c>
      <c r="W427" s="3">
        <f t="shared" si="188"/>
        <v>2344596.7773128427</v>
      </c>
      <c r="X427" s="3">
        <f t="shared" si="183"/>
        <v>191.36111111111114</v>
      </c>
      <c r="Y427" s="3">
        <f t="shared" si="184"/>
        <v>191.36111111111114</v>
      </c>
      <c r="Z427" s="3">
        <f t="shared" si="189"/>
        <v>1081119.6250942554</v>
      </c>
    </row>
    <row r="428" spans="1:26" x14ac:dyDescent="0.45">
      <c r="A428">
        <f t="shared" si="191"/>
        <v>416</v>
      </c>
      <c r="B428" s="3">
        <f t="shared" si="172"/>
        <v>5.2006286982248522</v>
      </c>
      <c r="C428" s="3">
        <f t="shared" si="192"/>
        <v>2163.4615384615386</v>
      </c>
      <c r="D428" s="3">
        <f t="shared" si="173"/>
        <v>1.6215309647334017E-4</v>
      </c>
      <c r="E428" s="3">
        <f t="shared" si="174"/>
        <v>192.28444444444446</v>
      </c>
      <c r="F428" s="3"/>
      <c r="G428" s="3">
        <f t="shared" si="175"/>
        <v>235590965.24584195</v>
      </c>
      <c r="H428" s="3">
        <f t="shared" si="176"/>
        <v>216346.15384615384</v>
      </c>
      <c r="I428" s="3">
        <f t="shared" si="185"/>
        <v>117795681.29615432</v>
      </c>
      <c r="J428" s="3">
        <f t="shared" si="177"/>
        <v>6.4861019800650766E-4</v>
      </c>
      <c r="K428" s="3">
        <f t="shared" si="186"/>
        <v>3.3731808097139477E-3</v>
      </c>
      <c r="L428" s="3">
        <f t="shared" si="190"/>
        <v>3.3731808097139473E-3</v>
      </c>
      <c r="O428" s="9">
        <f t="shared" si="178"/>
        <v>3.3731808099068952E-6</v>
      </c>
      <c r="P428" s="9">
        <f t="shared" si="187"/>
        <v>296455.09184750507</v>
      </c>
      <c r="Q428" s="3">
        <f t="shared" si="179"/>
        <v>1541758.0590257174</v>
      </c>
      <c r="R428" s="3">
        <f t="shared" si="180"/>
        <v>296455091.85425133</v>
      </c>
      <c r="S428" s="3">
        <f t="shared" si="181"/>
        <v>296455091.85425133</v>
      </c>
      <c r="T428" s="3"/>
      <c r="U428" s="3"/>
      <c r="V428" s="3">
        <f t="shared" si="182"/>
        <v>5663.2443568712006</v>
      </c>
      <c r="W428" s="3">
        <f t="shared" si="188"/>
        <v>2355909.6524584196</v>
      </c>
      <c r="X428" s="3">
        <f t="shared" si="183"/>
        <v>192.28444444444446</v>
      </c>
      <c r="Y428" s="3">
        <f t="shared" si="184"/>
        <v>192.28444444444446</v>
      </c>
      <c r="Z428" s="3">
        <f t="shared" si="189"/>
        <v>1088953.7949141141</v>
      </c>
    </row>
    <row r="429" spans="1:26" x14ac:dyDescent="0.45">
      <c r="A429">
        <f t="shared" si="191"/>
        <v>417</v>
      </c>
      <c r="B429" s="3">
        <f t="shared" si="172"/>
        <v>5.1757155426737746</v>
      </c>
      <c r="C429" s="3">
        <f t="shared" si="192"/>
        <v>2158.2733812949641</v>
      </c>
      <c r="D429" s="3">
        <f t="shared" si="173"/>
        <v>1.6060325720327958E-4</v>
      </c>
      <c r="E429" s="3">
        <f t="shared" si="174"/>
        <v>193.21</v>
      </c>
      <c r="F429" s="3"/>
      <c r="G429" s="3">
        <f t="shared" si="175"/>
        <v>236724975.47403276</v>
      </c>
      <c r="H429" s="3">
        <f t="shared" si="176"/>
        <v>215827.33812949641</v>
      </c>
      <c r="I429" s="3">
        <f t="shared" si="185"/>
        <v>118362684.51135787</v>
      </c>
      <c r="J429" s="3">
        <f t="shared" si="177"/>
        <v>6.4241089283088425E-4</v>
      </c>
      <c r="K429" s="3">
        <f t="shared" si="186"/>
        <v>3.324936042807744E-3</v>
      </c>
      <c r="L429" s="3">
        <f t="shared" si="190"/>
        <v>3.3249360428077449E-3</v>
      </c>
      <c r="O429" s="9">
        <f t="shared" si="178"/>
        <v>3.3249360429979317E-6</v>
      </c>
      <c r="P429" s="9">
        <f t="shared" si="187"/>
        <v>300756.66482965159</v>
      </c>
      <c r="Q429" s="3">
        <f t="shared" si="179"/>
        <v>1556636.1204370975</v>
      </c>
      <c r="R429" s="3">
        <f t="shared" si="180"/>
        <v>300756664.83630139</v>
      </c>
      <c r="S429" s="3">
        <f t="shared" si="181"/>
        <v>300756664.83630139</v>
      </c>
      <c r="T429" s="3"/>
      <c r="U429" s="3"/>
      <c r="V429" s="3">
        <f t="shared" si="182"/>
        <v>5676.8579250367566</v>
      </c>
      <c r="W429" s="3">
        <f t="shared" si="188"/>
        <v>2367249.7547403276</v>
      </c>
      <c r="X429" s="3">
        <f t="shared" si="183"/>
        <v>193.21</v>
      </c>
      <c r="Y429" s="3">
        <f t="shared" si="184"/>
        <v>193.21</v>
      </c>
      <c r="Z429" s="3">
        <f t="shared" si="189"/>
        <v>1096825.7196963518</v>
      </c>
    </row>
    <row r="430" spans="1:26" x14ac:dyDescent="0.45">
      <c r="A430">
        <f t="shared" si="191"/>
        <v>418</v>
      </c>
      <c r="B430" s="3">
        <f t="shared" si="172"/>
        <v>5.1509809757102634</v>
      </c>
      <c r="C430" s="3">
        <f t="shared" si="192"/>
        <v>2153.1100478468902</v>
      </c>
      <c r="D430" s="3">
        <f t="shared" si="173"/>
        <v>1.5907189023334556E-4</v>
      </c>
      <c r="E430" s="3">
        <f t="shared" si="174"/>
        <v>194.13777777777779</v>
      </c>
      <c r="F430" s="3"/>
      <c r="G430" s="3">
        <f t="shared" si="175"/>
        <v>237861708.41585663</v>
      </c>
      <c r="H430" s="3">
        <f t="shared" si="176"/>
        <v>215311.00478468899</v>
      </c>
      <c r="I430" s="3">
        <f t="shared" si="185"/>
        <v>118931049.10601051</v>
      </c>
      <c r="J430" s="3">
        <f t="shared" si="177"/>
        <v>6.3628547550447748E-4</v>
      </c>
      <c r="K430" s="3">
        <f t="shared" si="186"/>
        <v>3.2774943794443225E-3</v>
      </c>
      <c r="L430" s="3">
        <f t="shared" si="190"/>
        <v>3.2774943794443225E-3</v>
      </c>
      <c r="O430" s="9">
        <f t="shared" si="178"/>
        <v>3.2774943796317964E-6</v>
      </c>
      <c r="P430" s="9">
        <f t="shared" si="187"/>
        <v>305110.12580835092</v>
      </c>
      <c r="Q430" s="3">
        <f t="shared" si="179"/>
        <v>1571621.6045163563</v>
      </c>
      <c r="R430" s="3">
        <f t="shared" si="180"/>
        <v>305110125.81490582</v>
      </c>
      <c r="S430" s="3">
        <f t="shared" si="181"/>
        <v>305110125.81490582</v>
      </c>
      <c r="T430" s="3"/>
      <c r="U430" s="3"/>
      <c r="V430" s="3">
        <f t="shared" si="182"/>
        <v>5690.4714932023126</v>
      </c>
      <c r="W430" s="3">
        <f t="shared" si="188"/>
        <v>2378617.0841585668</v>
      </c>
      <c r="X430" s="3">
        <f t="shared" si="183"/>
        <v>194.13777777777781</v>
      </c>
      <c r="Y430" s="3">
        <f t="shared" si="184"/>
        <v>194.13777777777779</v>
      </c>
      <c r="Z430" s="3">
        <f t="shared" si="189"/>
        <v>1104735.49019809</v>
      </c>
    </row>
    <row r="431" spans="1:26" x14ac:dyDescent="0.45">
      <c r="A431">
        <f t="shared" si="191"/>
        <v>419</v>
      </c>
      <c r="B431" s="3">
        <f t="shared" si="172"/>
        <v>5.1264232944674504</v>
      </c>
      <c r="C431" s="3">
        <f t="shared" si="192"/>
        <v>2147.9713603818618</v>
      </c>
      <c r="D431" s="3">
        <f t="shared" si="173"/>
        <v>1.5755873198994484E-4</v>
      </c>
      <c r="E431" s="3">
        <f t="shared" si="174"/>
        <v>195.06777777777779</v>
      </c>
      <c r="F431" s="3"/>
      <c r="G431" s="3">
        <f t="shared" si="175"/>
        <v>239001164.07131365</v>
      </c>
      <c r="H431" s="3">
        <f t="shared" si="176"/>
        <v>214797.13603818615</v>
      </c>
      <c r="I431" s="3">
        <f t="shared" si="185"/>
        <v>119500775.07978933</v>
      </c>
      <c r="J431" s="3">
        <f t="shared" si="177"/>
        <v>6.3023289177120082E-4</v>
      </c>
      <c r="K431" s="3">
        <f t="shared" si="186"/>
        <v>3.2308405773154676E-3</v>
      </c>
      <c r="L431" s="3">
        <f t="shared" si="190"/>
        <v>3.2308405773154671E-3</v>
      </c>
      <c r="O431" s="9">
        <f t="shared" si="178"/>
        <v>3.2308405775002731E-6</v>
      </c>
      <c r="P431" s="9">
        <f t="shared" si="187"/>
        <v>309515.97430199664</v>
      </c>
      <c r="Q431" s="3">
        <f t="shared" si="179"/>
        <v>1586715.0270948389</v>
      </c>
      <c r="R431" s="3">
        <f t="shared" si="180"/>
        <v>309515974.30845833</v>
      </c>
      <c r="S431" s="3">
        <f t="shared" si="181"/>
        <v>309515974.30845833</v>
      </c>
      <c r="T431" s="3"/>
      <c r="U431" s="3"/>
      <c r="V431" s="3">
        <f t="shared" si="182"/>
        <v>5704.0850613678685</v>
      </c>
      <c r="W431" s="3">
        <f t="shared" si="188"/>
        <v>2390011.6407131371</v>
      </c>
      <c r="X431" s="3">
        <f t="shared" si="183"/>
        <v>195.06777777777782</v>
      </c>
      <c r="Y431" s="3">
        <f t="shared" si="184"/>
        <v>195.06777777777779</v>
      </c>
      <c r="Z431" s="3">
        <f t="shared" si="189"/>
        <v>1112683.1971764495</v>
      </c>
    </row>
    <row r="432" spans="1:26" x14ac:dyDescent="0.45">
      <c r="A432">
        <f t="shared" si="191"/>
        <v>420</v>
      </c>
      <c r="B432" s="3">
        <f t="shared" si="172"/>
        <v>5.1020408163265305</v>
      </c>
      <c r="C432" s="3">
        <f t="shared" si="192"/>
        <v>2142.8571428571427</v>
      </c>
      <c r="D432" s="3">
        <f t="shared" si="173"/>
        <v>1.5606352327669464E-4</v>
      </c>
      <c r="E432" s="3">
        <f t="shared" si="174"/>
        <v>196</v>
      </c>
      <c r="F432" s="3"/>
      <c r="G432" s="3">
        <f t="shared" si="175"/>
        <v>240143342.44040382</v>
      </c>
      <c r="H432" s="3">
        <f t="shared" si="176"/>
        <v>214285.71428571429</v>
      </c>
      <c r="I432" s="3">
        <f t="shared" si="185"/>
        <v>120071862.43237676</v>
      </c>
      <c r="J432" s="3">
        <f t="shared" si="177"/>
        <v>6.2425210488263768E-4</v>
      </c>
      <c r="K432" s="3">
        <f t="shared" si="186"/>
        <v>3.1849597187889678E-3</v>
      </c>
      <c r="L432" s="3">
        <f t="shared" si="190"/>
        <v>3.1849597187889678E-3</v>
      </c>
      <c r="O432" s="9">
        <f t="shared" si="178"/>
        <v>3.1849597189711489E-6</v>
      </c>
      <c r="P432" s="9">
        <f t="shared" si="187"/>
        <v>313974.71342692972</v>
      </c>
      <c r="Q432" s="3">
        <f t="shared" si="179"/>
        <v>1601916.9052394372</v>
      </c>
      <c r="R432" s="3">
        <f t="shared" si="180"/>
        <v>313974713.43329954</v>
      </c>
      <c r="S432" s="3">
        <f t="shared" si="181"/>
        <v>313974713.43329954</v>
      </c>
      <c r="T432" s="3"/>
      <c r="U432" s="3"/>
      <c r="V432" s="3">
        <f t="shared" si="182"/>
        <v>5717.6986295334245</v>
      </c>
      <c r="W432" s="3">
        <f t="shared" si="188"/>
        <v>2401433.4244040381</v>
      </c>
      <c r="X432" s="3">
        <f t="shared" si="183"/>
        <v>196.00000000000006</v>
      </c>
      <c r="Y432" s="3">
        <f t="shared" si="184"/>
        <v>196</v>
      </c>
      <c r="Z432" s="3">
        <f t="shared" si="189"/>
        <v>1120668.9313885511</v>
      </c>
    </row>
    <row r="433" spans="1:26" x14ac:dyDescent="0.45">
      <c r="A433">
        <f t="shared" si="191"/>
        <v>421</v>
      </c>
      <c r="B433" s="3">
        <f t="shared" si="172"/>
        <v>5.0778318786285341</v>
      </c>
      <c r="C433" s="3">
        <f t="shared" si="192"/>
        <v>2137.7672209026127</v>
      </c>
      <c r="D433" s="3">
        <f t="shared" si="173"/>
        <v>1.5458600919154167E-4</v>
      </c>
      <c r="E433" s="3">
        <f t="shared" si="174"/>
        <v>196.93444444444444</v>
      </c>
      <c r="F433" s="3"/>
      <c r="G433" s="3">
        <f t="shared" si="175"/>
        <v>241288243.52312705</v>
      </c>
      <c r="H433" s="3">
        <f t="shared" si="176"/>
        <v>213776.72209026129</v>
      </c>
      <c r="I433" s="3">
        <f t="shared" si="185"/>
        <v>120644311.16346048</v>
      </c>
      <c r="J433" s="3">
        <f t="shared" si="177"/>
        <v>6.1834209526655552E-4</v>
      </c>
      <c r="K433" s="3">
        <f t="shared" si="186"/>
        <v>3.1398372032424775E-3</v>
      </c>
      <c r="L433" s="3">
        <f t="shared" si="190"/>
        <v>3.1398372032424788E-3</v>
      </c>
      <c r="O433" s="9">
        <f t="shared" si="178"/>
        <v>3.1398372034220773E-6</v>
      </c>
      <c r="P433" s="9">
        <f t="shared" si="187"/>
        <v>318486.84991467389</v>
      </c>
      <c r="Q433" s="3">
        <f t="shared" si="179"/>
        <v>1617227.7572525912</v>
      </c>
      <c r="R433" s="3">
        <f t="shared" si="180"/>
        <v>318486849.92095345</v>
      </c>
      <c r="S433" s="3">
        <f t="shared" si="181"/>
        <v>318486849.92095345</v>
      </c>
      <c r="T433" s="3"/>
      <c r="U433" s="3"/>
      <c r="V433" s="3">
        <f t="shared" si="182"/>
        <v>5731.3121976989796</v>
      </c>
      <c r="W433" s="3">
        <f t="shared" si="188"/>
        <v>2412882.4352312703</v>
      </c>
      <c r="X433" s="3">
        <f t="shared" si="183"/>
        <v>196.93444444444447</v>
      </c>
      <c r="Y433" s="3">
        <f t="shared" si="184"/>
        <v>196.93444444444444</v>
      </c>
      <c r="Z433" s="3">
        <f t="shared" si="189"/>
        <v>1128692.7835915165</v>
      </c>
    </row>
    <row r="434" spans="1:26" x14ac:dyDescent="0.45">
      <c r="A434">
        <f t="shared" si="191"/>
        <v>422</v>
      </c>
      <c r="B434" s="3">
        <f t="shared" si="172"/>
        <v>5.0537948383908713</v>
      </c>
      <c r="C434" s="3">
        <f t="shared" si="192"/>
        <v>2132.7014218009476</v>
      </c>
      <c r="D434" s="3">
        <f t="shared" si="173"/>
        <v>1.5312593904564224E-4</v>
      </c>
      <c r="E434" s="3">
        <f t="shared" si="174"/>
        <v>197.87111111111111</v>
      </c>
      <c r="F434" s="3"/>
      <c r="G434" s="3">
        <f t="shared" si="175"/>
        <v>242435867.31948343</v>
      </c>
      <c r="H434" s="3">
        <f t="shared" si="176"/>
        <v>213270.14218009479</v>
      </c>
      <c r="I434" s="3">
        <f t="shared" si="185"/>
        <v>121218121.27273335</v>
      </c>
      <c r="J434" s="3">
        <f t="shared" si="177"/>
        <v>6.1250186020246373E-4</v>
      </c>
      <c r="K434" s="3">
        <f t="shared" si="186"/>
        <v>3.0954587395960183E-3</v>
      </c>
      <c r="L434" s="3">
        <f t="shared" si="190"/>
        <v>3.0954587395960187E-3</v>
      </c>
      <c r="O434" s="9">
        <f t="shared" si="178"/>
        <v>3.0954587397730795E-6</v>
      </c>
      <c r="P434" s="9">
        <f t="shared" si="187"/>
        <v>323052.89412921318</v>
      </c>
      <c r="Q434" s="3">
        <f t="shared" si="179"/>
        <v>1632648.1026722887</v>
      </c>
      <c r="R434" s="3">
        <f t="shared" si="180"/>
        <v>323052894.13540399</v>
      </c>
      <c r="S434" s="3">
        <f t="shared" si="181"/>
        <v>323052894.13540405</v>
      </c>
      <c r="T434" s="3"/>
      <c r="U434" s="3"/>
      <c r="V434" s="3">
        <f t="shared" si="182"/>
        <v>5744.9257658645356</v>
      </c>
      <c r="W434" s="3">
        <f t="shared" si="188"/>
        <v>2424358.673194834</v>
      </c>
      <c r="X434" s="3">
        <f t="shared" si="183"/>
        <v>197.87111111111113</v>
      </c>
      <c r="Y434" s="3">
        <f t="shared" si="184"/>
        <v>197.87111111111111</v>
      </c>
      <c r="Z434" s="3">
        <f t="shared" si="189"/>
        <v>1136754.8445424666</v>
      </c>
    </row>
    <row r="435" spans="1:26" x14ac:dyDescent="0.45">
      <c r="A435">
        <f t="shared" si="191"/>
        <v>423</v>
      </c>
      <c r="B435" s="3">
        <f t="shared" si="172"/>
        <v>5.0299280720285697</v>
      </c>
      <c r="C435" s="3">
        <f t="shared" si="192"/>
        <v>2127.6595744680849</v>
      </c>
      <c r="D435" s="3">
        <f t="shared" si="173"/>
        <v>1.5168306628396256E-4</v>
      </c>
      <c r="E435" s="3">
        <f t="shared" si="174"/>
        <v>198.80999999999997</v>
      </c>
      <c r="F435" s="3"/>
      <c r="G435" s="3">
        <f t="shared" si="175"/>
        <v>243586213.82947287</v>
      </c>
      <c r="H435" s="3">
        <f t="shared" si="176"/>
        <v>212765.95744680852</v>
      </c>
      <c r="I435" s="3">
        <f t="shared" si="185"/>
        <v>121793292.75989325</v>
      </c>
      <c r="J435" s="3">
        <f t="shared" si="177"/>
        <v>6.0673041350405054E-4</v>
      </c>
      <c r="K435" s="3">
        <f t="shared" si="186"/>
        <v>3.0518103390375258E-3</v>
      </c>
      <c r="L435" s="3">
        <f t="shared" si="190"/>
        <v>3.0518103390375258E-3</v>
      </c>
      <c r="O435" s="9">
        <f t="shared" si="178"/>
        <v>3.0518103392120903E-6</v>
      </c>
      <c r="P435" s="9">
        <f t="shared" si="187"/>
        <v>327673.36008430913</v>
      </c>
      <c r="Q435" s="3">
        <f t="shared" si="179"/>
        <v>1648178.4622720643</v>
      </c>
      <c r="R435" s="3">
        <f t="shared" si="180"/>
        <v>327673360.09041256</v>
      </c>
      <c r="S435" s="3">
        <f t="shared" si="181"/>
        <v>327673360.09041268</v>
      </c>
      <c r="T435" s="3"/>
      <c r="U435" s="3"/>
      <c r="V435" s="3">
        <f t="shared" si="182"/>
        <v>5758.5393340300907</v>
      </c>
      <c r="W435" s="3">
        <f t="shared" si="188"/>
        <v>2435862.1382947285</v>
      </c>
      <c r="X435" s="3">
        <f t="shared" si="183"/>
        <v>198.80999999999997</v>
      </c>
      <c r="Y435" s="3">
        <f t="shared" si="184"/>
        <v>198.80999999999997</v>
      </c>
      <c r="Z435" s="3">
        <f t="shared" si="189"/>
        <v>1144855.2049985221</v>
      </c>
    </row>
    <row r="436" spans="1:26" x14ac:dyDescent="0.45">
      <c r="A436">
        <f t="shared" si="191"/>
        <v>424</v>
      </c>
      <c r="B436" s="3">
        <f t="shared" si="172"/>
        <v>5.0062299750800996</v>
      </c>
      <c r="C436" s="3">
        <f t="shared" si="192"/>
        <v>2122.6415094339623</v>
      </c>
      <c r="D436" s="3">
        <f t="shared" si="173"/>
        <v>1.502571484075581E-4</v>
      </c>
      <c r="E436" s="3">
        <f t="shared" si="174"/>
        <v>199.7511111111111</v>
      </c>
      <c r="F436" s="3"/>
      <c r="G436" s="3">
        <f t="shared" si="175"/>
        <v>244739283.05309543</v>
      </c>
      <c r="H436" s="3">
        <f t="shared" si="176"/>
        <v>212264.15094339623</v>
      </c>
      <c r="I436" s="3">
        <f t="shared" si="185"/>
        <v>122369825.62464313</v>
      </c>
      <c r="J436" s="3">
        <f t="shared" si="177"/>
        <v>6.0102678520833461E-4</v>
      </c>
      <c r="K436" s="3">
        <f t="shared" si="186"/>
        <v>3.0088783079359935E-3</v>
      </c>
      <c r="L436" s="3">
        <f t="shared" si="190"/>
        <v>3.0088783079359931E-3</v>
      </c>
      <c r="O436" s="9">
        <f t="shared" si="178"/>
        <v>3.0088783081081024E-6</v>
      </c>
      <c r="P436" s="9">
        <f t="shared" si="187"/>
        <v>332348.76546086097</v>
      </c>
      <c r="Q436" s="3">
        <f t="shared" si="179"/>
        <v>1663819.358061003</v>
      </c>
      <c r="R436" s="3">
        <f t="shared" si="180"/>
        <v>332348765.46687859</v>
      </c>
      <c r="S436" s="3">
        <f t="shared" si="181"/>
        <v>332348765.46687859</v>
      </c>
      <c r="T436" s="3"/>
      <c r="U436" s="3"/>
      <c r="V436" s="3">
        <f t="shared" si="182"/>
        <v>5772.1529021956467</v>
      </c>
      <c r="W436" s="3">
        <f t="shared" si="188"/>
        <v>2447392.8305309541</v>
      </c>
      <c r="X436" s="3">
        <f t="shared" si="183"/>
        <v>199.75111111111113</v>
      </c>
      <c r="Y436" s="3">
        <f t="shared" si="184"/>
        <v>199.7511111111111</v>
      </c>
      <c r="Z436" s="3">
        <f t="shared" si="189"/>
        <v>1152993.9557168051</v>
      </c>
    </row>
    <row r="437" spans="1:26" x14ac:dyDescent="0.45">
      <c r="A437">
        <f t="shared" si="191"/>
        <v>425</v>
      </c>
      <c r="B437" s="3">
        <f t="shared" si="172"/>
        <v>4.9826989619377162</v>
      </c>
      <c r="C437" s="3">
        <f t="shared" si="192"/>
        <v>2117.6470588235293</v>
      </c>
      <c r="D437" s="3">
        <f t="shared" si="173"/>
        <v>1.488479468974933E-4</v>
      </c>
      <c r="E437" s="3">
        <f t="shared" si="174"/>
        <v>200.6944444444444</v>
      </c>
      <c r="F437" s="3"/>
      <c r="G437" s="3">
        <f t="shared" si="175"/>
        <v>245895074.99035111</v>
      </c>
      <c r="H437" s="3">
        <f t="shared" si="176"/>
        <v>211764.70588235295</v>
      </c>
      <c r="I437" s="3">
        <f t="shared" si="185"/>
        <v>122947719.86669073</v>
      </c>
      <c r="J437" s="3">
        <f t="shared" si="177"/>
        <v>5.9539002127137843E-4</v>
      </c>
      <c r="K437" s="3">
        <f t="shared" si="186"/>
        <v>2.9666492409369722E-3</v>
      </c>
      <c r="L437" s="3">
        <f t="shared" si="190"/>
        <v>2.9666492409369727E-3</v>
      </c>
      <c r="O437" s="9">
        <f t="shared" si="178"/>
        <v>2.9666492411066659E-6</v>
      </c>
      <c r="P437" s="9">
        <f t="shared" si="187"/>
        <v>337079.63162430498</v>
      </c>
      <c r="Q437" s="3">
        <f t="shared" si="179"/>
        <v>1679571.3132837343</v>
      </c>
      <c r="R437" s="3">
        <f t="shared" si="180"/>
        <v>337079631.63023818</v>
      </c>
      <c r="S437" s="3">
        <f t="shared" si="181"/>
        <v>337079631.63023818</v>
      </c>
      <c r="T437" s="3"/>
      <c r="U437" s="3"/>
      <c r="V437" s="3">
        <f t="shared" si="182"/>
        <v>5785.7664703612027</v>
      </c>
      <c r="W437" s="3">
        <f t="shared" si="188"/>
        <v>2458950.7499035113</v>
      </c>
      <c r="X437" s="3">
        <f t="shared" si="183"/>
        <v>200.69444444444446</v>
      </c>
      <c r="Y437" s="3">
        <f t="shared" si="184"/>
        <v>200.6944444444444</v>
      </c>
      <c r="Z437" s="3">
        <f t="shared" si="189"/>
        <v>1161171.1874544355</v>
      </c>
    </row>
    <row r="438" spans="1:26" x14ac:dyDescent="0.45">
      <c r="A438">
        <f t="shared" si="191"/>
        <v>426</v>
      </c>
      <c r="B438" s="3">
        <f t="shared" si="172"/>
        <v>4.9593334655822261</v>
      </c>
      <c r="C438" s="3">
        <f t="shared" si="192"/>
        <v>2112.6760563380285</v>
      </c>
      <c r="D438" s="3">
        <f t="shared" si="173"/>
        <v>1.474552271403627E-4</v>
      </c>
      <c r="E438" s="3">
        <f t="shared" si="174"/>
        <v>201.64</v>
      </c>
      <c r="F438" s="3"/>
      <c r="G438" s="3">
        <f t="shared" si="175"/>
        <v>247053589.64123988</v>
      </c>
      <c r="H438" s="3">
        <f t="shared" si="176"/>
        <v>211267.60563380283</v>
      </c>
      <c r="I438" s="3">
        <f t="shared" si="185"/>
        <v>123526975.48574857</v>
      </c>
      <c r="J438" s="3">
        <f t="shared" si="177"/>
        <v>5.8981918327040449E-4</v>
      </c>
      <c r="K438" s="3">
        <f t="shared" si="186"/>
        <v>2.9251100142352934E-3</v>
      </c>
      <c r="L438" s="3">
        <f t="shared" si="190"/>
        <v>2.9251100142352938E-3</v>
      </c>
      <c r="O438" s="9">
        <f t="shared" si="178"/>
        <v>2.9251100144026107E-6</v>
      </c>
      <c r="P438" s="9">
        <f t="shared" si="187"/>
        <v>341866.48364205647</v>
      </c>
      <c r="Q438" s="3">
        <f t="shared" si="179"/>
        <v>1695434.8524204348</v>
      </c>
      <c r="R438" s="3">
        <f t="shared" si="180"/>
        <v>341866483.6479066</v>
      </c>
      <c r="S438" s="3">
        <f t="shared" si="181"/>
        <v>341866483.64790666</v>
      </c>
      <c r="T438" s="3"/>
      <c r="U438" s="3"/>
      <c r="V438" s="3">
        <f t="shared" si="182"/>
        <v>5799.3800385267587</v>
      </c>
      <c r="W438" s="3">
        <f t="shared" si="188"/>
        <v>2470535.8964123991</v>
      </c>
      <c r="X438" s="3">
        <f t="shared" si="183"/>
        <v>201.64000000000001</v>
      </c>
      <c r="Y438" s="3">
        <f t="shared" si="184"/>
        <v>201.64</v>
      </c>
      <c r="Z438" s="3">
        <f t="shared" si="189"/>
        <v>1169386.9909685354</v>
      </c>
    </row>
    <row r="439" spans="1:26" x14ac:dyDescent="0.45">
      <c r="A439">
        <f t="shared" si="191"/>
        <v>427</v>
      </c>
      <c r="B439" s="3">
        <f t="shared" si="172"/>
        <v>4.9361319373220933</v>
      </c>
      <c r="C439" s="3">
        <f t="shared" si="192"/>
        <v>2107.7283372365337</v>
      </c>
      <c r="D439" s="3">
        <f t="shared" si="173"/>
        <v>1.4607875835537633E-4</v>
      </c>
      <c r="E439" s="3">
        <f t="shared" si="174"/>
        <v>202.58777777777777</v>
      </c>
      <c r="F439" s="3"/>
      <c r="G439" s="3">
        <f t="shared" si="175"/>
        <v>248214827.00576183</v>
      </c>
      <c r="H439" s="3">
        <f t="shared" si="176"/>
        <v>210772.8337236534</v>
      </c>
      <c r="I439" s="3">
        <f t="shared" si="185"/>
        <v>124107592.48153396</v>
      </c>
      <c r="J439" s="3">
        <f t="shared" si="177"/>
        <v>5.8431334811216793E-4</v>
      </c>
      <c r="K439" s="3">
        <f t="shared" si="186"/>
        <v>2.8842477790200741E-3</v>
      </c>
      <c r="L439" s="3">
        <f t="shared" si="190"/>
        <v>2.8842477790200745E-3</v>
      </c>
      <c r="O439" s="9">
        <f t="shared" si="178"/>
        <v>2.8842477791850543E-6</v>
      </c>
      <c r="P439" s="9">
        <f t="shared" si="187"/>
        <v>346709.85030099272</v>
      </c>
      <c r="Q439" s="3">
        <f t="shared" si="179"/>
        <v>1711410.5011868295</v>
      </c>
      <c r="R439" s="3">
        <f t="shared" si="180"/>
        <v>346709850.30676115</v>
      </c>
      <c r="S439" s="3">
        <f t="shared" si="181"/>
        <v>346709850.30676109</v>
      </c>
      <c r="T439" s="3"/>
      <c r="U439" s="3"/>
      <c r="V439" s="3">
        <f t="shared" si="182"/>
        <v>5812.9936066923146</v>
      </c>
      <c r="W439" s="3">
        <f t="shared" si="188"/>
        <v>2482148.2700576182</v>
      </c>
      <c r="X439" s="3">
        <f t="shared" si="183"/>
        <v>202.58777777777783</v>
      </c>
      <c r="Y439" s="3">
        <f t="shared" si="184"/>
        <v>202.58777777777777</v>
      </c>
      <c r="Z439" s="3">
        <f t="shared" si="189"/>
        <v>1177641.4570162257</v>
      </c>
    </row>
    <row r="440" spans="1:26" x14ac:dyDescent="0.45">
      <c r="A440">
        <f t="shared" si="191"/>
        <v>428</v>
      </c>
      <c r="B440" s="3">
        <f t="shared" si="172"/>
        <v>4.9130928465368155</v>
      </c>
      <c r="C440" s="3">
        <f t="shared" si="192"/>
        <v>2102.8037383177571</v>
      </c>
      <c r="D440" s="3">
        <f t="shared" si="173"/>
        <v>1.4471831352297359E-4</v>
      </c>
      <c r="E440" s="3">
        <f t="shared" si="174"/>
        <v>203.53777777777776</v>
      </c>
      <c r="F440" s="3"/>
      <c r="G440" s="3">
        <f t="shared" si="175"/>
        <v>249378787.08391684</v>
      </c>
      <c r="H440" s="3">
        <f t="shared" si="176"/>
        <v>210280.37383177571</v>
      </c>
      <c r="I440" s="3">
        <f t="shared" si="185"/>
        <v>124689570.85376868</v>
      </c>
      <c r="J440" s="3">
        <f t="shared" si="177"/>
        <v>5.7887160774744201E-4</v>
      </c>
      <c r="K440" s="3">
        <f t="shared" si="186"/>
        <v>2.8440499550872228E-3</v>
      </c>
      <c r="L440" s="3">
        <f t="shared" si="190"/>
        <v>2.8440499550872237E-3</v>
      </c>
      <c r="O440" s="9">
        <f t="shared" si="178"/>
        <v>2.8440499552499038E-6</v>
      </c>
      <c r="P440" s="9">
        <f t="shared" si="187"/>
        <v>351610.26412497595</v>
      </c>
      <c r="Q440" s="3">
        <f t="shared" si="179"/>
        <v>1727498.7865341862</v>
      </c>
      <c r="R440" s="3">
        <f t="shared" si="180"/>
        <v>351610264.13066399</v>
      </c>
      <c r="S440" s="3">
        <f t="shared" si="181"/>
        <v>351610264.13066399</v>
      </c>
      <c r="T440" s="3"/>
      <c r="U440" s="3"/>
      <c r="V440" s="3">
        <f t="shared" si="182"/>
        <v>5826.6071748578697</v>
      </c>
      <c r="W440" s="3">
        <f t="shared" si="188"/>
        <v>2493787.8708391683</v>
      </c>
      <c r="X440" s="3">
        <f t="shared" si="183"/>
        <v>203.53777777777776</v>
      </c>
      <c r="Y440" s="3">
        <f t="shared" si="184"/>
        <v>203.53777777777776</v>
      </c>
      <c r="Z440" s="3">
        <f t="shared" si="189"/>
        <v>1185934.6763546267</v>
      </c>
    </row>
    <row r="441" spans="1:26" x14ac:dyDescent="0.45">
      <c r="A441">
        <f t="shared" si="191"/>
        <v>429</v>
      </c>
      <c r="B441" s="3">
        <f t="shared" si="172"/>
        <v>4.8902146804244708</v>
      </c>
      <c r="C441" s="3">
        <f t="shared" si="192"/>
        <v>2097.9020979020979</v>
      </c>
      <c r="D441" s="3">
        <f t="shared" si="173"/>
        <v>1.4337366931492838E-4</v>
      </c>
      <c r="E441" s="3">
        <f t="shared" si="174"/>
        <v>204.48999999999995</v>
      </c>
      <c r="F441" s="3"/>
      <c r="G441" s="3">
        <f t="shared" si="175"/>
        <v>250545469.87570494</v>
      </c>
      <c r="H441" s="3">
        <f t="shared" si="176"/>
        <v>209790.2097902098</v>
      </c>
      <c r="I441" s="3">
        <f t="shared" si="185"/>
        <v>125272910.60217914</v>
      </c>
      <c r="J441" s="3">
        <f t="shared" si="177"/>
        <v>5.7349306889146838E-4</v>
      </c>
      <c r="K441" s="3">
        <f t="shared" si="186"/>
        <v>2.8045042246147411E-3</v>
      </c>
      <c r="L441" s="3">
        <f t="shared" si="190"/>
        <v>2.8045042246147406E-3</v>
      </c>
      <c r="O441" s="9">
        <f t="shared" si="178"/>
        <v>2.8045042247751597E-6</v>
      </c>
      <c r="P441" s="9">
        <f t="shared" si="187"/>
        <v>356568.26139241992</v>
      </c>
      <c r="Q441" s="3">
        <f t="shared" si="179"/>
        <v>1743700.2366493223</v>
      </c>
      <c r="R441" s="3">
        <f t="shared" si="180"/>
        <v>356568261.39802879</v>
      </c>
      <c r="S441" s="3">
        <f t="shared" si="181"/>
        <v>356568261.39802885</v>
      </c>
      <c r="T441" s="3"/>
      <c r="U441" s="3"/>
      <c r="V441" s="3">
        <f t="shared" si="182"/>
        <v>5840.2207430234257</v>
      </c>
      <c r="W441" s="3">
        <f t="shared" si="188"/>
        <v>2505454.6987570496</v>
      </c>
      <c r="X441" s="3">
        <f t="shared" si="183"/>
        <v>204.48999999999998</v>
      </c>
      <c r="Y441" s="3">
        <f t="shared" si="184"/>
        <v>204.48999999999995</v>
      </c>
      <c r="Z441" s="3">
        <f t="shared" si="189"/>
        <v>1194266.7397408599</v>
      </c>
    </row>
    <row r="442" spans="1:26" x14ac:dyDescent="0.45">
      <c r="A442">
        <f t="shared" si="191"/>
        <v>430</v>
      </c>
      <c r="B442" s="3">
        <f t="shared" si="172"/>
        <v>4.8674959437533802</v>
      </c>
      <c r="C442" s="3">
        <f t="shared" si="192"/>
        <v>2093.0232558139537</v>
      </c>
      <c r="D442" s="3">
        <f t="shared" si="173"/>
        <v>1.4204460602591307E-4</v>
      </c>
      <c r="E442" s="3">
        <f t="shared" si="174"/>
        <v>205.44444444444443</v>
      </c>
      <c r="F442" s="3"/>
      <c r="G442" s="3">
        <f t="shared" si="175"/>
        <v>251714875.3811262</v>
      </c>
      <c r="H442" s="3">
        <f t="shared" si="176"/>
        <v>209302.32558139536</v>
      </c>
      <c r="I442" s="3">
        <f t="shared" si="185"/>
        <v>125857611.72649617</v>
      </c>
      <c r="J442" s="3">
        <f t="shared" si="177"/>
        <v>5.6817685275023999E-4</v>
      </c>
      <c r="K442" s="3">
        <f t="shared" si="186"/>
        <v>2.7655985260963546E-3</v>
      </c>
      <c r="L442" s="3">
        <f t="shared" si="190"/>
        <v>2.765598526096355E-3</v>
      </c>
      <c r="O442" s="9">
        <f t="shared" si="178"/>
        <v>2.765598526254548E-6</v>
      </c>
      <c r="P442" s="9">
        <f t="shared" si="187"/>
        <v>361584.38215389516</v>
      </c>
      <c r="Q442" s="3">
        <f t="shared" si="179"/>
        <v>1760015.3809546006</v>
      </c>
      <c r="R442" s="3">
        <f t="shared" si="180"/>
        <v>361584382.15942621</v>
      </c>
      <c r="S442" s="3">
        <f t="shared" si="181"/>
        <v>361584382.15942633</v>
      </c>
      <c r="T442" s="3"/>
      <c r="U442" s="3"/>
      <c r="V442" s="3">
        <f t="shared" si="182"/>
        <v>5853.8343111889817</v>
      </c>
      <c r="W442" s="3">
        <f t="shared" si="188"/>
        <v>2517148.7538112621</v>
      </c>
      <c r="X442" s="3">
        <f t="shared" si="183"/>
        <v>205.44444444444446</v>
      </c>
      <c r="Y442" s="3">
        <f t="shared" si="184"/>
        <v>205.44444444444443</v>
      </c>
      <c r="Z442" s="3">
        <f t="shared" si="189"/>
        <v>1202637.7379320473</v>
      </c>
    </row>
    <row r="443" spans="1:26" x14ac:dyDescent="0.45">
      <c r="A443">
        <f t="shared" si="191"/>
        <v>431</v>
      </c>
      <c r="B443" s="3">
        <f t="shared" si="172"/>
        <v>4.844935158617794</v>
      </c>
      <c r="C443" s="3">
        <f t="shared" si="192"/>
        <v>2088.1670533642691</v>
      </c>
      <c r="D443" s="3">
        <f t="shared" si="173"/>
        <v>1.4073090750648618E-4</v>
      </c>
      <c r="E443" s="3">
        <f t="shared" si="174"/>
        <v>206.40111111111111</v>
      </c>
      <c r="F443" s="3"/>
      <c r="G443" s="3">
        <f t="shared" si="175"/>
        <v>252887003.60018057</v>
      </c>
      <c r="H443" s="3">
        <f t="shared" si="176"/>
        <v>208816.70533642691</v>
      </c>
      <c r="I443" s="3">
        <f t="shared" si="185"/>
        <v>126443674.22645493</v>
      </c>
      <c r="J443" s="3">
        <f t="shared" si="177"/>
        <v>5.6292209475247972E-4</v>
      </c>
      <c r="K443" s="3">
        <f t="shared" si="186"/>
        <v>2.7273210484290663E-3</v>
      </c>
      <c r="L443" s="3">
        <f t="shared" si="190"/>
        <v>2.7273210484290672E-3</v>
      </c>
      <c r="O443" s="9">
        <f t="shared" si="178"/>
        <v>2.72732104858507E-6</v>
      </c>
      <c r="P443" s="9">
        <f t="shared" si="187"/>
        <v>366659.17024977622</v>
      </c>
      <c r="Q443" s="3">
        <f t="shared" si="179"/>
        <v>1776444.7501079268</v>
      </c>
      <c r="R443" s="3">
        <f t="shared" si="180"/>
        <v>366659170.25523078</v>
      </c>
      <c r="S443" s="3">
        <f t="shared" si="181"/>
        <v>366659170.25523078</v>
      </c>
      <c r="T443" s="3"/>
      <c r="U443" s="3"/>
      <c r="V443" s="3">
        <f t="shared" si="182"/>
        <v>5867.4478793545377</v>
      </c>
      <c r="W443" s="3">
        <f t="shared" si="188"/>
        <v>2528870.0360018057</v>
      </c>
      <c r="X443" s="3">
        <f t="shared" si="183"/>
        <v>206.40111111111116</v>
      </c>
      <c r="Y443" s="3">
        <f t="shared" si="184"/>
        <v>206.40111111111111</v>
      </c>
      <c r="Z443" s="3">
        <f t="shared" si="189"/>
        <v>1211047.7616853092</v>
      </c>
    </row>
    <row r="444" spans="1:26" x14ac:dyDescent="0.45">
      <c r="A444">
        <f t="shared" si="191"/>
        <v>432</v>
      </c>
      <c r="B444" s="3">
        <f t="shared" si="172"/>
        <v>4.8225308641975309</v>
      </c>
      <c r="C444" s="3">
        <f t="shared" si="192"/>
        <v>2083.3333333333335</v>
      </c>
      <c r="D444" s="3">
        <f t="shared" si="173"/>
        <v>1.3943236109747101E-4</v>
      </c>
      <c r="E444" s="3">
        <f t="shared" si="174"/>
        <v>207.35999999999999</v>
      </c>
      <c r="F444" s="3"/>
      <c r="G444" s="3">
        <f t="shared" si="175"/>
        <v>254061854.53286803</v>
      </c>
      <c r="H444" s="3">
        <f t="shared" si="176"/>
        <v>208333.33333333334</v>
      </c>
      <c r="I444" s="3">
        <f t="shared" si="185"/>
        <v>127031098.10179484</v>
      </c>
      <c r="J444" s="3">
        <f t="shared" si="177"/>
        <v>5.5772794428718116E-4</v>
      </c>
      <c r="K444" s="3">
        <f t="shared" si="186"/>
        <v>2.6896602251503723E-3</v>
      </c>
      <c r="L444" s="3">
        <f t="shared" si="190"/>
        <v>2.6896602251503718E-3</v>
      </c>
      <c r="O444" s="9">
        <f t="shared" si="178"/>
        <v>2.6896602253042219E-6</v>
      </c>
      <c r="P444" s="9">
        <f t="shared" si="187"/>
        <v>371793.17332793109</v>
      </c>
      <c r="Q444" s="3">
        <f t="shared" si="179"/>
        <v>1792988.8760027541</v>
      </c>
      <c r="R444" s="3">
        <f t="shared" si="180"/>
        <v>371793173.33331031</v>
      </c>
      <c r="S444" s="3">
        <f t="shared" si="181"/>
        <v>371793173.33331031</v>
      </c>
      <c r="T444" s="3"/>
      <c r="U444" s="3"/>
      <c r="V444" s="3">
        <f t="shared" si="182"/>
        <v>5881.0614475200937</v>
      </c>
      <c r="W444" s="3">
        <f t="shared" si="188"/>
        <v>2540618.5453286804</v>
      </c>
      <c r="X444" s="3">
        <f t="shared" si="183"/>
        <v>207.36</v>
      </c>
      <c r="Y444" s="3">
        <f t="shared" si="184"/>
        <v>207.35999999999999</v>
      </c>
      <c r="Z444" s="3">
        <f t="shared" si="189"/>
        <v>1219496.9017577665</v>
      </c>
    </row>
    <row r="445" spans="1:26" x14ac:dyDescent="0.45">
      <c r="A445">
        <f t="shared" si="191"/>
        <v>433</v>
      </c>
      <c r="B445" s="3">
        <f t="shared" si="172"/>
        <v>4.8002816165215023</v>
      </c>
      <c r="C445" s="3">
        <f t="shared" si="192"/>
        <v>2078.5219399538105</v>
      </c>
      <c r="D445" s="3">
        <f t="shared" si="173"/>
        <v>1.3814875756569414E-4</v>
      </c>
      <c r="E445" s="3">
        <f t="shared" si="174"/>
        <v>208.32111111111109</v>
      </c>
      <c r="F445" s="3"/>
      <c r="G445" s="3">
        <f t="shared" si="175"/>
        <v>255239428.17918861</v>
      </c>
      <c r="H445" s="3">
        <f t="shared" si="176"/>
        <v>207852.19399538107</v>
      </c>
      <c r="I445" s="3">
        <f t="shared" si="185"/>
        <v>127619883.35225959</v>
      </c>
      <c r="J445" s="3">
        <f t="shared" si="177"/>
        <v>5.5259356444658614E-4</v>
      </c>
      <c r="K445" s="3">
        <f t="shared" si="186"/>
        <v>2.6526047288210376E-3</v>
      </c>
      <c r="L445" s="3">
        <f t="shared" si="190"/>
        <v>2.6526047288210376E-3</v>
      </c>
      <c r="O445" s="9">
        <f t="shared" si="178"/>
        <v>2.6526047289727678E-6</v>
      </c>
      <c r="P445" s="9">
        <f t="shared" si="187"/>
        <v>376986.94286145084</v>
      </c>
      <c r="Q445" s="3">
        <f t="shared" si="179"/>
        <v>1809648.291768081</v>
      </c>
      <c r="R445" s="3">
        <f t="shared" si="180"/>
        <v>376986942.86675596</v>
      </c>
      <c r="S445" s="3">
        <f t="shared" si="181"/>
        <v>376986942.86675602</v>
      </c>
      <c r="T445" s="3"/>
      <c r="U445" s="3"/>
      <c r="V445" s="3">
        <f t="shared" si="182"/>
        <v>5894.6750156856488</v>
      </c>
      <c r="W445" s="3">
        <f t="shared" si="188"/>
        <v>2552394.2817918858</v>
      </c>
      <c r="X445" s="3">
        <f t="shared" si="183"/>
        <v>208.32111111111112</v>
      </c>
      <c r="Y445" s="3">
        <f t="shared" si="184"/>
        <v>208.32111111111109</v>
      </c>
      <c r="Z445" s="3">
        <f t="shared" si="189"/>
        <v>1227985.2489065405</v>
      </c>
    </row>
    <row r="446" spans="1:26" x14ac:dyDescent="0.45">
      <c r="A446">
        <f t="shared" si="191"/>
        <v>434</v>
      </c>
      <c r="B446" s="3">
        <f t="shared" si="172"/>
        <v>4.7781859882350446</v>
      </c>
      <c r="C446" s="3">
        <f t="shared" si="192"/>
        <v>2073.7327188940094</v>
      </c>
      <c r="D446" s="3">
        <f t="shared" si="173"/>
        <v>1.3687989104105126E-4</v>
      </c>
      <c r="E446" s="3">
        <f t="shared" si="174"/>
        <v>209.28444444444443</v>
      </c>
      <c r="F446" s="3"/>
      <c r="G446" s="3">
        <f t="shared" si="175"/>
        <v>256419724.53914228</v>
      </c>
      <c r="H446" s="3">
        <f t="shared" si="176"/>
        <v>207373.27188940093</v>
      </c>
      <c r="I446" s="3">
        <f t="shared" si="185"/>
        <v>128210029.97759689</v>
      </c>
      <c r="J446" s="3">
        <f t="shared" si="177"/>
        <v>5.4751813177447478E-4</v>
      </c>
      <c r="K446" s="3">
        <f t="shared" si="186"/>
        <v>2.6161434655494241E-3</v>
      </c>
      <c r="L446" s="3">
        <f t="shared" si="190"/>
        <v>2.616143465549425E-3</v>
      </c>
      <c r="O446" s="9">
        <f t="shared" si="178"/>
        <v>2.6161434656990684E-6</v>
      </c>
      <c r="P446" s="9">
        <f t="shared" si="187"/>
        <v>382241.03416642011</v>
      </c>
      <c r="Q446" s="3">
        <f t="shared" si="179"/>
        <v>1826423.5317684498</v>
      </c>
      <c r="R446" s="3">
        <f t="shared" si="180"/>
        <v>382241034.17165232</v>
      </c>
      <c r="S446" s="3">
        <f t="shared" si="181"/>
        <v>382241034.17165244</v>
      </c>
      <c r="T446" s="3"/>
      <c r="U446" s="3"/>
      <c r="V446" s="3">
        <f t="shared" si="182"/>
        <v>5908.2885838512047</v>
      </c>
      <c r="W446" s="3">
        <f t="shared" si="188"/>
        <v>2564197.2453914229</v>
      </c>
      <c r="X446" s="3">
        <f t="shared" si="183"/>
        <v>209.28444444444446</v>
      </c>
      <c r="Y446" s="3">
        <f t="shared" si="184"/>
        <v>209.28444444444443</v>
      </c>
      <c r="Z446" s="3">
        <f t="shared" si="189"/>
        <v>1236512.8938887527</v>
      </c>
    </row>
    <row r="447" spans="1:26" x14ac:dyDescent="0.45">
      <c r="A447">
        <f t="shared" si="191"/>
        <v>435</v>
      </c>
      <c r="B447" s="3">
        <f t="shared" si="172"/>
        <v>4.756242568370987</v>
      </c>
      <c r="C447" s="3">
        <f t="shared" si="192"/>
        <v>2068.9655172413795</v>
      </c>
      <c r="D447" s="3">
        <f t="shared" si="173"/>
        <v>1.3562555895487086E-4</v>
      </c>
      <c r="E447" s="3">
        <f t="shared" si="174"/>
        <v>210.24999999999997</v>
      </c>
      <c r="F447" s="3"/>
      <c r="G447" s="3">
        <f t="shared" si="175"/>
        <v>257602743.61272907</v>
      </c>
      <c r="H447" s="3">
        <f t="shared" si="176"/>
        <v>206896.55172413794</v>
      </c>
      <c r="I447" s="3">
        <f t="shared" si="185"/>
        <v>128801537.97755861</v>
      </c>
      <c r="J447" s="3">
        <f t="shared" si="177"/>
        <v>5.4250083601964285E-4</v>
      </c>
      <c r="K447" s="3">
        <f t="shared" si="186"/>
        <v>2.5802655696534737E-3</v>
      </c>
      <c r="L447" s="3">
        <f t="shared" si="190"/>
        <v>2.5802655696534737E-3</v>
      </c>
      <c r="O447" s="9">
        <f t="shared" si="178"/>
        <v>2.5802655698010658E-6</v>
      </c>
      <c r="P447" s="9">
        <f t="shared" si="187"/>
        <v>387556.00641973002</v>
      </c>
      <c r="Q447" s="3">
        <f t="shared" si="179"/>
        <v>1843315.1316039478</v>
      </c>
      <c r="R447" s="3">
        <f t="shared" si="180"/>
        <v>387556006.4248904</v>
      </c>
      <c r="S447" s="3">
        <f t="shared" si="181"/>
        <v>387556006.42489046</v>
      </c>
      <c r="T447" s="3"/>
      <c r="U447" s="3"/>
      <c r="V447" s="3">
        <f t="shared" si="182"/>
        <v>5921.9021520167598</v>
      </c>
      <c r="W447" s="3">
        <f t="shared" si="188"/>
        <v>2576027.4361272906</v>
      </c>
      <c r="X447" s="3">
        <f t="shared" si="183"/>
        <v>210.25</v>
      </c>
      <c r="Y447" s="3">
        <f t="shared" si="184"/>
        <v>210.24999999999997</v>
      </c>
      <c r="Z447" s="3">
        <f t="shared" si="189"/>
        <v>1245079.9274615236</v>
      </c>
    </row>
    <row r="448" spans="1:26" x14ac:dyDescent="0.45">
      <c r="A448">
        <f t="shared" si="191"/>
        <v>436</v>
      </c>
      <c r="B448" s="3">
        <f t="shared" si="172"/>
        <v>4.7344499621244003</v>
      </c>
      <c r="C448" s="3">
        <f t="shared" si="192"/>
        <v>2064.2201834862385</v>
      </c>
      <c r="D448" s="3">
        <f t="shared" si="173"/>
        <v>1.3438556197954634E-4</v>
      </c>
      <c r="E448" s="3">
        <f t="shared" si="174"/>
        <v>211.21777777777777</v>
      </c>
      <c r="F448" s="3"/>
      <c r="G448" s="3">
        <f t="shared" si="175"/>
        <v>258788485.39994898</v>
      </c>
      <c r="H448" s="3">
        <f t="shared" si="176"/>
        <v>206422.01834862385</v>
      </c>
      <c r="I448" s="3">
        <f t="shared" si="185"/>
        <v>129394407.3519005</v>
      </c>
      <c r="J448" s="3">
        <f t="shared" si="177"/>
        <v>5.3754087989445188E-4</v>
      </c>
      <c r="K448" s="3">
        <f t="shared" si="186"/>
        <v>2.5449603984566043E-3</v>
      </c>
      <c r="L448" s="3">
        <f t="shared" si="190"/>
        <v>2.5449603984566051E-3</v>
      </c>
      <c r="O448" s="9">
        <f t="shared" si="178"/>
        <v>2.5449603986021772E-6</v>
      </c>
      <c r="P448" s="9">
        <f t="shared" si="187"/>
        <v>392932.42267693096</v>
      </c>
      <c r="Q448" s="3">
        <f t="shared" si="179"/>
        <v>1860323.6281102067</v>
      </c>
      <c r="R448" s="3">
        <f t="shared" si="180"/>
        <v>392932422.68202078</v>
      </c>
      <c r="S448" s="3">
        <f t="shared" si="181"/>
        <v>392932422.68202084</v>
      </c>
      <c r="T448" s="3"/>
      <c r="U448" s="3"/>
      <c r="V448" s="3">
        <f t="shared" si="182"/>
        <v>5935.5157201823158</v>
      </c>
      <c r="W448" s="3">
        <f t="shared" si="188"/>
        <v>2587884.8539994899</v>
      </c>
      <c r="X448" s="3">
        <f t="shared" si="183"/>
        <v>211.2177777777778</v>
      </c>
      <c r="Y448" s="3">
        <f t="shared" si="184"/>
        <v>211.21777777777777</v>
      </c>
      <c r="Z448" s="3">
        <f t="shared" si="189"/>
        <v>1253686.4403819749</v>
      </c>
    </row>
    <row r="449" spans="1:26" x14ac:dyDescent="0.45">
      <c r="A449">
        <f t="shared" si="191"/>
        <v>437</v>
      </c>
      <c r="B449" s="3">
        <f t="shared" si="172"/>
        <v>4.7128067906309399</v>
      </c>
      <c r="C449" s="3">
        <f t="shared" si="192"/>
        <v>2059.4965675057206</v>
      </c>
      <c r="D449" s="3">
        <f t="shared" si="173"/>
        <v>1.3315970396940617E-4</v>
      </c>
      <c r="E449" s="3">
        <f t="shared" si="174"/>
        <v>212.18777777777774</v>
      </c>
      <c r="F449" s="3"/>
      <c r="G449" s="3">
        <f t="shared" si="175"/>
        <v>259976949.90080202</v>
      </c>
      <c r="H449" s="3">
        <f t="shared" si="176"/>
        <v>205949.65675057209</v>
      </c>
      <c r="I449" s="3">
        <f t="shared" si="185"/>
        <v>129988638.10038224</v>
      </c>
      <c r="J449" s="3">
        <f t="shared" si="177"/>
        <v>5.3263747883833333E-4</v>
      </c>
      <c r="K449" s="3">
        <f t="shared" si="186"/>
        <v>2.5102175272138406E-3</v>
      </c>
      <c r="L449" s="3">
        <f t="shared" si="190"/>
        <v>2.5102175272138406E-3</v>
      </c>
      <c r="O449" s="9">
        <f t="shared" si="178"/>
        <v>2.5102175273574262E-6</v>
      </c>
      <c r="P449" s="9">
        <f t="shared" si="187"/>
        <v>398370.84989012766</v>
      </c>
      <c r="Q449" s="3">
        <f t="shared" si="179"/>
        <v>1877449.5593584031</v>
      </c>
      <c r="R449" s="3">
        <f t="shared" si="180"/>
        <v>398370849.89514798</v>
      </c>
      <c r="S449" s="3">
        <f t="shared" si="181"/>
        <v>398370849.89514804</v>
      </c>
      <c r="T449" s="3"/>
      <c r="U449" s="3"/>
      <c r="V449" s="3">
        <f t="shared" si="182"/>
        <v>5949.1292883478718</v>
      </c>
      <c r="W449" s="3">
        <f t="shared" si="188"/>
        <v>2599769.4990080199</v>
      </c>
      <c r="X449" s="3">
        <f t="shared" si="183"/>
        <v>212.18777777777782</v>
      </c>
      <c r="Y449" s="3">
        <f t="shared" si="184"/>
        <v>212.18777777777774</v>
      </c>
      <c r="Z449" s="3">
        <f t="shared" si="189"/>
        <v>1262332.5234072274</v>
      </c>
    </row>
    <row r="450" spans="1:26" x14ac:dyDescent="0.45">
      <c r="A450">
        <f t="shared" si="191"/>
        <v>438</v>
      </c>
      <c r="B450" s="3">
        <f t="shared" si="172"/>
        <v>4.6913116907487336</v>
      </c>
      <c r="C450" s="3">
        <f t="shared" si="192"/>
        <v>2054.7945205479455</v>
      </c>
      <c r="D450" s="3">
        <f t="shared" si="173"/>
        <v>1.3194779190279561E-4</v>
      </c>
      <c r="E450" s="3">
        <f t="shared" si="174"/>
        <v>213.16</v>
      </c>
      <c r="F450" s="3"/>
      <c r="G450" s="3">
        <f t="shared" si="175"/>
        <v>261168137.11528814</v>
      </c>
      <c r="H450" s="3">
        <f t="shared" si="176"/>
        <v>205479.45205479453</v>
      </c>
      <c r="I450" s="3">
        <f t="shared" si="185"/>
        <v>130584230.22276734</v>
      </c>
      <c r="J450" s="3">
        <f t="shared" si="177"/>
        <v>5.2778986078613613E-4</v>
      </c>
      <c r="K450" s="3">
        <f t="shared" si="186"/>
        <v>2.4760267441646471E-3</v>
      </c>
      <c r="L450" s="3">
        <f t="shared" si="190"/>
        <v>2.4760267441646471E-3</v>
      </c>
      <c r="O450" s="9">
        <f t="shared" si="178"/>
        <v>2.4760267443062766E-6</v>
      </c>
      <c r="P450" s="9">
        <f t="shared" si="187"/>
        <v>403871.85892591439</v>
      </c>
      <c r="Q450" s="3">
        <f t="shared" si="179"/>
        <v>1894693.4646552561</v>
      </c>
      <c r="R450" s="3">
        <f t="shared" si="180"/>
        <v>403871858.93086636</v>
      </c>
      <c r="S450" s="3">
        <f t="shared" si="181"/>
        <v>403871858.9308663</v>
      </c>
      <c r="T450" s="3"/>
      <c r="U450" s="3"/>
      <c r="V450" s="3">
        <f t="shared" si="182"/>
        <v>5962.7428565134278</v>
      </c>
      <c r="W450" s="3">
        <f t="shared" si="188"/>
        <v>2611681.3711528815</v>
      </c>
      <c r="X450" s="3">
        <f t="shared" si="183"/>
        <v>213.16</v>
      </c>
      <c r="Y450" s="3">
        <f t="shared" si="184"/>
        <v>213.16</v>
      </c>
      <c r="Z450" s="3">
        <f t="shared" si="189"/>
        <v>1271018.2672944022</v>
      </c>
    </row>
    <row r="451" spans="1:26" x14ac:dyDescent="0.45">
      <c r="A451">
        <f t="shared" si="191"/>
        <v>439</v>
      </c>
      <c r="B451" s="3">
        <f t="shared" si="172"/>
        <v>4.6699633148437378</v>
      </c>
      <c r="C451" s="3">
        <f t="shared" si="192"/>
        <v>2050.113895216401</v>
      </c>
      <c r="D451" s="3">
        <f t="shared" si="173"/>
        <v>1.3074963582534159E-4</v>
      </c>
      <c r="E451" s="3">
        <f t="shared" si="174"/>
        <v>214.13444444444448</v>
      </c>
      <c r="F451" s="3"/>
      <c r="G451" s="3">
        <f t="shared" si="175"/>
        <v>262362047.04340738</v>
      </c>
      <c r="H451" s="3">
        <f t="shared" si="176"/>
        <v>205011.38952164009</v>
      </c>
      <c r="I451" s="3">
        <f t="shared" si="185"/>
        <v>131181183.71882306</v>
      </c>
      <c r="J451" s="3">
        <f t="shared" si="177"/>
        <v>5.2299726594120621E-4</v>
      </c>
      <c r="K451" s="3">
        <f t="shared" si="186"/>
        <v>2.4423780457090071E-3</v>
      </c>
      <c r="L451" s="3">
        <f t="shared" si="190"/>
        <v>2.4423780457090076E-3</v>
      </c>
      <c r="O451" s="9">
        <f t="shared" si="178"/>
        <v>2.4423780458487122E-6</v>
      </c>
      <c r="P451" s="9">
        <f t="shared" si="187"/>
        <v>409436.02458335267</v>
      </c>
      <c r="Q451" s="3">
        <f t="shared" si="179"/>
        <v>1912055.8845430305</v>
      </c>
      <c r="R451" s="3">
        <f t="shared" si="180"/>
        <v>409436024.5882374</v>
      </c>
      <c r="S451" s="3">
        <f t="shared" si="181"/>
        <v>409436024.58823729</v>
      </c>
      <c r="T451" s="3"/>
      <c r="U451" s="3"/>
      <c r="V451" s="3">
        <f t="shared" si="182"/>
        <v>5976.3564246789838</v>
      </c>
      <c r="W451" s="3">
        <f t="shared" si="188"/>
        <v>2623620.4704340738</v>
      </c>
      <c r="X451" s="3">
        <f t="shared" si="183"/>
        <v>214.13444444444445</v>
      </c>
      <c r="Y451" s="3">
        <f t="shared" si="184"/>
        <v>214.13444444444448</v>
      </c>
      <c r="Z451" s="3">
        <f t="shared" si="189"/>
        <v>1279743.7628006206</v>
      </c>
    </row>
    <row r="452" spans="1:26" x14ac:dyDescent="0.45">
      <c r="A452">
        <f t="shared" si="191"/>
        <v>440</v>
      </c>
      <c r="B452" s="3">
        <f t="shared" si="172"/>
        <v>4.6487603305785123</v>
      </c>
      <c r="C452" s="3">
        <f t="shared" si="192"/>
        <v>2045.4545454545455</v>
      </c>
      <c r="D452" s="3">
        <f t="shared" si="173"/>
        <v>1.2956504879437389E-4</v>
      </c>
      <c r="E452" s="3">
        <f t="shared" si="174"/>
        <v>215.11111111111106</v>
      </c>
      <c r="F452" s="3"/>
      <c r="G452" s="3">
        <f t="shared" si="175"/>
        <v>263558679.68515974</v>
      </c>
      <c r="H452" s="3">
        <f t="shared" si="176"/>
        <v>204545.45454545456</v>
      </c>
      <c r="I452" s="3">
        <f t="shared" si="185"/>
        <v>131779498.58832039</v>
      </c>
      <c r="J452" s="3">
        <f t="shared" si="177"/>
        <v>5.1825894655309194E-4</v>
      </c>
      <c r="K452" s="3">
        <f t="shared" si="186"/>
        <v>2.4092616317034233E-3</v>
      </c>
      <c r="L452" s="3">
        <f t="shared" si="190"/>
        <v>2.4092616317034237E-3</v>
      </c>
      <c r="O452" s="9">
        <f t="shared" si="178"/>
        <v>2.409261631841234E-6</v>
      </c>
      <c r="P452" s="9">
        <f t="shared" si="187"/>
        <v>415063.92561198858</v>
      </c>
      <c r="Q452" s="3">
        <f t="shared" si="179"/>
        <v>1929537.3607995338</v>
      </c>
      <c r="R452" s="3">
        <f t="shared" si="180"/>
        <v>415063925.61680698</v>
      </c>
      <c r="S452" s="3">
        <f t="shared" si="181"/>
        <v>415063925.61680704</v>
      </c>
      <c r="T452" s="3"/>
      <c r="U452" s="3"/>
      <c r="V452" s="3">
        <f t="shared" si="182"/>
        <v>5989.9699928445398</v>
      </c>
      <c r="W452" s="3">
        <f t="shared" si="188"/>
        <v>2635586.7968515977</v>
      </c>
      <c r="X452" s="3">
        <f t="shared" si="183"/>
        <v>215.11111111111117</v>
      </c>
      <c r="Y452" s="3">
        <f t="shared" si="184"/>
        <v>215.11111111111106</v>
      </c>
      <c r="Z452" s="3">
        <f t="shared" si="189"/>
        <v>1288509.100683003</v>
      </c>
    </row>
    <row r="453" spans="1:26" x14ac:dyDescent="0.45">
      <c r="A453">
        <f t="shared" si="191"/>
        <v>441</v>
      </c>
      <c r="B453" s="3">
        <f t="shared" si="172"/>
        <v>4.6277014207043363</v>
      </c>
      <c r="C453" s="3">
        <f t="shared" si="192"/>
        <v>2040.8163265306123</v>
      </c>
      <c r="D453" s="3">
        <f t="shared" si="173"/>
        <v>1.2839384682447716E-4</v>
      </c>
      <c r="E453" s="3">
        <f t="shared" si="174"/>
        <v>216.09000000000003</v>
      </c>
      <c r="F453" s="3"/>
      <c r="G453" s="3">
        <f t="shared" si="175"/>
        <v>264758035.0405452</v>
      </c>
      <c r="H453" s="3">
        <f t="shared" si="176"/>
        <v>204081.63265306121</v>
      </c>
      <c r="I453" s="3">
        <f t="shared" si="185"/>
        <v>132379174.83103386</v>
      </c>
      <c r="J453" s="3">
        <f t="shared" si="177"/>
        <v>5.1357416669977089E-4</v>
      </c>
      <c r="K453" s="3">
        <f t="shared" si="186"/>
        <v>2.3766679008735752E-3</v>
      </c>
      <c r="L453" s="3">
        <f t="shared" si="190"/>
        <v>2.3766679008735761E-3</v>
      </c>
      <c r="O453" s="9">
        <f t="shared" si="178"/>
        <v>2.3766679010095215E-6</v>
      </c>
      <c r="P453" s="9">
        <f t="shared" si="187"/>
        <v>420756.14472991228</v>
      </c>
      <c r="Q453" s="3">
        <f t="shared" si="179"/>
        <v>1947138.4364381151</v>
      </c>
      <c r="R453" s="3">
        <f t="shared" si="180"/>
        <v>420756144.73466557</v>
      </c>
      <c r="S453" s="3">
        <f t="shared" si="181"/>
        <v>420756144.73466557</v>
      </c>
      <c r="T453" s="3"/>
      <c r="U453" s="3"/>
      <c r="V453" s="3">
        <f t="shared" si="182"/>
        <v>6003.5835610100949</v>
      </c>
      <c r="W453" s="3">
        <f t="shared" si="188"/>
        <v>2647580.3504054518</v>
      </c>
      <c r="X453" s="3">
        <f t="shared" si="183"/>
        <v>216.09000000000003</v>
      </c>
      <c r="Y453" s="3">
        <f t="shared" si="184"/>
        <v>216.09000000000003</v>
      </c>
      <c r="Z453" s="3">
        <f t="shared" si="189"/>
        <v>1297314.3716986715</v>
      </c>
    </row>
    <row r="454" spans="1:26" x14ac:dyDescent="0.45">
      <c r="A454">
        <f t="shared" si="191"/>
        <v>442</v>
      </c>
      <c r="B454" s="3">
        <f t="shared" si="172"/>
        <v>4.6067852828566167</v>
      </c>
      <c r="C454" s="3">
        <f t="shared" si="192"/>
        <v>2036.1990950226245</v>
      </c>
      <c r="D454" s="3">
        <f t="shared" si="173"/>
        <v>1.272358488341474E-4</v>
      </c>
      <c r="E454" s="3">
        <f t="shared" si="174"/>
        <v>217.07111111111109</v>
      </c>
      <c r="F454" s="3"/>
      <c r="G454" s="3">
        <f t="shared" si="175"/>
        <v>265960113.10956374</v>
      </c>
      <c r="H454" s="3">
        <f t="shared" si="176"/>
        <v>203619.90950226245</v>
      </c>
      <c r="I454" s="3">
        <f t="shared" si="185"/>
        <v>132980212.4467416</v>
      </c>
      <c r="J454" s="3">
        <f t="shared" si="177"/>
        <v>5.08942202074294E-4</v>
      </c>
      <c r="K454" s="3">
        <f t="shared" si="186"/>
        <v>2.3445874463404958E-3</v>
      </c>
      <c r="L454" s="3">
        <f t="shared" si="190"/>
        <v>2.3445874463404958E-3</v>
      </c>
      <c r="O454" s="9">
        <f t="shared" si="178"/>
        <v>2.3445874464746069E-6</v>
      </c>
      <c r="P454" s="9">
        <f t="shared" si="187"/>
        <v>426513.26864185871</v>
      </c>
      <c r="Q454" s="3">
        <f t="shared" si="179"/>
        <v>1964859.655707668</v>
      </c>
      <c r="R454" s="3">
        <f t="shared" si="180"/>
        <v>426513268.64654785</v>
      </c>
      <c r="S454" s="3">
        <f t="shared" si="181"/>
        <v>426513268.64654785</v>
      </c>
      <c r="T454" s="3"/>
      <c r="U454" s="3"/>
      <c r="V454" s="3">
        <f t="shared" si="182"/>
        <v>6017.1971291756508</v>
      </c>
      <c r="W454" s="3">
        <f t="shared" si="188"/>
        <v>2659601.1310956376</v>
      </c>
      <c r="X454" s="3">
        <f t="shared" si="183"/>
        <v>217.07111111111115</v>
      </c>
      <c r="Y454" s="3">
        <f t="shared" si="184"/>
        <v>217.07111111111109</v>
      </c>
      <c r="Z454" s="3">
        <f t="shared" si="189"/>
        <v>1306159.6666047464</v>
      </c>
    </row>
    <row r="455" spans="1:26" x14ac:dyDescent="0.45">
      <c r="A455">
        <f t="shared" si="191"/>
        <v>443</v>
      </c>
      <c r="B455" s="3">
        <f t="shared" si="172"/>
        <v>4.5860106293535257</v>
      </c>
      <c r="C455" s="3">
        <f t="shared" si="192"/>
        <v>2031.6027088036119</v>
      </c>
      <c r="D455" s="3">
        <f t="shared" si="173"/>
        <v>1.2609087659352865E-4</v>
      </c>
      <c r="E455" s="3">
        <f t="shared" si="174"/>
        <v>218.05444444444441</v>
      </c>
      <c r="F455" s="3"/>
      <c r="G455" s="3">
        <f t="shared" si="175"/>
        <v>267164913.89221543</v>
      </c>
      <c r="H455" s="3">
        <f t="shared" si="176"/>
        <v>203160.27088036117</v>
      </c>
      <c r="I455" s="3">
        <f t="shared" si="185"/>
        <v>133582611.43522531</v>
      </c>
      <c r="J455" s="3">
        <f t="shared" si="177"/>
        <v>5.0436233977575035E-4</v>
      </c>
      <c r="K455" s="3">
        <f t="shared" si="186"/>
        <v>2.3130110512572057E-3</v>
      </c>
      <c r="L455" s="3">
        <f t="shared" si="190"/>
        <v>2.3130110512572062E-3</v>
      </c>
      <c r="O455" s="9">
        <f t="shared" si="178"/>
        <v>2.3130110513895107E-6</v>
      </c>
      <c r="P455" s="9">
        <f t="shared" si="187"/>
        <v>432335.88805734983</v>
      </c>
      <c r="Q455" s="3">
        <f t="shared" si="179"/>
        <v>1982701.5640926317</v>
      </c>
      <c r="R455" s="3">
        <f t="shared" si="180"/>
        <v>432335888.06197572</v>
      </c>
      <c r="S455" s="3">
        <f t="shared" si="181"/>
        <v>432335888.06197578</v>
      </c>
      <c r="T455" s="3"/>
      <c r="U455" s="3"/>
      <c r="V455" s="3">
        <f t="shared" si="182"/>
        <v>6030.8106973412068</v>
      </c>
      <c r="W455" s="3">
        <f t="shared" si="188"/>
        <v>2671649.1389221544</v>
      </c>
      <c r="X455" s="3">
        <f t="shared" si="183"/>
        <v>218.05444444444447</v>
      </c>
      <c r="Y455" s="3">
        <f t="shared" si="184"/>
        <v>218.05444444444441</v>
      </c>
      <c r="Z455" s="3">
        <f t="shared" si="189"/>
        <v>1315045.0761583492</v>
      </c>
    </row>
    <row r="456" spans="1:26" x14ac:dyDescent="0.45">
      <c r="A456">
        <f t="shared" si="191"/>
        <v>444</v>
      </c>
      <c r="B456" s="3">
        <f t="shared" si="172"/>
        <v>4.5653761869978089</v>
      </c>
      <c r="C456" s="3">
        <f t="shared" si="192"/>
        <v>2027.0270270270271</v>
      </c>
      <c r="D456" s="3">
        <f t="shared" si="173"/>
        <v>1.2495875467320573E-4</v>
      </c>
      <c r="E456" s="3">
        <f t="shared" si="174"/>
        <v>219.04000000000005</v>
      </c>
      <c r="F456" s="3"/>
      <c r="G456" s="3">
        <f t="shared" si="175"/>
        <v>268372437.38850024</v>
      </c>
      <c r="H456" s="3">
        <f t="shared" si="176"/>
        <v>202702.70270270269</v>
      </c>
      <c r="I456" s="3">
        <f t="shared" si="185"/>
        <v>134186371.79626998</v>
      </c>
      <c r="J456" s="3">
        <f t="shared" si="177"/>
        <v>4.9983387810445643E-4</v>
      </c>
      <c r="K456" s="3">
        <f t="shared" si="186"/>
        <v>2.2819296845528509E-3</v>
      </c>
      <c r="L456" s="3">
        <f t="shared" si="190"/>
        <v>2.2819296845528509E-3</v>
      </c>
      <c r="O456" s="9">
        <f t="shared" si="178"/>
        <v>2.2819296846833779E-6</v>
      </c>
      <c r="P456" s="9">
        <f t="shared" si="187"/>
        <v>438224.5977088759</v>
      </c>
      <c r="Q456" s="3">
        <f t="shared" si="179"/>
        <v>2000664.7083129836</v>
      </c>
      <c r="R456" s="3">
        <f t="shared" si="180"/>
        <v>438224597.71343982</v>
      </c>
      <c r="S456" s="3">
        <f t="shared" si="181"/>
        <v>438224597.71343964</v>
      </c>
      <c r="T456" s="3"/>
      <c r="U456" s="3"/>
      <c r="V456" s="3">
        <f t="shared" si="182"/>
        <v>6044.4242655067628</v>
      </c>
      <c r="W456" s="3">
        <f t="shared" si="188"/>
        <v>2683724.3738850029</v>
      </c>
      <c r="X456" s="3">
        <f t="shared" si="183"/>
        <v>219.04000000000008</v>
      </c>
      <c r="Y456" s="3">
        <f t="shared" si="184"/>
        <v>219.04000000000005</v>
      </c>
      <c r="Z456" s="3">
        <f t="shared" si="189"/>
        <v>1323970.6911166017</v>
      </c>
    </row>
    <row r="457" spans="1:26" x14ac:dyDescent="0.45">
      <c r="A457">
        <f t="shared" si="191"/>
        <v>445</v>
      </c>
      <c r="B457" s="3">
        <f t="shared" si="172"/>
        <v>4.544880696881707</v>
      </c>
      <c r="C457" s="3">
        <f t="shared" si="192"/>
        <v>2022.4719101123596</v>
      </c>
      <c r="D457" s="3">
        <f t="shared" si="173"/>
        <v>1.2383931039402886E-4</v>
      </c>
      <c r="E457" s="3">
        <f t="shared" si="174"/>
        <v>220.02777777777777</v>
      </c>
      <c r="F457" s="3"/>
      <c r="G457" s="3">
        <f t="shared" si="175"/>
        <v>269582683.59841818</v>
      </c>
      <c r="H457" s="3">
        <f t="shared" si="176"/>
        <v>202247.19101123596</v>
      </c>
      <c r="I457" s="3">
        <f t="shared" si="185"/>
        <v>134791493.52966413</v>
      </c>
      <c r="J457" s="3">
        <f t="shared" si="177"/>
        <v>4.9535612636126885E-4</v>
      </c>
      <c r="K457" s="3">
        <f t="shared" si="186"/>
        <v>2.2513344967814266E-3</v>
      </c>
      <c r="L457" s="3">
        <f t="shared" si="190"/>
        <v>2.2513344967814287E-3</v>
      </c>
      <c r="O457" s="9">
        <f t="shared" si="178"/>
        <v>2.251334496910204E-6</v>
      </c>
      <c r="P457" s="9">
        <f t="shared" si="187"/>
        <v>444179.99637012125</v>
      </c>
      <c r="Q457" s="3">
        <f t="shared" si="179"/>
        <v>2018749.6363242476</v>
      </c>
      <c r="R457" s="3">
        <f t="shared" si="180"/>
        <v>444179996.37462384</v>
      </c>
      <c r="S457" s="3">
        <f t="shared" si="181"/>
        <v>444179996.37462384</v>
      </c>
      <c r="T457" s="3"/>
      <c r="U457" s="3"/>
      <c r="V457" s="3">
        <f t="shared" si="182"/>
        <v>6058.0378336723179</v>
      </c>
      <c r="W457" s="3">
        <f t="shared" si="188"/>
        <v>2695826.8359841816</v>
      </c>
      <c r="X457" s="3">
        <f t="shared" si="183"/>
        <v>220.02777777777777</v>
      </c>
      <c r="Y457" s="3">
        <f t="shared" si="184"/>
        <v>220.02777777777777</v>
      </c>
      <c r="Z457" s="3">
        <f t="shared" si="189"/>
        <v>1332936.6022366229</v>
      </c>
    </row>
    <row r="458" spans="1:26" x14ac:dyDescent="0.45">
      <c r="A458">
        <f t="shared" si="191"/>
        <v>446</v>
      </c>
      <c r="B458" s="3">
        <f t="shared" si="172"/>
        <v>4.5245229141949368</v>
      </c>
      <c r="C458" s="3">
        <f t="shared" si="192"/>
        <v>2017.9372197309417</v>
      </c>
      <c r="D458" s="3">
        <f t="shared" si="173"/>
        <v>1.2273237377794733E-4</v>
      </c>
      <c r="E458" s="3">
        <f t="shared" si="174"/>
        <v>221.01777777777781</v>
      </c>
      <c r="F458" s="3"/>
      <c r="G458" s="3">
        <f t="shared" si="175"/>
        <v>270795652.52196914</v>
      </c>
      <c r="H458" s="3">
        <f t="shared" si="176"/>
        <v>201793.72197309416</v>
      </c>
      <c r="I458" s="3">
        <f t="shared" si="185"/>
        <v>135397976.63519937</v>
      </c>
      <c r="J458" s="3">
        <f t="shared" si="177"/>
        <v>4.9092840465093923E-4</v>
      </c>
      <c r="K458" s="3">
        <f t="shared" si="186"/>
        <v>2.2212168160723389E-3</v>
      </c>
      <c r="L458" s="3">
        <f t="shared" si="190"/>
        <v>2.2212168160723384E-3</v>
      </c>
      <c r="O458" s="9">
        <f t="shared" si="178"/>
        <v>2.2212168161993933E-6</v>
      </c>
      <c r="P458" s="9">
        <f t="shared" si="187"/>
        <v>450202.68687422742</v>
      </c>
      <c r="Q458" s="3">
        <f t="shared" si="179"/>
        <v>2036956.8973174843</v>
      </c>
      <c r="R458" s="3">
        <f t="shared" si="180"/>
        <v>450202686.87866986</v>
      </c>
      <c r="S458" s="3">
        <f t="shared" si="181"/>
        <v>450202686.87866968</v>
      </c>
      <c r="T458" s="3"/>
      <c r="U458" s="3"/>
      <c r="V458" s="3">
        <f t="shared" si="182"/>
        <v>6071.6514018378739</v>
      </c>
      <c r="W458" s="3">
        <f t="shared" si="188"/>
        <v>2707956.5252196919</v>
      </c>
      <c r="X458" s="3">
        <f t="shared" si="183"/>
        <v>221.01777777777781</v>
      </c>
      <c r="Y458" s="3">
        <f t="shared" si="184"/>
        <v>221.01777777777781</v>
      </c>
      <c r="Z458" s="3">
        <f t="shared" si="189"/>
        <v>1341942.9002755363</v>
      </c>
    </row>
    <row r="459" spans="1:26" x14ac:dyDescent="0.45">
      <c r="A459">
        <f t="shared" si="191"/>
        <v>447</v>
      </c>
      <c r="B459" s="3">
        <f t="shared" si="172"/>
        <v>4.5043016080356741</v>
      </c>
      <c r="C459" s="3">
        <f t="shared" si="192"/>
        <v>2013.4228187919464</v>
      </c>
      <c r="D459" s="3">
        <f t="shared" si="173"/>
        <v>1.2163777749983005E-4</v>
      </c>
      <c r="E459" s="3">
        <f t="shared" si="174"/>
        <v>222.01</v>
      </c>
      <c r="F459" s="3"/>
      <c r="G459" s="3">
        <f t="shared" si="175"/>
        <v>272011344.15915328</v>
      </c>
      <c r="H459" s="3">
        <f t="shared" si="176"/>
        <v>201342.28187919463</v>
      </c>
      <c r="I459" s="3">
        <f t="shared" si="185"/>
        <v>136005821.11267078</v>
      </c>
      <c r="J459" s="3">
        <f t="shared" si="177"/>
        <v>4.8655004368940711E-4</v>
      </c>
      <c r="K459" s="3">
        <f t="shared" si="186"/>
        <v>2.1915681441800239E-3</v>
      </c>
      <c r="L459" s="3">
        <f t="shared" si="190"/>
        <v>2.1915681441800239E-3</v>
      </c>
      <c r="O459" s="9">
        <f t="shared" si="178"/>
        <v>2.1915681443053824E-6</v>
      </c>
      <c r="P459" s="9">
        <f t="shared" si="187"/>
        <v>456293.27613210265</v>
      </c>
      <c r="Q459" s="3">
        <f t="shared" si="179"/>
        <v>2055287.0417193039</v>
      </c>
      <c r="R459" s="3">
        <f t="shared" si="180"/>
        <v>456293276.13648576</v>
      </c>
      <c r="S459" s="3">
        <f t="shared" si="181"/>
        <v>456293276.13648576</v>
      </c>
      <c r="T459" s="3"/>
      <c r="U459" s="3"/>
      <c r="V459" s="3">
        <f t="shared" si="182"/>
        <v>6085.2649700034299</v>
      </c>
      <c r="W459" s="3">
        <f t="shared" si="188"/>
        <v>2720113.4415915334</v>
      </c>
      <c r="X459" s="3">
        <f t="shared" si="183"/>
        <v>222.01000000000005</v>
      </c>
      <c r="Y459" s="3">
        <f t="shared" si="184"/>
        <v>222.01</v>
      </c>
      <c r="Z459" s="3">
        <f t="shared" si="189"/>
        <v>1350989.6759904614</v>
      </c>
    </row>
    <row r="460" spans="1:26" x14ac:dyDescent="0.45">
      <c r="A460">
        <f t="shared" si="191"/>
        <v>448</v>
      </c>
      <c r="B460" s="3">
        <f t="shared" si="172"/>
        <v>4.4842155612244898</v>
      </c>
      <c r="C460" s="3">
        <f t="shared" si="192"/>
        <v>2008.9285714285716</v>
      </c>
      <c r="D460" s="3">
        <f t="shared" si="173"/>
        <v>1.2055535684025065E-4</v>
      </c>
      <c r="E460" s="3">
        <f t="shared" si="174"/>
        <v>223.00444444444449</v>
      </c>
      <c r="F460" s="3"/>
      <c r="G460" s="3">
        <f t="shared" si="175"/>
        <v>273229758.50997055</v>
      </c>
      <c r="H460" s="3">
        <f t="shared" si="176"/>
        <v>200892.85714285713</v>
      </c>
      <c r="I460" s="3">
        <f t="shared" si="185"/>
        <v>136615026.96187654</v>
      </c>
      <c r="J460" s="3">
        <f t="shared" si="177"/>
        <v>4.8222038461495886E-4</v>
      </c>
      <c r="K460" s="3">
        <f t="shared" si="186"/>
        <v>2.1623801526300572E-3</v>
      </c>
      <c r="L460" s="3">
        <f t="shared" si="190"/>
        <v>2.1623801526300577E-3</v>
      </c>
      <c r="O460" s="9">
        <f t="shared" si="178"/>
        <v>2.1623801527537461E-6</v>
      </c>
      <c r="P460" s="9">
        <f t="shared" si="187"/>
        <v>462452.37515076657</v>
      </c>
      <c r="Q460" s="3">
        <f t="shared" si="179"/>
        <v>2073740.6211918544</v>
      </c>
      <c r="R460" s="3">
        <f t="shared" si="180"/>
        <v>462452375.15509135</v>
      </c>
      <c r="S460" s="3">
        <f t="shared" si="181"/>
        <v>462452375.15509129</v>
      </c>
      <c r="T460" s="3"/>
      <c r="U460" s="3"/>
      <c r="V460" s="3">
        <f t="shared" si="182"/>
        <v>6098.878538168985</v>
      </c>
      <c r="W460" s="3">
        <f t="shared" si="188"/>
        <v>2732297.5850997055</v>
      </c>
      <c r="X460" s="3">
        <f t="shared" si="183"/>
        <v>223.00444444444443</v>
      </c>
      <c r="Y460" s="3">
        <f t="shared" si="184"/>
        <v>223.00444444444449</v>
      </c>
      <c r="Z460" s="3">
        <f t="shared" si="189"/>
        <v>1360077.0201385203</v>
      </c>
    </row>
    <row r="461" spans="1:26" x14ac:dyDescent="0.45">
      <c r="A461">
        <f t="shared" si="191"/>
        <v>449</v>
      </c>
      <c r="B461" s="3">
        <f t="shared" ref="B461:B524" si="193">REQD_MBPS*DIST_RINGS_EM^2/(IMPROVED_MBPS*IMPROVED_KM^2*A461^2)</f>
        <v>4.4642635701211804</v>
      </c>
      <c r="C461" s="3">
        <f t="shared" si="192"/>
        <v>2004.45434298441</v>
      </c>
      <c r="D461" s="3">
        <f t="shared" ref="D461:D482" si="194">IMPROVED_MBPS*IMPROVED_KM^2*B461^2/(4*PI()^2*AVG_SUN_DIST^2)</f>
        <v>1.1948494963921558E-4</v>
      </c>
      <c r="E461" s="3">
        <f t="shared" ref="E461:E482" si="195">IMPROVED_MBPS*IMPROVED_KM^2/(DIST_RINGS_EM/A461)^2</f>
        <v>224.0011111111111</v>
      </c>
      <c r="F461" s="3"/>
      <c r="G461" s="3">
        <f t="shared" ref="G461:G482" si="196">(2*PI()*AVG_SUN_DIST)/B461</f>
        <v>274450895.57442087</v>
      </c>
      <c r="H461" s="3">
        <f t="shared" ref="H461:H482" si="197">DIST_RINGS_EM/A461</f>
        <v>200445.43429844099</v>
      </c>
      <c r="I461" s="3">
        <f t="shared" si="185"/>
        <v>137225594.18261793</v>
      </c>
      <c r="J461" s="3">
        <f t="shared" ref="J461:J524" si="198">IMPROVED_MBPS*IMPROVED_KM^2/I461^2</f>
        <v>4.7793877880315436E-4</v>
      </c>
      <c r="K461" s="3">
        <f t="shared" si="186"/>
        <v>2.1336446789591268E-3</v>
      </c>
      <c r="L461" s="3">
        <f t="shared" si="190"/>
        <v>2.133644678959126E-3</v>
      </c>
      <c r="O461" s="9">
        <f t="shared" ref="O461:O482" si="199">K461/$K$13</f>
        <v>2.1336446790811722E-6</v>
      </c>
      <c r="P461" s="9">
        <f t="shared" si="187"/>
        <v>468680.59905173979</v>
      </c>
      <c r="Q461" s="3">
        <f t="shared" ref="Q461:Q524" si="200">B461*(1+P461)</f>
        <v>2092318.1886328235</v>
      </c>
      <c r="R461" s="3">
        <f t="shared" ref="R461:R524" si="201">IMPROVED_MBPS*IMPROVED_KM^2/((PI()*AVG_SUN_DIST/Q461)^2+(DIST_RINGS_EM/A461)^2)*Q461</f>
        <v>468680599.05600709</v>
      </c>
      <c r="S461" s="3">
        <f t="shared" ref="S461:S482" si="202">IMPROVED_MBPS*IMPROVED_KM^2*Q461^3*A461^2/((A461*PI()*AVG_SUN_DIST)^2+(DIST_RINGS_EM*Q461)^2)</f>
        <v>468680599.05600697</v>
      </c>
      <c r="T461" s="3"/>
      <c r="U461" s="3"/>
      <c r="V461" s="3">
        <f t="shared" ref="V461:V482" si="203">2*PI()*AVG_SUN_DIST*A461/DIST_RINGS_EM</f>
        <v>6112.4921063345419</v>
      </c>
      <c r="W461" s="3">
        <f t="shared" si="188"/>
        <v>2744508.9557442092</v>
      </c>
      <c r="X461" s="3">
        <f t="shared" ref="X461:X482" si="204">IMPROVED_MBPS*IMPROVED_KM^2*V461^2/(4*PI()^2*AVG_SUN_DIST^2)</f>
        <v>224.00111111111119</v>
      </c>
      <c r="Y461" s="3">
        <f t="shared" ref="Y461:Y482" si="205">IMPROVED_MBPS*IMPROVED_KM^2/(DIST_RINGS_EM/A461)^2</f>
        <v>224.0011111111111</v>
      </c>
      <c r="Z461" s="3">
        <f t="shared" si="189"/>
        <v>1369205.0234768332</v>
      </c>
    </row>
    <row r="462" spans="1:26" x14ac:dyDescent="0.45">
      <c r="A462">
        <f t="shared" si="191"/>
        <v>450</v>
      </c>
      <c r="B462" s="3">
        <f t="shared" si="193"/>
        <v>4.4444444444444446</v>
      </c>
      <c r="C462" s="3">
        <f t="shared" si="192"/>
        <v>2000</v>
      </c>
      <c r="D462" s="3">
        <f t="shared" si="194"/>
        <v>1.1842639625081487E-4</v>
      </c>
      <c r="E462" s="3">
        <f t="shared" si="195"/>
        <v>225</v>
      </c>
      <c r="F462" s="3"/>
      <c r="G462" s="3">
        <f t="shared" si="196"/>
        <v>275674755.35250437</v>
      </c>
      <c r="H462" s="3">
        <f t="shared" si="197"/>
        <v>200000</v>
      </c>
      <c r="I462" s="3">
        <f t="shared" ref="I462:I482" si="206">SQRT((G462/2)^2+H462^2)</f>
        <v>137837522.77469942</v>
      </c>
      <c r="J462" s="3">
        <f t="shared" si="198"/>
        <v>4.7370458768544239E-4</v>
      </c>
      <c r="K462" s="3">
        <f t="shared" ref="K462:K482" si="207">J462*B462</f>
        <v>2.1053537230464109E-3</v>
      </c>
      <c r="L462" s="3">
        <f t="shared" si="190"/>
        <v>2.1053537230464109E-3</v>
      </c>
      <c r="O462" s="9">
        <f t="shared" si="199"/>
        <v>2.1053537231668381E-6</v>
      </c>
      <c r="P462" s="9">
        <f t="shared" ref="P462:P482" si="208">1/O462-1</f>
        <v>474978.5670894754</v>
      </c>
      <c r="Q462" s="3">
        <f t="shared" si="200"/>
        <v>2111020.2981754462</v>
      </c>
      <c r="R462" s="3">
        <f t="shared" si="201"/>
        <v>474978567.09368598</v>
      </c>
      <c r="S462" s="3">
        <f t="shared" si="202"/>
        <v>474978567.09368598</v>
      </c>
      <c r="T462" s="3"/>
      <c r="U462" s="3"/>
      <c r="V462" s="3">
        <f t="shared" si="203"/>
        <v>6126.1056745000978</v>
      </c>
      <c r="W462" s="3">
        <f t="shared" ref="W462:W482" si="209">V462*A462</f>
        <v>2756747.5535250441</v>
      </c>
      <c r="X462" s="3">
        <f t="shared" si="204"/>
        <v>225.00000000000006</v>
      </c>
      <c r="Y462" s="3">
        <f t="shared" si="205"/>
        <v>225</v>
      </c>
      <c r="Z462" s="3">
        <f t="shared" ref="Z462:Z482" si="210">Y462*V462</f>
        <v>1378373.7767625221</v>
      </c>
    </row>
    <row r="463" spans="1:26" x14ac:dyDescent="0.45">
      <c r="A463">
        <f t="shared" si="191"/>
        <v>451</v>
      </c>
      <c r="B463" s="3">
        <f t="shared" si="193"/>
        <v>4.4247570070943603</v>
      </c>
      <c r="C463" s="3">
        <f t="shared" si="192"/>
        <v>1995.5654101995565</v>
      </c>
      <c r="D463" s="3">
        <f t="shared" si="194"/>
        <v>1.173795394987747E-4</v>
      </c>
      <c r="E463" s="3">
        <f t="shared" si="195"/>
        <v>226.0011111111111</v>
      </c>
      <c r="F463" s="3"/>
      <c r="G463" s="3">
        <f t="shared" si="196"/>
        <v>276901337.84422094</v>
      </c>
      <c r="H463" s="3">
        <f t="shared" si="197"/>
        <v>199556.54101995565</v>
      </c>
      <c r="I463" s="3">
        <f t="shared" si="206"/>
        <v>138450812.73792836</v>
      </c>
      <c r="J463" s="3">
        <f t="shared" si="198"/>
        <v>4.6951718257138696E-4</v>
      </c>
      <c r="K463" s="3">
        <f t="shared" si="207"/>
        <v>2.0774994435339466E-3</v>
      </c>
      <c r="L463" s="3">
        <f t="shared" si="190"/>
        <v>2.0774994435339461E-3</v>
      </c>
      <c r="O463" s="9">
        <f t="shared" si="199"/>
        <v>2.0774994436527806E-6</v>
      </c>
      <c r="P463" s="9">
        <f t="shared" si="208"/>
        <v>481346.9026698278</v>
      </c>
      <c r="Q463" s="3">
        <f t="shared" si="200"/>
        <v>2129847.5051884949</v>
      </c>
      <c r="R463" s="3">
        <f t="shared" si="201"/>
        <v>481346902.6739828</v>
      </c>
      <c r="S463" s="3">
        <f t="shared" si="202"/>
        <v>481346902.6739828</v>
      </c>
      <c r="T463" s="3"/>
      <c r="U463" s="3"/>
      <c r="V463" s="3">
        <f t="shared" si="203"/>
        <v>6139.7192426656538</v>
      </c>
      <c r="W463" s="3">
        <f t="shared" si="209"/>
        <v>2769013.3784422097</v>
      </c>
      <c r="X463" s="3">
        <f t="shared" si="204"/>
        <v>226.00111111111119</v>
      </c>
      <c r="Y463" s="3">
        <f t="shared" si="205"/>
        <v>226.0011111111111</v>
      </c>
      <c r="Z463" s="3">
        <f t="shared" si="210"/>
        <v>1387583.3707527074</v>
      </c>
    </row>
    <row r="464" spans="1:26" x14ac:dyDescent="0.45">
      <c r="A464">
        <f t="shared" si="191"/>
        <v>452</v>
      </c>
      <c r="B464" s="3">
        <f t="shared" si="193"/>
        <v>4.4052000939776024</v>
      </c>
      <c r="C464" s="3">
        <f t="shared" si="192"/>
        <v>1991.1504424778764</v>
      </c>
      <c r="D464" s="3">
        <f t="shared" si="194"/>
        <v>1.1634422463289232E-4</v>
      </c>
      <c r="E464" s="3">
        <f t="shared" si="195"/>
        <v>227.0044444444444</v>
      </c>
      <c r="F464" s="3"/>
      <c r="G464" s="3">
        <f t="shared" si="196"/>
        <v>278130643.04957062</v>
      </c>
      <c r="H464" s="3">
        <f t="shared" si="197"/>
        <v>199115.04424778762</v>
      </c>
      <c r="I464" s="3">
        <f t="shared" si="206"/>
        <v>139065464.07211518</v>
      </c>
      <c r="J464" s="3">
        <f t="shared" si="198"/>
        <v>4.6537594447441748E-4</v>
      </c>
      <c r="K464" s="3">
        <f t="shared" si="207"/>
        <v>2.0500741543336195E-3</v>
      </c>
      <c r="L464" s="3">
        <f t="shared" si="190"/>
        <v>2.0500741543336195E-3</v>
      </c>
      <c r="O464" s="9">
        <f t="shared" si="199"/>
        <v>2.0500741544508847E-6</v>
      </c>
      <c r="P464" s="9">
        <f t="shared" si="208"/>
        <v>487786.23336856632</v>
      </c>
      <c r="Q464" s="3">
        <f t="shared" si="200"/>
        <v>2148800.3662762828</v>
      </c>
      <c r="R464" s="3">
        <f t="shared" si="201"/>
        <v>487786233.37266636</v>
      </c>
      <c r="S464" s="3">
        <f t="shared" si="202"/>
        <v>487786233.37266624</v>
      </c>
      <c r="T464" s="3"/>
      <c r="U464" s="3"/>
      <c r="V464" s="3">
        <f t="shared" si="203"/>
        <v>6153.332810831208</v>
      </c>
      <c r="W464" s="3">
        <f t="shared" si="209"/>
        <v>2781306.4304957059</v>
      </c>
      <c r="X464" s="3">
        <f t="shared" si="204"/>
        <v>227.00444444444443</v>
      </c>
      <c r="Y464" s="3">
        <f t="shared" si="205"/>
        <v>227.0044444444444</v>
      </c>
      <c r="Z464" s="3">
        <f t="shared" si="210"/>
        <v>1396833.8962045098</v>
      </c>
    </row>
    <row r="465" spans="1:26" x14ac:dyDescent="0.45">
      <c r="A465">
        <f t="shared" si="191"/>
        <v>453</v>
      </c>
      <c r="B465" s="3">
        <f t="shared" si="193"/>
        <v>4.3857725538353582</v>
      </c>
      <c r="C465" s="3">
        <f t="shared" si="192"/>
        <v>1986.7549668874174</v>
      </c>
      <c r="D465" s="3">
        <f t="shared" si="194"/>
        <v>1.1532029928633285E-4</v>
      </c>
      <c r="E465" s="3">
        <f t="shared" si="195"/>
        <v>228.01</v>
      </c>
      <c r="F465" s="3"/>
      <c r="G465" s="3">
        <f t="shared" si="196"/>
        <v>279362670.96855342</v>
      </c>
      <c r="H465" s="3">
        <f t="shared" si="197"/>
        <v>198675.49668874172</v>
      </c>
      <c r="I465" s="3">
        <f t="shared" si="206"/>
        <v>139681476.7770732</v>
      </c>
      <c r="J465" s="3">
        <f t="shared" si="198"/>
        <v>4.6128026394103174E-4</v>
      </c>
      <c r="K465" s="3">
        <f t="shared" si="207"/>
        <v>2.0230703212185067E-3</v>
      </c>
      <c r="L465" s="3">
        <f t="shared" si="190"/>
        <v>2.0230703212185067E-3</v>
      </c>
      <c r="O465" s="9">
        <f t="shared" si="199"/>
        <v>2.0230703213342273E-6</v>
      </c>
      <c r="P465" s="9">
        <f t="shared" si="208"/>
        <v>494297.19094992895</v>
      </c>
      <c r="Q465" s="3">
        <f t="shared" si="200"/>
        <v>2167879.4392786673</v>
      </c>
      <c r="R465" s="3">
        <f t="shared" si="201"/>
        <v>494297190.95397496</v>
      </c>
      <c r="S465" s="3">
        <f t="shared" si="202"/>
        <v>494297190.95397508</v>
      </c>
      <c r="T465" s="3"/>
      <c r="U465" s="3"/>
      <c r="V465" s="3">
        <f t="shared" si="203"/>
        <v>6166.946378996764</v>
      </c>
      <c r="W465" s="3">
        <f t="shared" si="209"/>
        <v>2793626.7096855342</v>
      </c>
      <c r="X465" s="3">
        <f t="shared" si="204"/>
        <v>228.00999999999996</v>
      </c>
      <c r="Y465" s="3">
        <f t="shared" si="205"/>
        <v>228.01</v>
      </c>
      <c r="Z465" s="3">
        <f t="shared" si="210"/>
        <v>1406125.443875052</v>
      </c>
    </row>
    <row r="466" spans="1:26" x14ac:dyDescent="0.45">
      <c r="A466">
        <f t="shared" si="191"/>
        <v>454</v>
      </c>
      <c r="B466" s="3">
        <f t="shared" si="193"/>
        <v>4.3664732480739001</v>
      </c>
      <c r="C466" s="3">
        <f t="shared" si="192"/>
        <v>1982.3788546255507</v>
      </c>
      <c r="D466" s="3">
        <f t="shared" si="194"/>
        <v>1.1430761343377092E-4</v>
      </c>
      <c r="E466" s="3">
        <f t="shared" si="195"/>
        <v>229.01777777777775</v>
      </c>
      <c r="F466" s="3"/>
      <c r="G466" s="3">
        <f t="shared" si="196"/>
        <v>280597421.60116935</v>
      </c>
      <c r="H466" s="3">
        <f t="shared" si="197"/>
        <v>198237.88546255507</v>
      </c>
      <c r="I466" s="3">
        <f t="shared" si="206"/>
        <v>140298850.85261863</v>
      </c>
      <c r="J466" s="3">
        <f t="shared" si="198"/>
        <v>4.5722954088337197E-4</v>
      </c>
      <c r="K466" s="3">
        <f t="shared" si="207"/>
        <v>1.9964805584963552E-3</v>
      </c>
      <c r="L466" s="3">
        <f t="shared" si="190"/>
        <v>1.9964805584963556E-3</v>
      </c>
      <c r="O466" s="9">
        <f t="shared" si="199"/>
        <v>1.9964805586105547E-6</v>
      </c>
      <c r="P466" s="9">
        <f t="shared" si="208"/>
        <v>500880.41138521646</v>
      </c>
      <c r="Q466" s="3">
        <f t="shared" si="200"/>
        <v>2187085.2832710454</v>
      </c>
      <c r="R466" s="3">
        <f t="shared" si="201"/>
        <v>500880411.38920921</v>
      </c>
      <c r="S466" s="3">
        <f t="shared" si="202"/>
        <v>500880411.38920921</v>
      </c>
      <c r="T466" s="3"/>
      <c r="U466" s="3"/>
      <c r="V466" s="3">
        <f t="shared" si="203"/>
        <v>6180.55994716232</v>
      </c>
      <c r="W466" s="3">
        <f t="shared" si="209"/>
        <v>2805974.2160116932</v>
      </c>
      <c r="X466" s="3">
        <f t="shared" si="204"/>
        <v>229.01777777777781</v>
      </c>
      <c r="Y466" s="3">
        <f t="shared" si="205"/>
        <v>229.01777777777775</v>
      </c>
      <c r="Z466" s="3">
        <f t="shared" si="210"/>
        <v>1415458.1045214541</v>
      </c>
    </row>
    <row r="467" spans="1:26" x14ac:dyDescent="0.45">
      <c r="A467">
        <f t="shared" si="191"/>
        <v>455</v>
      </c>
      <c r="B467" s="3">
        <f t="shared" si="193"/>
        <v>4.3473010505977543</v>
      </c>
      <c r="C467" s="3">
        <f t="shared" si="192"/>
        <v>1978.0219780219782</v>
      </c>
      <c r="D467" s="3">
        <f t="shared" si="194"/>
        <v>1.133060193503568E-4</v>
      </c>
      <c r="E467" s="3">
        <f t="shared" si="195"/>
        <v>230.0277777777778</v>
      </c>
      <c r="F467" s="3"/>
      <c r="G467" s="3">
        <f t="shared" si="196"/>
        <v>281834894.94741833</v>
      </c>
      <c r="H467" s="3">
        <f t="shared" si="197"/>
        <v>197802.1978021978</v>
      </c>
      <c r="I467" s="3">
        <f t="shared" si="206"/>
        <v>140917586.29857039</v>
      </c>
      <c r="J467" s="3">
        <f t="shared" si="198"/>
        <v>4.5322318441510357E-4</v>
      </c>
      <c r="K467" s="3">
        <f t="shared" si="207"/>
        <v>1.9702976257630397E-3</v>
      </c>
      <c r="L467" s="3">
        <f t="shared" si="190"/>
        <v>1.9702976257630392E-3</v>
      </c>
      <c r="O467" s="9">
        <f t="shared" si="199"/>
        <v>1.9702976258757416E-6</v>
      </c>
      <c r="P467" s="9">
        <f t="shared" si="208"/>
        <v>507536.53487142746</v>
      </c>
      <c r="Q467" s="3">
        <f t="shared" si="200"/>
        <v>2206418.4585643508</v>
      </c>
      <c r="R467" s="3">
        <f t="shared" si="201"/>
        <v>507536534.87536806</v>
      </c>
      <c r="S467" s="3">
        <f t="shared" si="202"/>
        <v>507536534.87536812</v>
      </c>
      <c r="T467" s="3"/>
      <c r="U467" s="3"/>
      <c r="V467" s="3">
        <f t="shared" si="203"/>
        <v>6194.1735153278751</v>
      </c>
      <c r="W467" s="3">
        <f t="shared" si="209"/>
        <v>2818348.9494741834</v>
      </c>
      <c r="X467" s="3">
        <f t="shared" si="204"/>
        <v>230.02777777777777</v>
      </c>
      <c r="Y467" s="3">
        <f t="shared" si="205"/>
        <v>230.0277777777778</v>
      </c>
      <c r="Z467" s="3">
        <f t="shared" si="210"/>
        <v>1424831.9689008372</v>
      </c>
    </row>
    <row r="468" spans="1:26" x14ac:dyDescent="0.45">
      <c r="A468">
        <f t="shared" si="191"/>
        <v>456</v>
      </c>
      <c r="B468" s="3">
        <f t="shared" si="193"/>
        <v>4.3282548476454297</v>
      </c>
      <c r="C468" s="3">
        <f t="shared" si="192"/>
        <v>1973.6842105263158</v>
      </c>
      <c r="D468" s="3">
        <f t="shared" si="194"/>
        <v>1.123153715714898E-4</v>
      </c>
      <c r="E468" s="3">
        <f t="shared" si="195"/>
        <v>231.04000000000002</v>
      </c>
      <c r="F468" s="3"/>
      <c r="G468" s="3">
        <f t="shared" si="196"/>
        <v>283075091.00730044</v>
      </c>
      <c r="H468" s="3">
        <f t="shared" si="197"/>
        <v>197368.42105263157</v>
      </c>
      <c r="I468" s="3">
        <f t="shared" si="206"/>
        <v>141537683.11475036</v>
      </c>
      <c r="J468" s="3">
        <f t="shared" si="198"/>
        <v>4.4926061269051859E-4</v>
      </c>
      <c r="K468" s="3">
        <f t="shared" si="207"/>
        <v>1.9445144247338929E-3</v>
      </c>
      <c r="L468" s="3">
        <f t="shared" si="190"/>
        <v>1.9445144247338933E-3</v>
      </c>
      <c r="O468" s="9">
        <f t="shared" si="199"/>
        <v>1.9445144248451199E-6</v>
      </c>
      <c r="P468" s="9">
        <f t="shared" si="208"/>
        <v>514266.2058499385</v>
      </c>
      <c r="Q468" s="3">
        <f t="shared" si="200"/>
        <v>2225879.5267050662</v>
      </c>
      <c r="R468" s="3">
        <f t="shared" si="201"/>
        <v>514266205.85382748</v>
      </c>
      <c r="S468" s="3">
        <f t="shared" si="202"/>
        <v>514266205.85382748</v>
      </c>
      <c r="T468" s="3"/>
      <c r="U468" s="3"/>
      <c r="V468" s="3">
        <f t="shared" si="203"/>
        <v>6207.7870834934311</v>
      </c>
      <c r="W468" s="3">
        <f t="shared" si="209"/>
        <v>2830750.9100730047</v>
      </c>
      <c r="X468" s="3">
        <f t="shared" si="204"/>
        <v>231.03999999999996</v>
      </c>
      <c r="Y468" s="3">
        <f t="shared" si="205"/>
        <v>231.04000000000002</v>
      </c>
      <c r="Z468" s="3">
        <f t="shared" si="210"/>
        <v>1434247.1277703224</v>
      </c>
    </row>
    <row r="469" spans="1:26" x14ac:dyDescent="0.45">
      <c r="A469">
        <f t="shared" si="191"/>
        <v>457</v>
      </c>
      <c r="B469" s="3">
        <f t="shared" si="193"/>
        <v>4.3093335376276638</v>
      </c>
      <c r="C469" s="3">
        <f t="shared" si="192"/>
        <v>1969.3654266958424</v>
      </c>
      <c r="D469" s="3">
        <f t="shared" si="194"/>
        <v>1.1133552685338155E-4</v>
      </c>
      <c r="E469" s="3">
        <f t="shared" si="195"/>
        <v>232.05444444444441</v>
      </c>
      <c r="F469" s="3"/>
      <c r="G469" s="3">
        <f t="shared" si="196"/>
        <v>284318009.78081572</v>
      </c>
      <c r="H469" s="3">
        <f t="shared" si="197"/>
        <v>196936.54266958425</v>
      </c>
      <c r="I469" s="3">
        <f t="shared" si="206"/>
        <v>142159141.30098298</v>
      </c>
      <c r="J469" s="3">
        <f t="shared" si="198"/>
        <v>4.4534125274680138E-4</v>
      </c>
      <c r="K469" s="3">
        <f t="shared" si="207"/>
        <v>1.9191239961509092E-3</v>
      </c>
      <c r="L469" s="3">
        <f t="shared" si="190"/>
        <v>1.9191239961509087E-3</v>
      </c>
      <c r="O469" s="9">
        <f t="shared" si="199"/>
        <v>1.9191239962606839E-6</v>
      </c>
      <c r="P469" s="9">
        <f t="shared" si="208"/>
        <v>521070.0730252185</v>
      </c>
      <c r="Q469" s="3">
        <f t="shared" si="200"/>
        <v>2245469.0504752076</v>
      </c>
      <c r="R469" s="3">
        <f t="shared" si="201"/>
        <v>521070073.02905655</v>
      </c>
      <c r="S469" s="3">
        <f t="shared" si="202"/>
        <v>521070073.02905661</v>
      </c>
      <c r="T469" s="3"/>
      <c r="U469" s="3"/>
      <c r="V469" s="3">
        <f t="shared" si="203"/>
        <v>6221.400651658987</v>
      </c>
      <c r="W469" s="3">
        <f t="shared" si="209"/>
        <v>2843180.0978081571</v>
      </c>
      <c r="X469" s="3">
        <f t="shared" si="204"/>
        <v>232.05444444444447</v>
      </c>
      <c r="Y469" s="3">
        <f t="shared" si="205"/>
        <v>232.05444444444441</v>
      </c>
      <c r="Z469" s="3">
        <f t="shared" si="210"/>
        <v>1443703.6718870306</v>
      </c>
    </row>
    <row r="470" spans="1:26" x14ac:dyDescent="0.45">
      <c r="A470">
        <f t="shared" si="191"/>
        <v>458</v>
      </c>
      <c r="B470" s="3">
        <f t="shared" si="193"/>
        <v>4.290536030968136</v>
      </c>
      <c r="C470" s="3">
        <f t="shared" si="192"/>
        <v>1965.0655021834064</v>
      </c>
      <c r="D470" s="3">
        <f t="shared" si="194"/>
        <v>1.1036634413439173E-4</v>
      </c>
      <c r="E470" s="3">
        <f t="shared" si="195"/>
        <v>233.07111111111107</v>
      </c>
      <c r="F470" s="3"/>
      <c r="G470" s="3">
        <f t="shared" si="196"/>
        <v>285563651.26796407</v>
      </c>
      <c r="H470" s="3">
        <f t="shared" si="197"/>
        <v>196506.55021834062</v>
      </c>
      <c r="I470" s="3">
        <f t="shared" si="206"/>
        <v>142781960.85709542</v>
      </c>
      <c r="J470" s="3">
        <f t="shared" si="198"/>
        <v>4.4146454034938115E-4</v>
      </c>
      <c r="K470" s="3">
        <f t="shared" si="207"/>
        <v>1.8941195167638063E-3</v>
      </c>
      <c r="L470" s="3">
        <f t="shared" ref="L470:L482" si="211">IMPROVED_MBPS*IMPROVED_KM^2*B470^3*A470^2/((A470*PI()*AVG_SUN_DIST)^2+(DIST_RINGS_EM*B470)^2)</f>
        <v>1.8941195167638068E-3</v>
      </c>
      <c r="O470" s="9">
        <f t="shared" si="199"/>
        <v>1.8941195168721507E-6</v>
      </c>
      <c r="P470" s="9">
        <f t="shared" si="208"/>
        <v>527948.78938359045</v>
      </c>
      <c r="Q470" s="3">
        <f t="shared" si="200"/>
        <v>2265187.5938923336</v>
      </c>
      <c r="R470" s="3">
        <f t="shared" si="201"/>
        <v>527948789.38737857</v>
      </c>
      <c r="S470" s="3">
        <f t="shared" si="202"/>
        <v>527948789.38737863</v>
      </c>
      <c r="T470" s="3"/>
      <c r="U470" s="3"/>
      <c r="V470" s="3">
        <f t="shared" si="203"/>
        <v>6235.014219824543</v>
      </c>
      <c r="W470" s="3">
        <f t="shared" si="209"/>
        <v>2855636.5126796407</v>
      </c>
      <c r="X470" s="3">
        <f t="shared" si="204"/>
        <v>233.07111111111109</v>
      </c>
      <c r="Y470" s="3">
        <f t="shared" si="205"/>
        <v>233.07111111111107</v>
      </c>
      <c r="Z470" s="3">
        <f t="shared" si="210"/>
        <v>1453201.6920080835</v>
      </c>
    </row>
    <row r="471" spans="1:26" x14ac:dyDescent="0.45">
      <c r="A471">
        <f t="shared" si="191"/>
        <v>459</v>
      </c>
      <c r="B471" s="3">
        <f t="shared" si="193"/>
        <v>4.2718612499466015</v>
      </c>
      <c r="C471" s="3">
        <f t="shared" si="192"/>
        <v>1960.7843137254902</v>
      </c>
      <c r="D471" s="3">
        <f t="shared" si="194"/>
        <v>1.0940768449711881E-4</v>
      </c>
      <c r="E471" s="3">
        <f t="shared" si="195"/>
        <v>234.09000000000003</v>
      </c>
      <c r="F471" s="3"/>
      <c r="G471" s="3">
        <f t="shared" si="196"/>
        <v>286812015.46874553</v>
      </c>
      <c r="H471" s="3">
        <f t="shared" si="197"/>
        <v>196078.43137254901</v>
      </c>
      <c r="I471" s="3">
        <f t="shared" si="206"/>
        <v>143406141.78291747</v>
      </c>
      <c r="J471" s="3">
        <f t="shared" si="198"/>
        <v>4.3762991984030677E-4</v>
      </c>
      <c r="K471" s="3">
        <f t="shared" si="207"/>
        <v>1.8694942963830439E-3</v>
      </c>
      <c r="L471" s="3">
        <f t="shared" si="211"/>
        <v>1.8694942963830439E-3</v>
      </c>
      <c r="O471" s="9">
        <f t="shared" si="199"/>
        <v>1.8694942964899797E-6</v>
      </c>
      <c r="P471" s="9">
        <f t="shared" si="208"/>
        <v>534903.01221203187</v>
      </c>
      <c r="Q471" s="3">
        <f t="shared" si="200"/>
        <v>2285035.7222095425</v>
      </c>
      <c r="R471" s="3">
        <f t="shared" si="201"/>
        <v>534903012.21577084</v>
      </c>
      <c r="S471" s="3">
        <f t="shared" si="202"/>
        <v>534903012.21577084</v>
      </c>
      <c r="T471" s="3"/>
      <c r="U471" s="3"/>
      <c r="V471" s="3">
        <f t="shared" si="203"/>
        <v>6248.627787990099</v>
      </c>
      <c r="W471" s="3">
        <f t="shared" si="209"/>
        <v>2868120.1546874554</v>
      </c>
      <c r="X471" s="3">
        <f t="shared" si="204"/>
        <v>234.09</v>
      </c>
      <c r="Y471" s="3">
        <f t="shared" si="205"/>
        <v>234.09000000000003</v>
      </c>
      <c r="Z471" s="3">
        <f t="shared" si="210"/>
        <v>1462741.2788906025</v>
      </c>
    </row>
    <row r="472" spans="1:26" x14ac:dyDescent="0.45">
      <c r="A472">
        <f t="shared" ref="A472:A481" si="212">A471+1</f>
        <v>460</v>
      </c>
      <c r="B472" s="3">
        <f t="shared" si="193"/>
        <v>4.2533081285444236</v>
      </c>
      <c r="C472" s="3">
        <f t="shared" ref="C472:C481" si="213">B472*A472</f>
        <v>1956.521739130435</v>
      </c>
      <c r="D472" s="3">
        <f t="shared" si="194"/>
        <v>1.0845941113123114E-4</v>
      </c>
      <c r="E472" s="3">
        <f t="shared" si="195"/>
        <v>235.11111111111111</v>
      </c>
      <c r="F472" s="3"/>
      <c r="G472" s="3">
        <f t="shared" si="196"/>
        <v>288063102.38316011</v>
      </c>
      <c r="H472" s="3">
        <f t="shared" si="197"/>
        <v>195652.17391304349</v>
      </c>
      <c r="I472" s="3">
        <f t="shared" si="206"/>
        <v>144031684.07828155</v>
      </c>
      <c r="J472" s="3">
        <f t="shared" si="198"/>
        <v>4.3383684398957923E-4</v>
      </c>
      <c r="K472" s="3">
        <f t="shared" si="207"/>
        <v>1.8452417750029362E-3</v>
      </c>
      <c r="L472" s="3">
        <f t="shared" si="211"/>
        <v>1.8452417750029367E-3</v>
      </c>
      <c r="O472" s="9">
        <f t="shared" si="199"/>
        <v>1.8452417751084848E-6</v>
      </c>
      <c r="P472" s="9">
        <f t="shared" si="208"/>
        <v>541933.40311701607</v>
      </c>
      <c r="Q472" s="3">
        <f t="shared" si="200"/>
        <v>2305014.0019154749</v>
      </c>
      <c r="R472" s="3">
        <f t="shared" si="201"/>
        <v>541933403.12070656</v>
      </c>
      <c r="S472" s="3">
        <f t="shared" si="202"/>
        <v>541933403.12070644</v>
      </c>
      <c r="T472" s="3"/>
      <c r="U472" s="3"/>
      <c r="V472" s="3">
        <f t="shared" si="203"/>
        <v>6262.241356155655</v>
      </c>
      <c r="W472" s="3">
        <f t="shared" si="209"/>
        <v>2880631.0238316013</v>
      </c>
      <c r="X472" s="3">
        <f t="shared" si="204"/>
        <v>235.11111111111111</v>
      </c>
      <c r="Y472" s="3">
        <f t="shared" si="205"/>
        <v>235.11111111111111</v>
      </c>
      <c r="Z472" s="3">
        <f t="shared" si="210"/>
        <v>1472322.5232917073</v>
      </c>
    </row>
    <row r="473" spans="1:26" x14ac:dyDescent="0.45">
      <c r="A473">
        <f t="shared" si="212"/>
        <v>461</v>
      </c>
      <c r="B473" s="3">
        <f t="shared" si="193"/>
        <v>4.2348756122924325</v>
      </c>
      <c r="C473" s="3">
        <f t="shared" si="213"/>
        <v>1952.2776572668113</v>
      </c>
      <c r="D473" s="3">
        <f t="shared" si="194"/>
        <v>1.0752138929702019E-4</v>
      </c>
      <c r="E473" s="3">
        <f t="shared" si="195"/>
        <v>236.13444444444445</v>
      </c>
      <c r="F473" s="3"/>
      <c r="G473" s="3">
        <f t="shared" si="196"/>
        <v>289316912.01120782</v>
      </c>
      <c r="H473" s="3">
        <f t="shared" si="197"/>
        <v>195227.76572668113</v>
      </c>
      <c r="I473" s="3">
        <f t="shared" si="206"/>
        <v>144658587.74302253</v>
      </c>
      <c r="J473" s="3">
        <f t="shared" si="198"/>
        <v>4.3008477384937706E-4</v>
      </c>
      <c r="K473" s="3">
        <f t="shared" si="207"/>
        <v>1.821355519993033E-3</v>
      </c>
      <c r="L473" s="3">
        <f t="shared" si="211"/>
        <v>1.821355519993033E-3</v>
      </c>
      <c r="O473" s="9">
        <f t="shared" si="199"/>
        <v>1.8213555200972153E-6</v>
      </c>
      <c r="P473" s="9">
        <f t="shared" si="208"/>
        <v>549040.62804339523</v>
      </c>
      <c r="Q473" s="3">
        <f t="shared" si="200"/>
        <v>2325123.0007343073</v>
      </c>
      <c r="R473" s="3">
        <f t="shared" si="201"/>
        <v>549040628.04703796</v>
      </c>
      <c r="S473" s="3">
        <f t="shared" si="202"/>
        <v>549040628.04703796</v>
      </c>
      <c r="T473" s="3"/>
      <c r="U473" s="3"/>
      <c r="V473" s="3">
        <f t="shared" si="203"/>
        <v>6275.8549243212101</v>
      </c>
      <c r="W473" s="3">
        <f t="shared" si="209"/>
        <v>2893169.1201120778</v>
      </c>
      <c r="X473" s="3">
        <f t="shared" si="204"/>
        <v>236.13444444444445</v>
      </c>
      <c r="Y473" s="3">
        <f t="shared" si="205"/>
        <v>236.13444444444445</v>
      </c>
      <c r="Z473" s="3">
        <f t="shared" si="210"/>
        <v>1481945.51596852</v>
      </c>
    </row>
    <row r="474" spans="1:26" x14ac:dyDescent="0.45">
      <c r="A474">
        <f t="shared" si="212"/>
        <v>462</v>
      </c>
      <c r="B474" s="3">
        <f t="shared" si="193"/>
        <v>4.2165626581210995</v>
      </c>
      <c r="C474" s="3">
        <f t="shared" si="213"/>
        <v>1948.0519480519479</v>
      </c>
      <c r="D474" s="3">
        <f t="shared" si="194"/>
        <v>1.0659348628966235E-4</v>
      </c>
      <c r="E474" s="3">
        <f t="shared" si="195"/>
        <v>237.16</v>
      </c>
      <c r="F474" s="3"/>
      <c r="G474" s="3">
        <f t="shared" si="196"/>
        <v>290573444.35288858</v>
      </c>
      <c r="H474" s="3">
        <f t="shared" si="197"/>
        <v>194805.1948051948</v>
      </c>
      <c r="I474" s="3">
        <f t="shared" si="206"/>
        <v>145286852.77697784</v>
      </c>
      <c r="J474" s="3">
        <f t="shared" si="198"/>
        <v>4.2637317861111073E-4</v>
      </c>
      <c r="K474" s="3">
        <f t="shared" si="207"/>
        <v>1.7978292233560074E-3</v>
      </c>
      <c r="L474" s="3">
        <f t="shared" si="211"/>
        <v>1.7978292233560072E-3</v>
      </c>
      <c r="O474" s="9">
        <f t="shared" si="199"/>
        <v>1.7978292234588439E-6</v>
      </c>
      <c r="P474" s="9">
        <f t="shared" si="208"/>
        <v>556225.35729332501</v>
      </c>
      <c r="Q474" s="3">
        <f t="shared" si="200"/>
        <v>2345363.2876257589</v>
      </c>
      <c r="R474" s="3">
        <f t="shared" si="201"/>
        <v>556225357.29692054</v>
      </c>
      <c r="S474" s="3">
        <f t="shared" si="202"/>
        <v>556225357.29692054</v>
      </c>
      <c r="T474" s="3"/>
      <c r="U474" s="3"/>
      <c r="V474" s="3">
        <f t="shared" si="203"/>
        <v>6289.4684924867661</v>
      </c>
      <c r="W474" s="3">
        <f t="shared" si="209"/>
        <v>2905734.443528886</v>
      </c>
      <c r="X474" s="3">
        <f t="shared" si="204"/>
        <v>237.16</v>
      </c>
      <c r="Y474" s="3">
        <f t="shared" si="205"/>
        <v>237.16</v>
      </c>
      <c r="Z474" s="3">
        <f t="shared" si="210"/>
        <v>1491610.3476781615</v>
      </c>
    </row>
    <row r="475" spans="1:26" x14ac:dyDescent="0.45">
      <c r="A475">
        <f t="shared" si="212"/>
        <v>463</v>
      </c>
      <c r="B475" s="3">
        <f t="shared" si="193"/>
        <v>4.1983682342129693</v>
      </c>
      <c r="C475" s="3">
        <f t="shared" si="213"/>
        <v>1943.8444924406049</v>
      </c>
      <c r="D475" s="3">
        <f t="shared" si="194"/>
        <v>1.0567557140417275E-4</v>
      </c>
      <c r="E475" s="3">
        <f t="shared" si="195"/>
        <v>238.18777777777782</v>
      </c>
      <c r="F475" s="3"/>
      <c r="G475" s="3">
        <f t="shared" si="196"/>
        <v>291832699.40820253</v>
      </c>
      <c r="H475" s="3">
        <f t="shared" si="197"/>
        <v>194384.44924406047</v>
      </c>
      <c r="I475" s="3">
        <f t="shared" si="206"/>
        <v>145916479.17998734</v>
      </c>
      <c r="J475" s="3">
        <f t="shared" si="198"/>
        <v>4.2270153546524798E-4</v>
      </c>
      <c r="K475" s="3">
        <f t="shared" si="207"/>
        <v>1.774656699050344E-3</v>
      </c>
      <c r="L475" s="3">
        <f t="shared" si="211"/>
        <v>1.7746566990503446E-3</v>
      </c>
      <c r="O475" s="9">
        <f t="shared" si="199"/>
        <v>1.7746566991518551E-6</v>
      </c>
      <c r="P475" s="9">
        <f t="shared" si="208"/>
        <v>563488.26554522943</v>
      </c>
      <c r="Q475" s="3">
        <f t="shared" si="200"/>
        <v>2365735.4327850877</v>
      </c>
      <c r="R475" s="3">
        <f t="shared" si="201"/>
        <v>563488265.54877877</v>
      </c>
      <c r="S475" s="3">
        <f t="shared" si="202"/>
        <v>563488265.54877865</v>
      </c>
      <c r="T475" s="3"/>
      <c r="U475" s="3"/>
      <c r="V475" s="3">
        <f t="shared" si="203"/>
        <v>6303.0820606523221</v>
      </c>
      <c r="W475" s="3">
        <f t="shared" si="209"/>
        <v>2918326.9940820253</v>
      </c>
      <c r="X475" s="3">
        <f t="shared" si="204"/>
        <v>238.18777777777782</v>
      </c>
      <c r="Y475" s="3">
        <f t="shared" si="205"/>
        <v>238.18777777777782</v>
      </c>
      <c r="Z475" s="3">
        <f t="shared" si="210"/>
        <v>1501317.1091777533</v>
      </c>
    </row>
    <row r="476" spans="1:26" x14ac:dyDescent="0.45">
      <c r="A476">
        <f t="shared" si="212"/>
        <v>464</v>
      </c>
      <c r="B476" s="3">
        <f t="shared" si="193"/>
        <v>4.1802913198573126</v>
      </c>
      <c r="C476" s="3">
        <f t="shared" si="213"/>
        <v>1939.655172413793</v>
      </c>
      <c r="D476" s="3">
        <f t="shared" si="194"/>
        <v>1.0476751590103663E-4</v>
      </c>
      <c r="E476" s="3">
        <f t="shared" si="195"/>
        <v>239.2177777777778</v>
      </c>
      <c r="F476" s="3"/>
      <c r="G476" s="3">
        <f t="shared" si="196"/>
        <v>293094677.17714953</v>
      </c>
      <c r="H476" s="3">
        <f t="shared" si="197"/>
        <v>193965.5172413793</v>
      </c>
      <c r="I476" s="3">
        <f t="shared" si="206"/>
        <v>146547466.9518933</v>
      </c>
      <c r="J476" s="3">
        <f t="shared" si="198"/>
        <v>4.1906932946384888E-4</v>
      </c>
      <c r="K476" s="3">
        <f t="shared" si="207"/>
        <v>1.7518318803761519E-3</v>
      </c>
      <c r="L476" s="3">
        <f t="shared" si="211"/>
        <v>1.7518318803761521E-3</v>
      </c>
      <c r="O476" s="9">
        <f t="shared" si="199"/>
        <v>1.7518318804763573E-6</v>
      </c>
      <c r="P476" s="9">
        <f t="shared" si="208"/>
        <v>570830.03187280765</v>
      </c>
      <c r="Q476" s="3">
        <f t="shared" si="200"/>
        <v>2386240.0076430906</v>
      </c>
      <c r="R476" s="3">
        <f t="shared" si="201"/>
        <v>570830031.8763113</v>
      </c>
      <c r="S476" s="3">
        <f t="shared" si="202"/>
        <v>570830031.87631118</v>
      </c>
      <c r="T476" s="3"/>
      <c r="U476" s="3"/>
      <c r="V476" s="3">
        <f t="shared" si="203"/>
        <v>6316.6956288178781</v>
      </c>
      <c r="W476" s="3">
        <f t="shared" si="209"/>
        <v>2930946.7717714952</v>
      </c>
      <c r="X476" s="3">
        <f t="shared" si="204"/>
        <v>239.21777777777783</v>
      </c>
      <c r="Y476" s="3">
        <f t="shared" si="205"/>
        <v>239.2177777777778</v>
      </c>
      <c r="Z476" s="3">
        <f t="shared" si="210"/>
        <v>1511065.8912244155</v>
      </c>
    </row>
    <row r="477" spans="1:26" x14ac:dyDescent="0.45">
      <c r="A477">
        <f t="shared" si="212"/>
        <v>465</v>
      </c>
      <c r="B477" s="3">
        <f t="shared" si="193"/>
        <v>4.1623309053069715</v>
      </c>
      <c r="C477" s="3">
        <f t="shared" si="213"/>
        <v>1935.4838709677417</v>
      </c>
      <c r="D477" s="3">
        <f t="shared" si="194"/>
        <v>1.0386919297250415E-4</v>
      </c>
      <c r="E477" s="3">
        <f t="shared" si="195"/>
        <v>240.25000000000003</v>
      </c>
      <c r="F477" s="3"/>
      <c r="G477" s="3">
        <f t="shared" si="196"/>
        <v>294359377.65972972</v>
      </c>
      <c r="H477" s="3">
        <f t="shared" si="197"/>
        <v>193548.38709677418</v>
      </c>
      <c r="I477" s="3">
        <f t="shared" si="206"/>
        <v>147179816.09254032</v>
      </c>
      <c r="J477" s="3">
        <f t="shared" si="198"/>
        <v>4.1547605338575238E-4</v>
      </c>
      <c r="K477" s="3">
        <f t="shared" si="207"/>
        <v>1.7293488174224864E-3</v>
      </c>
      <c r="L477" s="3">
        <f t="shared" si="211"/>
        <v>1.7293488174224875E-3</v>
      </c>
      <c r="O477" s="9">
        <f t="shared" si="199"/>
        <v>1.7293488175214058E-6</v>
      </c>
      <c r="P477" s="9">
        <f t="shared" si="208"/>
        <v>578251.33976408117</v>
      </c>
      <c r="Q477" s="3">
        <f t="shared" si="200"/>
        <v>2406877.5848661023</v>
      </c>
      <c r="R477" s="3">
        <f t="shared" si="201"/>
        <v>578251339.76753974</v>
      </c>
      <c r="S477" s="3">
        <f t="shared" si="202"/>
        <v>578251339.76753974</v>
      </c>
      <c r="T477" s="3"/>
      <c r="U477" s="3"/>
      <c r="V477" s="3">
        <f t="shared" si="203"/>
        <v>6330.309196983434</v>
      </c>
      <c r="W477" s="3">
        <f t="shared" si="209"/>
        <v>2943593.7765972968</v>
      </c>
      <c r="X477" s="3">
        <f t="shared" si="204"/>
        <v>240.25000000000009</v>
      </c>
      <c r="Y477" s="3">
        <f t="shared" si="205"/>
        <v>240.25000000000003</v>
      </c>
      <c r="Z477" s="3">
        <f t="shared" si="210"/>
        <v>1520856.7845752703</v>
      </c>
    </row>
    <row r="478" spans="1:26" x14ac:dyDescent="0.45">
      <c r="A478">
        <f t="shared" si="212"/>
        <v>466</v>
      </c>
      <c r="B478" s="3">
        <f t="shared" si="193"/>
        <v>4.1444859916373487</v>
      </c>
      <c r="C478" s="3">
        <f t="shared" si="213"/>
        <v>1931.3304721030045</v>
      </c>
      <c r="D478" s="3">
        <f t="shared" si="194"/>
        <v>1.0298047770953353E-4</v>
      </c>
      <c r="E478" s="3">
        <f t="shared" si="195"/>
        <v>241.28444444444443</v>
      </c>
      <c r="F478" s="3"/>
      <c r="G478" s="3">
        <f t="shared" si="196"/>
        <v>295626800.8559429</v>
      </c>
      <c r="H478" s="3">
        <f t="shared" si="197"/>
        <v>193133.04721030043</v>
      </c>
      <c r="I478" s="3">
        <f t="shared" si="206"/>
        <v>147813526.60177538</v>
      </c>
      <c r="J478" s="3">
        <f t="shared" si="198"/>
        <v>4.1192120760435812E-4</v>
      </c>
      <c r="K478" s="3">
        <f t="shared" si="207"/>
        <v>1.7072016745746023E-3</v>
      </c>
      <c r="L478" s="3">
        <f t="shared" si="211"/>
        <v>1.7072016745746021E-3</v>
      </c>
      <c r="O478" s="9">
        <f t="shared" si="199"/>
        <v>1.707201674672255E-6</v>
      </c>
      <c r="P478" s="9">
        <f t="shared" si="208"/>
        <v>585752.8771404837</v>
      </c>
      <c r="Q478" s="3">
        <f t="shared" si="200"/>
        <v>2427648.7383559993</v>
      </c>
      <c r="R478" s="3">
        <f t="shared" si="201"/>
        <v>585752877.14389801</v>
      </c>
      <c r="S478" s="3">
        <f t="shared" si="202"/>
        <v>585752877.14389813</v>
      </c>
      <c r="T478" s="3"/>
      <c r="U478" s="3"/>
      <c r="V478" s="3">
        <f t="shared" si="203"/>
        <v>6343.9227651489891</v>
      </c>
      <c r="W478" s="3">
        <f t="shared" si="209"/>
        <v>2956268.0085594291</v>
      </c>
      <c r="X478" s="3">
        <f t="shared" si="204"/>
        <v>241.28444444444449</v>
      </c>
      <c r="Y478" s="3">
        <f t="shared" si="205"/>
        <v>241.28444444444443</v>
      </c>
      <c r="Z478" s="3">
        <f t="shared" si="210"/>
        <v>1530689.8799874375</v>
      </c>
    </row>
    <row r="479" spans="1:26" x14ac:dyDescent="0.45">
      <c r="A479">
        <f t="shared" si="212"/>
        <v>467</v>
      </c>
      <c r="B479" s="3">
        <f t="shared" si="193"/>
        <v>4.1267555906075044</v>
      </c>
      <c r="C479" s="3">
        <f t="shared" si="213"/>
        <v>1927.1948608137045</v>
      </c>
      <c r="D479" s="3">
        <f t="shared" si="194"/>
        <v>1.0210124706936955E-4</v>
      </c>
      <c r="E479" s="3">
        <f t="shared" si="195"/>
        <v>242.32111111111112</v>
      </c>
      <c r="F479" s="3"/>
      <c r="G479" s="3">
        <f t="shared" si="196"/>
        <v>296896946.76578927</v>
      </c>
      <c r="H479" s="3">
        <f t="shared" si="197"/>
        <v>192719.48608137044</v>
      </c>
      <c r="I479" s="3">
        <f t="shared" si="206"/>
        <v>148448598.47944772</v>
      </c>
      <c r="J479" s="3">
        <f t="shared" si="198"/>
        <v>4.0840429995794809E-4</v>
      </c>
      <c r="K479" s="3">
        <f t="shared" si="207"/>
        <v>1.6853847280796064E-3</v>
      </c>
      <c r="L479" s="3">
        <f t="shared" si="211"/>
        <v>1.6853847280796069E-3</v>
      </c>
      <c r="O479" s="9">
        <f t="shared" si="199"/>
        <v>1.6853847281760112E-6</v>
      </c>
      <c r="P479" s="9">
        <f t="shared" si="208"/>
        <v>593335.336375991</v>
      </c>
      <c r="Q479" s="3">
        <f t="shared" si="200"/>
        <v>2448554.0432501957</v>
      </c>
      <c r="R479" s="3">
        <f t="shared" si="201"/>
        <v>593335336.37936175</v>
      </c>
      <c r="S479" s="3">
        <f t="shared" si="202"/>
        <v>593335336.37936163</v>
      </c>
      <c r="T479" s="3"/>
      <c r="U479" s="3"/>
      <c r="V479" s="3">
        <f t="shared" si="203"/>
        <v>6357.5363333145451</v>
      </c>
      <c r="W479" s="3">
        <f t="shared" si="209"/>
        <v>2968969.4676578925</v>
      </c>
      <c r="X479" s="3">
        <f t="shared" si="204"/>
        <v>242.32111111111115</v>
      </c>
      <c r="Y479" s="3">
        <f t="shared" si="205"/>
        <v>242.32111111111112</v>
      </c>
      <c r="Z479" s="3">
        <f t="shared" si="210"/>
        <v>1540565.2682180398</v>
      </c>
    </row>
    <row r="480" spans="1:26" x14ac:dyDescent="0.45">
      <c r="A480">
        <f t="shared" si="212"/>
        <v>468</v>
      </c>
      <c r="B480" s="3">
        <f t="shared" si="193"/>
        <v>4.1091387245233397</v>
      </c>
      <c r="C480" s="3">
        <f t="shared" si="213"/>
        <v>1923.0769230769231</v>
      </c>
      <c r="D480" s="3">
        <f t="shared" si="194"/>
        <v>1.0123137984374353E-4</v>
      </c>
      <c r="E480" s="3">
        <f t="shared" si="195"/>
        <v>243.35999999999999</v>
      </c>
      <c r="F480" s="3"/>
      <c r="G480" s="3">
        <f t="shared" si="196"/>
        <v>298169815.38926876</v>
      </c>
      <c r="H480" s="3">
        <f t="shared" si="197"/>
        <v>192307.69230769231</v>
      </c>
      <c r="I480" s="3">
        <f t="shared" si="206"/>
        <v>149085031.72540888</v>
      </c>
      <c r="J480" s="3">
        <f t="shared" si="198"/>
        <v>4.0492484562249453E-4</v>
      </c>
      <c r="K480" s="3">
        <f t="shared" si="207"/>
        <v>1.6638923636690273E-3</v>
      </c>
      <c r="L480" s="3">
        <f t="shared" si="211"/>
        <v>1.6638923636690282E-3</v>
      </c>
      <c r="O480" s="9">
        <f t="shared" si="199"/>
        <v>1.6638923637642027E-6</v>
      </c>
      <c r="P480" s="9">
        <f t="shared" si="208"/>
        <v>600999.4143162918</v>
      </c>
      <c r="Q480" s="3">
        <f t="shared" si="200"/>
        <v>2469594.0759216459</v>
      </c>
      <c r="R480" s="3">
        <f t="shared" si="201"/>
        <v>600999414.31961942</v>
      </c>
      <c r="S480" s="3">
        <f t="shared" si="202"/>
        <v>600999414.31961942</v>
      </c>
      <c r="T480" s="3"/>
      <c r="U480" s="3"/>
      <c r="V480" s="3">
        <f t="shared" si="203"/>
        <v>6371.1499014801011</v>
      </c>
      <c r="W480" s="3">
        <f t="shared" si="209"/>
        <v>2981698.1538926875</v>
      </c>
      <c r="X480" s="3">
        <f t="shared" si="204"/>
        <v>243.36000000000007</v>
      </c>
      <c r="Y480" s="3">
        <f t="shared" si="205"/>
        <v>243.35999999999999</v>
      </c>
      <c r="Z480" s="3">
        <f t="shared" si="210"/>
        <v>1550483.0400241974</v>
      </c>
    </row>
    <row r="481" spans="1:26" x14ac:dyDescent="0.45">
      <c r="A481">
        <f t="shared" si="212"/>
        <v>469</v>
      </c>
      <c r="B481" s="3">
        <f t="shared" si="193"/>
        <v>4.091634426102809</v>
      </c>
      <c r="C481" s="3">
        <f t="shared" si="213"/>
        <v>1918.9765458422175</v>
      </c>
      <c r="D481" s="3">
        <f t="shared" si="194"/>
        <v>1.0037075662768153E-4</v>
      </c>
      <c r="E481" s="3">
        <f t="shared" si="195"/>
        <v>244.40111111111113</v>
      </c>
      <c r="F481" s="3"/>
      <c r="G481" s="3">
        <f t="shared" si="196"/>
        <v>299445406.7263813</v>
      </c>
      <c r="H481" s="3">
        <f t="shared" si="197"/>
        <v>191897.65458422175</v>
      </c>
      <c r="I481" s="3">
        <f t="shared" si="206"/>
        <v>149722826.3395125</v>
      </c>
      <c r="J481" s="3">
        <f t="shared" si="198"/>
        <v>4.0148236698690044E-4</v>
      </c>
      <c r="K481" s="3">
        <f t="shared" si="207"/>
        <v>1.6427190742368438E-3</v>
      </c>
      <c r="L481" s="3">
        <f t="shared" si="211"/>
        <v>1.6427190742368447E-3</v>
      </c>
      <c r="O481" s="9">
        <f t="shared" si="199"/>
        <v>1.642719074330808E-6</v>
      </c>
      <c r="P481" s="9">
        <f t="shared" si="208"/>
        <v>608745.81229799963</v>
      </c>
      <c r="Q481" s="3">
        <f t="shared" si="200"/>
        <v>2490769.4139788402</v>
      </c>
      <c r="R481" s="3">
        <f t="shared" si="201"/>
        <v>608745812.30128503</v>
      </c>
      <c r="S481" s="3">
        <f t="shared" si="202"/>
        <v>608745812.30128491</v>
      </c>
      <c r="T481" s="3"/>
      <c r="U481" s="3"/>
      <c r="V481" s="3">
        <f t="shared" si="203"/>
        <v>6384.7634696456571</v>
      </c>
      <c r="W481" s="3">
        <f t="shared" si="209"/>
        <v>2994454.0672638132</v>
      </c>
      <c r="X481" s="3">
        <f t="shared" si="204"/>
        <v>244.40111111111116</v>
      </c>
      <c r="Y481" s="3">
        <f t="shared" si="205"/>
        <v>244.40111111111113</v>
      </c>
      <c r="Z481" s="3">
        <f t="shared" si="210"/>
        <v>1560443.2861630316</v>
      </c>
    </row>
    <row r="482" spans="1:26" x14ac:dyDescent="0.45">
      <c r="A482">
        <f>A481+1</f>
        <v>470</v>
      </c>
      <c r="B482" s="3">
        <f t="shared" si="193"/>
        <v>4.074241738343142</v>
      </c>
      <c r="C482" s="3">
        <f>B482*A482</f>
        <v>1914.8936170212767</v>
      </c>
      <c r="D482" s="3">
        <f t="shared" si="194"/>
        <v>9.9519259788907855E-5</v>
      </c>
      <c r="E482" s="3">
        <f t="shared" si="195"/>
        <v>245.4444444444444</v>
      </c>
      <c r="F482" s="3"/>
      <c r="G482" s="3">
        <f t="shared" si="196"/>
        <v>300723720.77712697</v>
      </c>
      <c r="H482" s="3">
        <f t="shared" si="197"/>
        <v>191489.36170212767</v>
      </c>
      <c r="I482" s="3">
        <f t="shared" si="206"/>
        <v>150361982.32161447</v>
      </c>
      <c r="J482" s="3">
        <f t="shared" si="198"/>
        <v>3.9807639353062055E-4</v>
      </c>
      <c r="K482" s="3">
        <f t="shared" si="207"/>
        <v>1.6218594575715642E-3</v>
      </c>
      <c r="L482" s="3">
        <f t="shared" si="211"/>
        <v>1.6218594575715651E-3</v>
      </c>
      <c r="O482" s="9">
        <f t="shared" si="199"/>
        <v>1.6218594576643352E-6</v>
      </c>
      <c r="P482" s="9">
        <f t="shared" si="208"/>
        <v>616575.23616790783</v>
      </c>
      <c r="Q482" s="3">
        <f t="shared" si="200"/>
        <v>2512080.6362658083</v>
      </c>
      <c r="R482" s="3">
        <f t="shared" si="201"/>
        <v>616575236.1711514</v>
      </c>
      <c r="S482" s="3">
        <f t="shared" si="202"/>
        <v>616575236.1711514</v>
      </c>
      <c r="T482" s="3"/>
      <c r="U482" s="3"/>
      <c r="V482" s="3">
        <f t="shared" si="203"/>
        <v>6398.3770378112131</v>
      </c>
      <c r="W482" s="3">
        <f t="shared" si="209"/>
        <v>3007237.2077712701</v>
      </c>
      <c r="X482" s="3">
        <f t="shared" si="204"/>
        <v>245.44444444444451</v>
      </c>
      <c r="Y482" s="3">
        <f t="shared" si="205"/>
        <v>245.4444444444444</v>
      </c>
      <c r="Z482" s="3">
        <f t="shared" si="210"/>
        <v>1570446.0973916631</v>
      </c>
    </row>
  </sheetData>
  <mergeCells count="6">
    <mergeCell ref="V11:Z11"/>
    <mergeCell ref="V10:Z10"/>
    <mergeCell ref="A11:E11"/>
    <mergeCell ref="A10:E10"/>
    <mergeCell ref="G10:K10"/>
    <mergeCell ref="G11:K11"/>
  </mergeCells>
  <conditionalFormatting sqref="E13:E482">
    <cfRule type="expression" dxfId="1" priority="2">
      <formula>$E13&gt;$D13</formula>
    </cfRule>
  </conditionalFormatting>
  <conditionalFormatting sqref="J13:J482">
    <cfRule type="expression" dxfId="0" priority="1">
      <formula>$J13&gt;$D13</formula>
    </cfRule>
  </conditionalFormatting>
  <conditionalFormatting sqref="AL13:BE16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924D-2EAA-4734-81A4-F4BEDCD27F13}">
  <dimension ref="A1:BD331"/>
  <sheetViews>
    <sheetView tabSelected="1" topLeftCell="AV1" workbookViewId="0">
      <selection activeCell="BC18" sqref="BC18"/>
    </sheetView>
  </sheetViews>
  <sheetFormatPr defaultRowHeight="14.25" x14ac:dyDescent="0.45"/>
  <cols>
    <col min="3" max="47" width="8.9296875" customWidth="1"/>
    <col min="51" max="51" width="12.265625" bestFit="1" customWidth="1"/>
  </cols>
  <sheetData>
    <row r="1" spans="1:56" x14ac:dyDescent="0.45">
      <c r="C1" s="3"/>
      <c r="G1" s="3"/>
    </row>
    <row r="2" spans="1:56" x14ac:dyDescent="0.45">
      <c r="C2" s="3"/>
      <c r="G2" s="3"/>
      <c r="K2" s="3"/>
    </row>
    <row r="3" spans="1:56" x14ac:dyDescent="0.45">
      <c r="C3" s="3"/>
    </row>
    <row r="4" spans="1:56" x14ac:dyDescent="0.45">
      <c r="A4" s="1"/>
      <c r="B4" s="1"/>
      <c r="C4" s="3"/>
    </row>
    <row r="5" spans="1:56" x14ac:dyDescent="0.45">
      <c r="A5" s="1"/>
      <c r="B5" s="1"/>
      <c r="C5" s="3"/>
    </row>
    <row r="6" spans="1:56" x14ac:dyDescent="0.45">
      <c r="A6" s="1"/>
      <c r="B6" s="1"/>
      <c r="C6" s="3"/>
      <c r="AW6" t="s">
        <v>0</v>
      </c>
      <c r="AX6" t="s">
        <v>57</v>
      </c>
      <c r="AY6" t="s">
        <v>58</v>
      </c>
      <c r="BA6" t="s">
        <v>67</v>
      </c>
      <c r="BB6" t="s">
        <v>57</v>
      </c>
      <c r="BC6" t="s">
        <v>58</v>
      </c>
    </row>
    <row r="7" spans="1:56" x14ac:dyDescent="0.45">
      <c r="C7">
        <v>10</v>
      </c>
      <c r="D7" t="s">
        <v>51</v>
      </c>
      <c r="AW7" t="s">
        <v>66</v>
      </c>
      <c r="AX7" cm="1">
        <f t="array" ref="AX7:AY7">LINEST(AH11:AN11,AH10:AN10)</f>
        <v>5.5575832429089042E-4</v>
      </c>
      <c r="AY7">
        <v>5.793746782889464E-7</v>
      </c>
      <c r="BA7" t="s">
        <v>0</v>
      </c>
      <c r="BB7" cm="1">
        <f t="array" ref="BB7:BC7">LINEST(AH10:AN10,AH12:AN12)</f>
        <v>7.342857142857144E-2</v>
      </c>
      <c r="BC7">
        <v>-2.8421709430404007E-14</v>
      </c>
    </row>
    <row r="9" spans="1:56" x14ac:dyDescent="0.45">
      <c r="C9" t="s">
        <v>50</v>
      </c>
      <c r="D9" t="s">
        <v>10</v>
      </c>
      <c r="F9" t="s">
        <v>52</v>
      </c>
      <c r="R9" t="s">
        <v>34</v>
      </c>
      <c r="S9" t="s">
        <v>10</v>
      </c>
      <c r="U9" t="s">
        <v>52</v>
      </c>
      <c r="AG9" t="s">
        <v>61</v>
      </c>
      <c r="AH9" t="s">
        <v>10</v>
      </c>
      <c r="AJ9" t="s">
        <v>52</v>
      </c>
      <c r="BB9" t="s">
        <v>72</v>
      </c>
    </row>
    <row r="10" spans="1:56" x14ac:dyDescent="0.45">
      <c r="AG10" t="s">
        <v>64</v>
      </c>
      <c r="AH10">
        <f>_xlfn.XLOOKUP(AH11,AH13:AH278,$AG$13:$AG$278)</f>
        <v>37</v>
      </c>
      <c r="AI10">
        <f t="shared" ref="AI10:AT10" si="0">_xlfn.SINGLE(_xlfn.XLOOKUP(AI11,AI13:AI278,$AG$13:$AG$278))</f>
        <v>73</v>
      </c>
      <c r="AJ10">
        <f t="shared" si="0"/>
        <v>110</v>
      </c>
      <c r="AK10">
        <f t="shared" si="0"/>
        <v>147</v>
      </c>
      <c r="AL10">
        <f t="shared" si="0"/>
        <v>184</v>
      </c>
      <c r="AM10">
        <f t="shared" si="0"/>
        <v>220</v>
      </c>
      <c r="AN10">
        <f t="shared" si="0"/>
        <v>257</v>
      </c>
      <c r="AO10">
        <f t="shared" si="0"/>
        <v>266</v>
      </c>
      <c r="AP10">
        <f t="shared" si="0"/>
        <v>266</v>
      </c>
      <c r="AQ10">
        <f t="shared" si="0"/>
        <v>266</v>
      </c>
      <c r="AR10">
        <f t="shared" si="0"/>
        <v>266</v>
      </c>
      <c r="AS10">
        <f t="shared" si="0"/>
        <v>266</v>
      </c>
      <c r="AT10">
        <f t="shared" si="0"/>
        <v>266</v>
      </c>
      <c r="AW10" t="s">
        <v>63</v>
      </c>
      <c r="BB10" t="s">
        <v>57</v>
      </c>
      <c r="BC10" s="10">
        <v>3.0108563120999999E-4</v>
      </c>
      <c r="BD10" s="10">
        <v>1.5059930045999999E-4</v>
      </c>
    </row>
    <row r="11" spans="1:56" x14ac:dyDescent="0.45">
      <c r="AG11" t="s">
        <v>62</v>
      </c>
      <c r="AH11" s="6">
        <f>MAX(AH13:AH278)</f>
        <v>2.0403924723740904E-2</v>
      </c>
      <c r="AI11" s="6">
        <f t="shared" ref="AI11:AT11" si="1">MAX(AI13:AI278)</f>
        <v>4.0808168106825443E-2</v>
      </c>
      <c r="AJ11" s="6">
        <f t="shared" si="1"/>
        <v>6.12133539779669E-2</v>
      </c>
      <c r="AK11" s="6">
        <f t="shared" si="1"/>
        <v>8.161790498563698E-2</v>
      </c>
      <c r="AL11" s="6">
        <f t="shared" si="1"/>
        <v>0.10202220411261517</v>
      </c>
      <c r="AM11" s="6">
        <f t="shared" si="1"/>
        <v>0.1224267079559338</v>
      </c>
      <c r="AN11" s="6">
        <f t="shared" si="1"/>
        <v>0.14283134913106421</v>
      </c>
      <c r="AO11" s="6">
        <f t="shared" si="1"/>
        <v>0.16243134057476805</v>
      </c>
      <c r="AP11" s="6">
        <f t="shared" si="1"/>
        <v>0.17938950606802864</v>
      </c>
      <c r="AQ11" s="6">
        <f t="shared" si="1"/>
        <v>0.19386715103597574</v>
      </c>
      <c r="AR11" s="6">
        <f t="shared" si="1"/>
        <v>0.20617861953065347</v>
      </c>
      <c r="AS11" s="6">
        <f t="shared" si="1"/>
        <v>0.21664256500708451</v>
      </c>
      <c r="AT11" s="6">
        <f t="shared" si="1"/>
        <v>0.2946535100444812</v>
      </c>
      <c r="BB11" t="s">
        <v>58</v>
      </c>
      <c r="BC11" s="10">
        <v>1.5</v>
      </c>
      <c r="BD11" s="10">
        <v>1.5</v>
      </c>
    </row>
    <row r="12" spans="1:56" ht="28.5" x14ac:dyDescent="0.45">
      <c r="C12" t="s">
        <v>16</v>
      </c>
      <c r="D12">
        <v>500</v>
      </c>
      <c r="E12">
        <f>D12+500</f>
        <v>1000</v>
      </c>
      <c r="F12">
        <f t="shared" ref="F12:O12" si="2">E12+500</f>
        <v>1500</v>
      </c>
      <c r="G12">
        <f t="shared" si="2"/>
        <v>2000</v>
      </c>
      <c r="H12">
        <f t="shared" si="2"/>
        <v>2500</v>
      </c>
      <c r="I12">
        <f t="shared" si="2"/>
        <v>3000</v>
      </c>
      <c r="J12">
        <f t="shared" si="2"/>
        <v>3500</v>
      </c>
      <c r="K12">
        <f t="shared" si="2"/>
        <v>4000</v>
      </c>
      <c r="L12">
        <f t="shared" si="2"/>
        <v>4500</v>
      </c>
      <c r="M12">
        <f t="shared" si="2"/>
        <v>5000</v>
      </c>
      <c r="N12">
        <f t="shared" si="2"/>
        <v>5500</v>
      </c>
      <c r="O12">
        <f t="shared" si="2"/>
        <v>6000</v>
      </c>
      <c r="P12">
        <v>4500</v>
      </c>
      <c r="R12" t="s">
        <v>16</v>
      </c>
      <c r="S12">
        <v>500</v>
      </c>
      <c r="T12">
        <f>S12+500</f>
        <v>1000</v>
      </c>
      <c r="U12">
        <f t="shared" ref="U12:AD12" si="3">T12+500</f>
        <v>1500</v>
      </c>
      <c r="V12">
        <f t="shared" si="3"/>
        <v>2000</v>
      </c>
      <c r="W12">
        <f t="shared" si="3"/>
        <v>2500</v>
      </c>
      <c r="X12">
        <f t="shared" si="3"/>
        <v>3000</v>
      </c>
      <c r="Y12">
        <f t="shared" si="3"/>
        <v>3500</v>
      </c>
      <c r="Z12">
        <f t="shared" si="3"/>
        <v>4000</v>
      </c>
      <c r="AA12">
        <f t="shared" si="3"/>
        <v>4500</v>
      </c>
      <c r="AB12">
        <f t="shared" si="3"/>
        <v>5000</v>
      </c>
      <c r="AC12">
        <f t="shared" si="3"/>
        <v>5500</v>
      </c>
      <c r="AD12">
        <f t="shared" si="3"/>
        <v>6000</v>
      </c>
      <c r="AE12">
        <v>4500</v>
      </c>
      <c r="AG12" t="s">
        <v>16</v>
      </c>
      <c r="AH12">
        <v>500</v>
      </c>
      <c r="AI12">
        <f>AH12+500</f>
        <v>1000</v>
      </c>
      <c r="AJ12">
        <f t="shared" ref="AJ12:AS12" si="4">AI12+500</f>
        <v>1500</v>
      </c>
      <c r="AK12">
        <f t="shared" si="4"/>
        <v>2000</v>
      </c>
      <c r="AL12">
        <f t="shared" si="4"/>
        <v>2500</v>
      </c>
      <c r="AM12">
        <f t="shared" si="4"/>
        <v>3000</v>
      </c>
      <c r="AN12">
        <f t="shared" si="4"/>
        <v>3500</v>
      </c>
      <c r="AO12">
        <f t="shared" si="4"/>
        <v>4000</v>
      </c>
      <c r="AP12">
        <f t="shared" si="4"/>
        <v>4500</v>
      </c>
      <c r="AQ12">
        <f t="shared" si="4"/>
        <v>5000</v>
      </c>
      <c r="AR12">
        <f t="shared" si="4"/>
        <v>5500</v>
      </c>
      <c r="AS12">
        <f t="shared" si="4"/>
        <v>6000</v>
      </c>
      <c r="AT12">
        <v>4500</v>
      </c>
      <c r="AW12" t="s">
        <v>68</v>
      </c>
      <c r="AX12" s="12" t="s">
        <v>70</v>
      </c>
      <c r="AY12" t="s">
        <v>69</v>
      </c>
      <c r="AZ12" t="s">
        <v>65</v>
      </c>
      <c r="BA12" t="s">
        <v>73</v>
      </c>
      <c r="BB12" t="s">
        <v>74</v>
      </c>
      <c r="BC12" t="s">
        <v>75</v>
      </c>
      <c r="BD12" t="s">
        <v>71</v>
      </c>
    </row>
    <row r="13" spans="1:56" x14ac:dyDescent="0.45">
      <c r="C13">
        <v>1</v>
      </c>
      <c r="D13" s="2">
        <f t="shared" ref="D13:O22" si="5">$C$7*BL_MBPS*BL_KM^2*D$12^3*$C13^2/((EM_KM*D$12)^2+(2*PI()*AVG_SUN_DIST_KM*$C13)^2)</f>
        <v>0.5551440178838567</v>
      </c>
      <c r="E13" s="2">
        <f t="shared" si="5"/>
        <v>1.1109052278915155</v>
      </c>
      <c r="F13" s="2">
        <f t="shared" si="5"/>
        <v>1.6665293970561816</v>
      </c>
      <c r="G13" s="2">
        <f t="shared" si="5"/>
        <v>2.2221192663045199</v>
      </c>
      <c r="H13" s="2">
        <f t="shared" si="5"/>
        <v>2.7776954116698431</v>
      </c>
      <c r="I13" s="2">
        <f t="shared" si="5"/>
        <v>3.3332646942881659</v>
      </c>
      <c r="J13" s="2">
        <f t="shared" si="5"/>
        <v>3.8888300551001871</v>
      </c>
      <c r="K13" s="2">
        <f t="shared" si="5"/>
        <v>4.444392964696795</v>
      </c>
      <c r="L13" s="2">
        <f t="shared" si="5"/>
        <v>4.9999542401130688</v>
      </c>
      <c r="M13" s="2">
        <f t="shared" si="5"/>
        <v>5.555514371585704</v>
      </c>
      <c r="N13" s="2">
        <f t="shared" si="5"/>
        <v>6.1110736710903497</v>
      </c>
      <c r="O13" s="2">
        <f t="shared" si="5"/>
        <v>6.6666323466140511</v>
      </c>
      <c r="P13" s="2">
        <f t="shared" ref="P13:P44" si="6">P$279*$C13^P$280</f>
        <v>5.0063503070840447</v>
      </c>
      <c r="R13">
        <v>1</v>
      </c>
      <c r="S13" s="2">
        <f t="shared" ref="S13:S29" si="7">$R13*S$12</f>
        <v>500</v>
      </c>
      <c r="T13" s="2">
        <f t="shared" ref="T13:AE28" si="8">$R13*T$12</f>
        <v>1000</v>
      </c>
      <c r="U13" s="2">
        <f t="shared" si="8"/>
        <v>1500</v>
      </c>
      <c r="V13" s="2">
        <f t="shared" si="8"/>
        <v>2000</v>
      </c>
      <c r="W13" s="2">
        <f t="shared" si="8"/>
        <v>2500</v>
      </c>
      <c r="X13" s="2">
        <f t="shared" si="8"/>
        <v>3000</v>
      </c>
      <c r="Y13" s="2">
        <f t="shared" si="8"/>
        <v>3500</v>
      </c>
      <c r="Z13" s="2">
        <f t="shared" si="8"/>
        <v>4000</v>
      </c>
      <c r="AA13" s="2">
        <f t="shared" si="8"/>
        <v>4500</v>
      </c>
      <c r="AB13" s="2">
        <f t="shared" si="8"/>
        <v>5000</v>
      </c>
      <c r="AC13" s="2">
        <f t="shared" si="8"/>
        <v>5500</v>
      </c>
      <c r="AD13" s="2">
        <f t="shared" si="8"/>
        <v>6000</v>
      </c>
      <c r="AE13" s="2">
        <f t="shared" si="8"/>
        <v>4500</v>
      </c>
      <c r="AG13">
        <v>1</v>
      </c>
      <c r="AH13" s="6">
        <f>D13/S13</f>
        <v>1.1102880357677133E-3</v>
      </c>
      <c r="AI13" s="6">
        <f t="shared" ref="AI13:AI32" si="9">E13/T13</f>
        <v>1.1109052278915155E-3</v>
      </c>
      <c r="AJ13" s="6">
        <f t="shared" ref="AJ13:AJ32" si="10">F13/U13</f>
        <v>1.1110195980374544E-3</v>
      </c>
      <c r="AK13" s="6">
        <f t="shared" ref="AK13:AK32" si="11">G13/V13</f>
        <v>1.11105963315226E-3</v>
      </c>
      <c r="AL13" s="6">
        <f t="shared" ref="AL13:AL32" si="12">H13/W13</f>
        <v>1.1110781646679372E-3</v>
      </c>
      <c r="AM13" s="6">
        <f t="shared" ref="AM13:AM32" si="13">I13/X13</f>
        <v>1.1110882314293885E-3</v>
      </c>
      <c r="AN13" s="6">
        <f t="shared" ref="AN13:AN32" si="14">J13/Y13</f>
        <v>1.1110943014571964E-3</v>
      </c>
      <c r="AO13" s="6">
        <f t="shared" ref="AO13:AO32" si="15">K13/Z13</f>
        <v>1.1110982411741987E-3</v>
      </c>
      <c r="AP13" s="6">
        <f t="shared" ref="AP13:AP32" si="16">L13/AA13</f>
        <v>1.1111009422473486E-3</v>
      </c>
      <c r="AQ13" s="6">
        <f t="shared" ref="AQ13:AQ32" si="17">M13/AB13</f>
        <v>1.1111028743171407E-3</v>
      </c>
      <c r="AR13" s="6">
        <f t="shared" ref="AR13:AR32" si="18">N13/AC13</f>
        <v>1.1111043038346091E-3</v>
      </c>
      <c r="AS13" s="6">
        <f t="shared" ref="AS13:AS32" si="19">O13/AD13</f>
        <v>1.111105391102342E-3</v>
      </c>
      <c r="AT13" s="6">
        <f t="shared" ref="AT13:AT32" si="20">P13/AE13</f>
        <v>1.1125222904631211E-3</v>
      </c>
      <c r="AW13" s="3">
        <v>20</v>
      </c>
      <c r="AX13" s="3">
        <f>ROUND($BB$7*AW13,0)</f>
        <v>1</v>
      </c>
      <c r="AY13" s="3">
        <f>AW13*AX13</f>
        <v>20</v>
      </c>
      <c r="AZ13" s="13">
        <f>$AX$7*AX13+$AY$7</f>
        <v>5.5633769896917937E-4</v>
      </c>
      <c r="BA13" s="3">
        <f>AZ13*AY13</f>
        <v>1.1126753979383588E-2</v>
      </c>
      <c r="BB13" s="3">
        <f>0.00015063529793*AY13^1.5</f>
        <v>1.3473230639296533E-2</v>
      </c>
      <c r="BC13" s="3">
        <f t="shared" ref="BC13:BC76" si="21">IMPROVEMENT_V2*BL_MBPS*BL_KM^2*AW13^3*AX13^2/((EM_KM*AW13)^2+(2*PI()*AVG_SUN_DIST_KM*AX13)^2)</f>
        <v>1.5186135099368617E-2</v>
      </c>
      <c r="BD13" s="3">
        <f t="shared" ref="BD13:BD76" si="22">IMPROVEMENT_V2*BL_MBPS*BL_KM^2*AW13*AX13^2/EM_KM^2</f>
        <v>2.2222222222222223E-2</v>
      </c>
    </row>
    <row r="14" spans="1:56" x14ac:dyDescent="0.45">
      <c r="C14">
        <f>C13+1</f>
        <v>2</v>
      </c>
      <c r="D14" s="2">
        <f t="shared" si="5"/>
        <v>2.2156522200134652</v>
      </c>
      <c r="E14" s="2">
        <f t="shared" si="5"/>
        <v>4.4411521430708536</v>
      </c>
      <c r="F14" s="2">
        <f t="shared" si="5"/>
        <v>6.6644708954416956</v>
      </c>
      <c r="G14" s="2">
        <f t="shared" si="5"/>
        <v>8.8872418231321237</v>
      </c>
      <c r="H14" s="2">
        <f t="shared" si="5"/>
        <v>11.109793370604285</v>
      </c>
      <c r="I14" s="2">
        <f t="shared" si="5"/>
        <v>13.332235176449453</v>
      </c>
      <c r="J14" s="2">
        <f t="shared" si="5"/>
        <v>15.554614257658137</v>
      </c>
      <c r="K14" s="2">
        <f t="shared" si="5"/>
        <v>17.77695413043616</v>
      </c>
      <c r="L14" s="2">
        <f t="shared" si="5"/>
        <v>19.999267861910642</v>
      </c>
      <c r="M14" s="2">
        <f t="shared" si="5"/>
        <v>22.221563293358745</v>
      </c>
      <c r="N14" s="2">
        <f t="shared" si="5"/>
        <v>24.443845415122208</v>
      </c>
      <c r="O14" s="2">
        <f t="shared" si="5"/>
        <v>26.666117554305327</v>
      </c>
      <c r="P14" s="2">
        <f t="shared" si="6"/>
        <v>20.014649804995862</v>
      </c>
      <c r="R14">
        <f>R13+1</f>
        <v>2</v>
      </c>
      <c r="S14" s="2">
        <f t="shared" si="7"/>
        <v>1000</v>
      </c>
      <c r="T14" s="2">
        <f t="shared" si="8"/>
        <v>2000</v>
      </c>
      <c r="U14" s="2">
        <f t="shared" si="8"/>
        <v>3000</v>
      </c>
      <c r="V14" s="2">
        <f t="shared" si="8"/>
        <v>4000</v>
      </c>
      <c r="W14" s="2">
        <f t="shared" si="8"/>
        <v>5000</v>
      </c>
      <c r="X14" s="2">
        <f t="shared" si="8"/>
        <v>6000</v>
      </c>
      <c r="Y14" s="2">
        <f t="shared" si="8"/>
        <v>7000</v>
      </c>
      <c r="Z14" s="2">
        <f t="shared" si="8"/>
        <v>8000</v>
      </c>
      <c r="AA14" s="2">
        <f t="shared" si="8"/>
        <v>9000</v>
      </c>
      <c r="AB14" s="2">
        <f t="shared" si="8"/>
        <v>10000</v>
      </c>
      <c r="AC14" s="2">
        <f t="shared" si="8"/>
        <v>11000</v>
      </c>
      <c r="AD14" s="2">
        <f t="shared" si="8"/>
        <v>12000</v>
      </c>
      <c r="AE14" s="2">
        <f t="shared" si="8"/>
        <v>9000</v>
      </c>
      <c r="AG14">
        <f>AG13+1</f>
        <v>2</v>
      </c>
      <c r="AH14" s="6">
        <f t="shared" ref="AH14:AH32" si="23">D14/S14</f>
        <v>2.2156522200134652E-3</v>
      </c>
      <c r="AI14" s="6">
        <f t="shared" si="9"/>
        <v>2.2205760715354266E-3</v>
      </c>
      <c r="AJ14" s="6">
        <f t="shared" si="10"/>
        <v>2.2214902984805654E-3</v>
      </c>
      <c r="AK14" s="6">
        <f t="shared" si="11"/>
        <v>2.221810455783031E-3</v>
      </c>
      <c r="AL14" s="6">
        <f t="shared" si="12"/>
        <v>2.2219586741208568E-3</v>
      </c>
      <c r="AM14" s="6">
        <f t="shared" si="13"/>
        <v>2.2220391960749088E-3</v>
      </c>
      <c r="AN14" s="6">
        <f t="shared" si="14"/>
        <v>2.2220877510940196E-3</v>
      </c>
      <c r="AO14" s="6">
        <f t="shared" si="15"/>
        <v>2.2221192663045199E-3</v>
      </c>
      <c r="AP14" s="6">
        <f t="shared" si="16"/>
        <v>2.2221408735456269E-3</v>
      </c>
      <c r="AQ14" s="6">
        <f t="shared" si="17"/>
        <v>2.2221563293358744E-3</v>
      </c>
      <c r="AR14" s="6">
        <f t="shared" si="18"/>
        <v>2.2221677650111097E-3</v>
      </c>
      <c r="AS14" s="6">
        <f t="shared" si="19"/>
        <v>2.2221764628587771E-3</v>
      </c>
      <c r="AT14" s="6">
        <f t="shared" si="20"/>
        <v>2.2238499783328734E-3</v>
      </c>
      <c r="AW14" s="3">
        <f>AW13+$AW$13</f>
        <v>40</v>
      </c>
      <c r="AX14" s="3">
        <f t="shared" ref="AX14:AX77" si="24">ROUND($BB$7*AW14,0)</f>
        <v>3</v>
      </c>
      <c r="AY14" s="3">
        <f t="shared" ref="AY14:AY77" si="25">AW14*AX14</f>
        <v>120</v>
      </c>
      <c r="AZ14" s="13">
        <f t="shared" ref="AZ14:AZ77" si="26">$AX$7*AX14+$AY$7</f>
        <v>1.6678543475509601E-3</v>
      </c>
      <c r="BA14" s="3">
        <f t="shared" ref="BA14:BA31" si="27">AZ14*AY14</f>
        <v>0.20014252170611521</v>
      </c>
      <c r="BB14" s="3">
        <f t="shared" ref="BB14:BB31" si="28">0.00015063529793*AY14^1.5</f>
        <v>0.19801524151865343</v>
      </c>
      <c r="BC14" s="3">
        <f t="shared" si="21"/>
        <v>0.19584064196602877</v>
      </c>
      <c r="BD14" s="3">
        <f t="shared" si="22"/>
        <v>0.4</v>
      </c>
    </row>
    <row r="15" spans="1:56" x14ac:dyDescent="0.45">
      <c r="C15">
        <f t="shared" ref="C15:C32" si="29">C14+1</f>
        <v>3</v>
      </c>
      <c r="D15" s="2">
        <f t="shared" si="5"/>
        <v>4.966861830108444</v>
      </c>
      <c r="E15" s="2">
        <f t="shared" si="5"/>
        <v>9.983348143245502</v>
      </c>
      <c r="F15" s="2">
        <f t="shared" si="5"/>
        <v>14.98888848286413</v>
      </c>
      <c r="G15" s="2">
        <f t="shared" si="5"/>
        <v>19.991663660457856</v>
      </c>
      <c r="H15" s="2">
        <f t="shared" si="5"/>
        <v>24.993329927494479</v>
      </c>
      <c r="I15" s="2">
        <f t="shared" si="5"/>
        <v>29.99444115307092</v>
      </c>
      <c r="J15" s="2">
        <f t="shared" si="5"/>
        <v>34.99523503981596</v>
      </c>
      <c r="K15" s="2">
        <f t="shared" si="5"/>
        <v>39.995830526798521</v>
      </c>
      <c r="L15" s="2">
        <f t="shared" si="5"/>
        <v>44.996293720516903</v>
      </c>
      <c r="M15" s="2">
        <f t="shared" si="5"/>
        <v>49.996664296265664</v>
      </c>
      <c r="N15" s="2">
        <f t="shared" si="5"/>
        <v>54.996967506948053</v>
      </c>
      <c r="O15" s="2">
        <f t="shared" si="5"/>
        <v>59.997220190222031</v>
      </c>
      <c r="P15" s="2">
        <f t="shared" si="6"/>
        <v>45.01881742859527</v>
      </c>
      <c r="R15">
        <f t="shared" ref="R15:R32" si="30">R14+1</f>
        <v>3</v>
      </c>
      <c r="S15" s="2">
        <f t="shared" si="7"/>
        <v>1500</v>
      </c>
      <c r="T15" s="2">
        <f t="shared" si="8"/>
        <v>3000</v>
      </c>
      <c r="U15" s="2">
        <f t="shared" si="8"/>
        <v>4500</v>
      </c>
      <c r="V15" s="2">
        <f t="shared" si="8"/>
        <v>6000</v>
      </c>
      <c r="W15" s="2">
        <f t="shared" si="8"/>
        <v>7500</v>
      </c>
      <c r="X15" s="2">
        <f t="shared" si="8"/>
        <v>9000</v>
      </c>
      <c r="Y15" s="2">
        <f t="shared" si="8"/>
        <v>10500</v>
      </c>
      <c r="Z15" s="2">
        <f t="shared" si="8"/>
        <v>12000</v>
      </c>
      <c r="AA15" s="2">
        <f t="shared" si="8"/>
        <v>13500</v>
      </c>
      <c r="AB15" s="2">
        <f t="shared" si="8"/>
        <v>15000</v>
      </c>
      <c r="AC15" s="2">
        <f t="shared" si="8"/>
        <v>16500</v>
      </c>
      <c r="AD15" s="2">
        <f t="shared" si="8"/>
        <v>18000</v>
      </c>
      <c r="AE15" s="2">
        <f t="shared" si="8"/>
        <v>13500</v>
      </c>
      <c r="AG15">
        <f t="shared" ref="AG15:AG32" si="31">AG14+1</f>
        <v>3</v>
      </c>
      <c r="AH15" s="6">
        <f t="shared" si="23"/>
        <v>3.3112412200722958E-3</v>
      </c>
      <c r="AI15" s="6">
        <f t="shared" si="9"/>
        <v>3.3277827144151673E-3</v>
      </c>
      <c r="AJ15" s="6">
        <f t="shared" si="10"/>
        <v>3.3308641073031401E-3</v>
      </c>
      <c r="AK15" s="6">
        <f t="shared" si="11"/>
        <v>3.3319439434096429E-3</v>
      </c>
      <c r="AL15" s="6">
        <f t="shared" si="12"/>
        <v>3.3324439903325972E-3</v>
      </c>
      <c r="AM15" s="6">
        <f t="shared" si="13"/>
        <v>3.3327156836745466E-3</v>
      </c>
      <c r="AN15" s="6">
        <f t="shared" si="14"/>
        <v>3.3328795276015202E-3</v>
      </c>
      <c r="AO15" s="6">
        <f t="shared" si="15"/>
        <v>3.3329858772332102E-3</v>
      </c>
      <c r="AP15" s="6">
        <f t="shared" si="16"/>
        <v>3.333058794112363E-3</v>
      </c>
      <c r="AQ15" s="6">
        <f t="shared" si="17"/>
        <v>3.3331109530843777E-3</v>
      </c>
      <c r="AR15" s="6">
        <f t="shared" si="18"/>
        <v>3.3331495458756395E-3</v>
      </c>
      <c r="AS15" s="6">
        <f t="shared" si="19"/>
        <v>3.3331788994567795E-3</v>
      </c>
      <c r="AT15" s="6">
        <f t="shared" si="20"/>
        <v>3.3347272169329829E-3</v>
      </c>
      <c r="AW15" s="3">
        <f t="shared" ref="AW15:AW78" si="32">AW14+$AW$13</f>
        <v>60</v>
      </c>
      <c r="AX15" s="3">
        <f t="shared" si="24"/>
        <v>4</v>
      </c>
      <c r="AY15" s="3">
        <f t="shared" si="25"/>
        <v>240</v>
      </c>
      <c r="AZ15" s="13">
        <f t="shared" si="26"/>
        <v>2.2236126718418506E-3</v>
      </c>
      <c r="BA15" s="3">
        <f t="shared" si="27"/>
        <v>0.53366704124204412</v>
      </c>
      <c r="BB15" s="3">
        <f t="shared" si="28"/>
        <v>0.56007168022452691</v>
      </c>
      <c r="BC15" s="3">
        <f t="shared" si="21"/>
        <v>0.5848961703383514</v>
      </c>
      <c r="BD15" s="3">
        <f t="shared" si="22"/>
        <v>1.0666666666666667</v>
      </c>
    </row>
    <row r="16" spans="1:56" x14ac:dyDescent="0.45">
      <c r="C16">
        <f t="shared" si="29"/>
        <v>4</v>
      </c>
      <c r="D16" s="2">
        <f t="shared" si="5"/>
        <v>8.7846930191263279</v>
      </c>
      <c r="E16" s="2">
        <f t="shared" si="5"/>
        <v>17.725217760107721</v>
      </c>
      <c r="F16" s="2">
        <f t="shared" si="5"/>
        <v>26.631569006961183</v>
      </c>
      <c r="G16" s="2">
        <f t="shared" si="5"/>
        <v>35.529217144566829</v>
      </c>
      <c r="H16" s="2">
        <f t="shared" si="5"/>
        <v>44.423368095088257</v>
      </c>
      <c r="I16" s="2">
        <f t="shared" si="5"/>
        <v>53.315767163533565</v>
      </c>
      <c r="J16" s="2">
        <f t="shared" si="5"/>
        <v>62.207164189438934</v>
      </c>
      <c r="K16" s="2">
        <f t="shared" si="5"/>
        <v>71.09793458505699</v>
      </c>
      <c r="L16" s="2">
        <f t="shared" si="5"/>
        <v>79.988287076891851</v>
      </c>
      <c r="M16" s="2">
        <f t="shared" si="5"/>
        <v>88.878346964834279</v>
      </c>
      <c r="N16" s="2">
        <f t="shared" si="5"/>
        <v>97.768194013193849</v>
      </c>
      <c r="O16" s="2">
        <f t="shared" si="5"/>
        <v>106.65788141159562</v>
      </c>
      <c r="P16" s="2">
        <f t="shared" si="6"/>
        <v>80.015616615918134</v>
      </c>
      <c r="R16">
        <f t="shared" si="30"/>
        <v>4</v>
      </c>
      <c r="S16" s="2">
        <f t="shared" si="7"/>
        <v>2000</v>
      </c>
      <c r="T16" s="2">
        <f t="shared" si="8"/>
        <v>4000</v>
      </c>
      <c r="U16" s="2">
        <f t="shared" si="8"/>
        <v>6000</v>
      </c>
      <c r="V16" s="2">
        <f t="shared" si="8"/>
        <v>8000</v>
      </c>
      <c r="W16" s="2">
        <f t="shared" si="8"/>
        <v>10000</v>
      </c>
      <c r="X16" s="2">
        <f t="shared" si="8"/>
        <v>12000</v>
      </c>
      <c r="Y16" s="2">
        <f t="shared" si="8"/>
        <v>14000</v>
      </c>
      <c r="Z16" s="2">
        <f t="shared" si="8"/>
        <v>16000</v>
      </c>
      <c r="AA16" s="2">
        <f t="shared" si="8"/>
        <v>18000</v>
      </c>
      <c r="AB16" s="2">
        <f t="shared" si="8"/>
        <v>20000</v>
      </c>
      <c r="AC16" s="2">
        <f t="shared" si="8"/>
        <v>22000</v>
      </c>
      <c r="AD16" s="2">
        <f t="shared" si="8"/>
        <v>24000</v>
      </c>
      <c r="AE16" s="2">
        <f t="shared" si="8"/>
        <v>18000</v>
      </c>
      <c r="AG16">
        <f t="shared" si="31"/>
        <v>4</v>
      </c>
      <c r="AH16" s="6">
        <f t="shared" si="23"/>
        <v>4.3923465095631643E-3</v>
      </c>
      <c r="AI16" s="6">
        <f t="shared" si="9"/>
        <v>4.4313044400269303E-3</v>
      </c>
      <c r="AJ16" s="6">
        <f t="shared" si="10"/>
        <v>4.4385948344935304E-3</v>
      </c>
      <c r="AK16" s="6">
        <f t="shared" si="11"/>
        <v>4.4411521430708532E-3</v>
      </c>
      <c r="AL16" s="6">
        <f t="shared" si="12"/>
        <v>4.4423368095088261E-3</v>
      </c>
      <c r="AM16" s="6">
        <f t="shared" si="13"/>
        <v>4.4429805969611307E-3</v>
      </c>
      <c r="AN16" s="6">
        <f t="shared" si="14"/>
        <v>4.4433688706742094E-3</v>
      </c>
      <c r="AO16" s="6">
        <f t="shared" si="15"/>
        <v>4.4436209115660619E-3</v>
      </c>
      <c r="AP16" s="6">
        <f t="shared" si="16"/>
        <v>4.4437937264939914E-3</v>
      </c>
      <c r="AQ16" s="6">
        <f t="shared" si="17"/>
        <v>4.4439173482417136E-3</v>
      </c>
      <c r="AR16" s="6">
        <f t="shared" si="18"/>
        <v>4.4440088187815384E-3</v>
      </c>
      <c r="AS16" s="6">
        <f t="shared" si="19"/>
        <v>4.4440783921498176E-3</v>
      </c>
      <c r="AT16" s="6">
        <f t="shared" si="20"/>
        <v>4.4453120342176737E-3</v>
      </c>
      <c r="AW16" s="3">
        <f>AW15+$AW$13</f>
        <v>80</v>
      </c>
      <c r="AX16" s="3">
        <f t="shared" si="24"/>
        <v>6</v>
      </c>
      <c r="AY16" s="3">
        <f t="shared" si="25"/>
        <v>480</v>
      </c>
      <c r="AZ16" s="13">
        <f t="shared" si="26"/>
        <v>3.3351293204236312E-3</v>
      </c>
      <c r="BA16" s="3">
        <f t="shared" si="27"/>
        <v>1.600862073803343</v>
      </c>
      <c r="BB16" s="3">
        <f t="shared" si="28"/>
        <v>1.5841219321492279</v>
      </c>
      <c r="BC16" s="3">
        <f t="shared" si="21"/>
        <v>1.5667251357282301</v>
      </c>
      <c r="BD16" s="3">
        <f t="shared" si="22"/>
        <v>3.2</v>
      </c>
    </row>
    <row r="17" spans="3:56" x14ac:dyDescent="0.45">
      <c r="C17">
        <f t="shared" si="29"/>
        <v>5</v>
      </c>
      <c r="D17" s="2">
        <f t="shared" si="5"/>
        <v>13.636170774726775</v>
      </c>
      <c r="E17" s="2">
        <f t="shared" si="5"/>
        <v>27.649670468668017</v>
      </c>
      <c r="F17" s="2">
        <f t="shared" si="5"/>
        <v>41.581042412069806</v>
      </c>
      <c r="G17" s="2">
        <f t="shared" si="5"/>
        <v>55.491279576988994</v>
      </c>
      <c r="H17" s="2">
        <f t="shared" si="5"/>
        <v>69.393002235482086</v>
      </c>
      <c r="I17" s="2">
        <f t="shared" si="5"/>
        <v>83.290455120564786</v>
      </c>
      <c r="J17" s="2">
        <f t="shared" si="5"/>
        <v>97.185464450608805</v>
      </c>
      <c r="K17" s="2">
        <f t="shared" si="5"/>
        <v>111.078945210649</v>
      </c>
      <c r="L17" s="2">
        <f t="shared" si="5"/>
        <v>124.97140635119057</v>
      </c>
      <c r="M17" s="2">
        <f t="shared" si="5"/>
        <v>138.86315348643944</v>
      </c>
      <c r="N17" s="2">
        <f t="shared" si="5"/>
        <v>152.75438120496773</v>
      </c>
      <c r="O17" s="2">
        <f t="shared" si="5"/>
        <v>166.64521928365332</v>
      </c>
      <c r="P17" s="2">
        <f t="shared" si="6"/>
        <v>125.00278784225564</v>
      </c>
      <c r="R17">
        <f t="shared" si="30"/>
        <v>5</v>
      </c>
      <c r="S17" s="2">
        <f t="shared" si="7"/>
        <v>2500</v>
      </c>
      <c r="T17" s="2">
        <f t="shared" si="8"/>
        <v>5000</v>
      </c>
      <c r="U17" s="2">
        <f t="shared" si="8"/>
        <v>7500</v>
      </c>
      <c r="V17" s="2">
        <f t="shared" si="8"/>
        <v>10000</v>
      </c>
      <c r="W17" s="2">
        <f t="shared" si="8"/>
        <v>12500</v>
      </c>
      <c r="X17" s="2">
        <f t="shared" si="8"/>
        <v>15000</v>
      </c>
      <c r="Y17" s="2">
        <f t="shared" si="8"/>
        <v>17500</v>
      </c>
      <c r="Z17" s="2">
        <f t="shared" si="8"/>
        <v>20000</v>
      </c>
      <c r="AA17" s="2">
        <f t="shared" si="8"/>
        <v>22500</v>
      </c>
      <c r="AB17" s="2">
        <f t="shared" si="8"/>
        <v>25000</v>
      </c>
      <c r="AC17" s="2">
        <f t="shared" si="8"/>
        <v>27500</v>
      </c>
      <c r="AD17" s="2">
        <f t="shared" si="8"/>
        <v>30000</v>
      </c>
      <c r="AE17" s="2">
        <f t="shared" si="8"/>
        <v>22500</v>
      </c>
      <c r="AG17">
        <f t="shared" si="31"/>
        <v>5</v>
      </c>
      <c r="AH17" s="6">
        <f t="shared" si="23"/>
        <v>5.45446830989071E-3</v>
      </c>
      <c r="AI17" s="6">
        <f t="shared" si="9"/>
        <v>5.5299340937336036E-3</v>
      </c>
      <c r="AJ17" s="6">
        <f t="shared" si="10"/>
        <v>5.5441389882759737E-3</v>
      </c>
      <c r="AK17" s="6">
        <f t="shared" si="11"/>
        <v>5.5491279576988994E-3</v>
      </c>
      <c r="AL17" s="6">
        <f t="shared" si="12"/>
        <v>5.5514401788385667E-3</v>
      </c>
      <c r="AM17" s="6">
        <f t="shared" si="13"/>
        <v>5.5526970080376527E-3</v>
      </c>
      <c r="AN17" s="6">
        <f t="shared" si="14"/>
        <v>5.5534551114633599E-3</v>
      </c>
      <c r="AO17" s="6">
        <f t="shared" si="15"/>
        <v>5.5539472605324498E-3</v>
      </c>
      <c r="AP17" s="6">
        <f t="shared" si="16"/>
        <v>5.5542847267195808E-3</v>
      </c>
      <c r="AQ17" s="6">
        <f t="shared" si="17"/>
        <v>5.554526139457578E-3</v>
      </c>
      <c r="AR17" s="6">
        <f t="shared" si="18"/>
        <v>5.5547047710897352E-3</v>
      </c>
      <c r="AS17" s="6">
        <f t="shared" si="19"/>
        <v>5.5548406427884441E-3</v>
      </c>
      <c r="AT17" s="6">
        <f t="shared" si="20"/>
        <v>5.5556794596558065E-3</v>
      </c>
      <c r="AW17" s="3">
        <f t="shared" si="32"/>
        <v>100</v>
      </c>
      <c r="AX17" s="3">
        <f t="shared" si="24"/>
        <v>7</v>
      </c>
      <c r="AY17" s="3">
        <f t="shared" si="25"/>
        <v>700</v>
      </c>
      <c r="AZ17" s="13">
        <f t="shared" si="26"/>
        <v>3.8908876447145218E-3</v>
      </c>
      <c r="BA17" s="3">
        <f t="shared" si="27"/>
        <v>2.723621351300165</v>
      </c>
      <c r="BB17" s="3">
        <f t="shared" si="28"/>
        <v>2.7898047589363162</v>
      </c>
      <c r="BC17" s="3">
        <f t="shared" si="21"/>
        <v>2.8533130281702221</v>
      </c>
      <c r="BD17" s="3">
        <f t="shared" si="22"/>
        <v>5.4444444444444446</v>
      </c>
    </row>
    <row r="18" spans="3:56" x14ac:dyDescent="0.45">
      <c r="C18">
        <f t="shared" si="29"/>
        <v>6</v>
      </c>
      <c r="D18" s="2">
        <f t="shared" si="5"/>
        <v>19.480125887727926</v>
      </c>
      <c r="E18" s="2">
        <f t="shared" si="5"/>
        <v>39.734894640867552</v>
      </c>
      <c r="F18" s="2">
        <f t="shared" si="5"/>
        <v>59.822609940363556</v>
      </c>
      <c r="G18" s="2">
        <f t="shared" si="5"/>
        <v>79.866785145964016</v>
      </c>
      <c r="H18" s="2">
        <f t="shared" si="5"/>
        <v>99.893364192140112</v>
      </c>
      <c r="I18" s="2">
        <f t="shared" si="5"/>
        <v>119.91110786291304</v>
      </c>
      <c r="J18" s="2">
        <f t="shared" si="5"/>
        <v>139.9237917624169</v>
      </c>
      <c r="K18" s="2">
        <f t="shared" si="5"/>
        <v>159.93330928366285</v>
      </c>
      <c r="L18" s="2">
        <f t="shared" si="5"/>
        <v>179.94071417692575</v>
      </c>
      <c r="M18" s="2">
        <f t="shared" si="5"/>
        <v>199.94663941995583</v>
      </c>
      <c r="N18" s="2">
        <f t="shared" si="5"/>
        <v>219.95148813545384</v>
      </c>
      <c r="O18" s="2">
        <f t="shared" si="5"/>
        <v>239.95552922456736</v>
      </c>
      <c r="P18" s="2">
        <f t="shared" si="6"/>
        <v>179.97858923164091</v>
      </c>
      <c r="R18">
        <f t="shared" si="30"/>
        <v>6</v>
      </c>
      <c r="S18" s="2">
        <f t="shared" si="7"/>
        <v>3000</v>
      </c>
      <c r="T18" s="2">
        <f t="shared" si="8"/>
        <v>6000</v>
      </c>
      <c r="U18" s="2">
        <f t="shared" si="8"/>
        <v>9000</v>
      </c>
      <c r="V18" s="2">
        <f t="shared" si="8"/>
        <v>12000</v>
      </c>
      <c r="W18" s="2">
        <f t="shared" si="8"/>
        <v>15000</v>
      </c>
      <c r="X18" s="2">
        <f t="shared" si="8"/>
        <v>18000</v>
      </c>
      <c r="Y18" s="2">
        <f t="shared" si="8"/>
        <v>21000</v>
      </c>
      <c r="Z18" s="2">
        <f t="shared" si="8"/>
        <v>24000</v>
      </c>
      <c r="AA18" s="2">
        <f t="shared" si="8"/>
        <v>27000</v>
      </c>
      <c r="AB18" s="2">
        <f t="shared" si="8"/>
        <v>30000</v>
      </c>
      <c r="AC18" s="2">
        <f t="shared" si="8"/>
        <v>33000</v>
      </c>
      <c r="AD18" s="2">
        <f t="shared" si="8"/>
        <v>36000</v>
      </c>
      <c r="AE18" s="2">
        <f t="shared" si="8"/>
        <v>27000</v>
      </c>
      <c r="AG18">
        <f t="shared" si="31"/>
        <v>6</v>
      </c>
      <c r="AH18" s="6">
        <f t="shared" si="23"/>
        <v>6.4933752959093084E-3</v>
      </c>
      <c r="AI18" s="6">
        <f t="shared" si="9"/>
        <v>6.6224824401445916E-3</v>
      </c>
      <c r="AJ18" s="6">
        <f t="shared" si="10"/>
        <v>6.6469566600403955E-3</v>
      </c>
      <c r="AK18" s="6">
        <f t="shared" si="11"/>
        <v>6.6555654288303345E-3</v>
      </c>
      <c r="AL18" s="6">
        <f t="shared" si="12"/>
        <v>6.6595576128093406E-3</v>
      </c>
      <c r="AM18" s="6">
        <f t="shared" si="13"/>
        <v>6.6617282146062802E-3</v>
      </c>
      <c r="AN18" s="6">
        <f t="shared" si="14"/>
        <v>6.6630377029722335E-3</v>
      </c>
      <c r="AO18" s="6">
        <f t="shared" si="15"/>
        <v>6.6638878868192858E-3</v>
      </c>
      <c r="AP18" s="6">
        <f t="shared" si="16"/>
        <v>6.6644708954416943E-3</v>
      </c>
      <c r="AQ18" s="6">
        <f t="shared" si="17"/>
        <v>6.6648879806651944E-3</v>
      </c>
      <c r="AR18" s="6">
        <f t="shared" si="18"/>
        <v>6.6651966101652681E-3</v>
      </c>
      <c r="AS18" s="6">
        <f t="shared" si="19"/>
        <v>6.6654313673490933E-3</v>
      </c>
      <c r="AT18" s="6">
        <f t="shared" si="20"/>
        <v>6.66587367524596E-3</v>
      </c>
      <c r="AW18" s="3">
        <f t="shared" si="32"/>
        <v>120</v>
      </c>
      <c r="AX18" s="3">
        <f t="shared" si="24"/>
        <v>9</v>
      </c>
      <c r="AY18" s="3">
        <f t="shared" si="25"/>
        <v>1080</v>
      </c>
      <c r="AZ18" s="13">
        <f t="shared" si="26"/>
        <v>5.0024042932963024E-3</v>
      </c>
      <c r="BA18" s="3">
        <f t="shared" si="27"/>
        <v>5.4025966367600065</v>
      </c>
      <c r="BB18" s="3">
        <f t="shared" si="28"/>
        <v>5.3464115210036436</v>
      </c>
      <c r="BC18" s="3">
        <f t="shared" si="21"/>
        <v>5.2876973330827761</v>
      </c>
      <c r="BD18" s="3">
        <f t="shared" si="22"/>
        <v>10.8</v>
      </c>
    </row>
    <row r="19" spans="3:56" x14ac:dyDescent="0.45">
      <c r="C19">
        <f t="shared" si="29"/>
        <v>7</v>
      </c>
      <c r="D19" s="2">
        <f t="shared" si="5"/>
        <v>26.268047716847843</v>
      </c>
      <c r="E19" s="2">
        <f t="shared" si="5"/>
        <v>53.954476683449172</v>
      </c>
      <c r="F19" s="2">
        <f t="shared" si="5"/>
        <v>81.338380168173572</v>
      </c>
      <c r="G19" s="2">
        <f t="shared" si="5"/>
        <v>108.64224023954701</v>
      </c>
      <c r="H19" s="2">
        <f t="shared" si="5"/>
        <v>135.91363115648289</v>
      </c>
      <c r="I19" s="2">
        <f t="shared" si="5"/>
        <v>163.16869371605492</v>
      </c>
      <c r="J19" s="2">
        <f t="shared" si="5"/>
        <v>190.41439813416281</v>
      </c>
      <c r="K19" s="2">
        <f t="shared" si="5"/>
        <v>217.65424358636719</v>
      </c>
      <c r="L19" s="2">
        <f t="shared" si="5"/>
        <v>244.89017875539372</v>
      </c>
      <c r="M19" s="2">
        <f t="shared" si="5"/>
        <v>272.12337468347926</v>
      </c>
      <c r="N19" s="2">
        <f t="shared" si="5"/>
        <v>299.3545773821935</v>
      </c>
      <c r="O19" s="2">
        <f t="shared" si="5"/>
        <v>326.5842845773127</v>
      </c>
      <c r="P19" s="2">
        <f t="shared" si="6"/>
        <v>244.94160191081036</v>
      </c>
      <c r="R19">
        <f t="shared" si="30"/>
        <v>7</v>
      </c>
      <c r="S19" s="2">
        <f t="shared" si="7"/>
        <v>3500</v>
      </c>
      <c r="T19" s="2">
        <f t="shared" si="8"/>
        <v>7000</v>
      </c>
      <c r="U19" s="2">
        <f t="shared" si="8"/>
        <v>10500</v>
      </c>
      <c r="V19" s="2">
        <f t="shared" si="8"/>
        <v>14000</v>
      </c>
      <c r="W19" s="2">
        <f t="shared" si="8"/>
        <v>17500</v>
      </c>
      <c r="X19" s="2">
        <f t="shared" si="8"/>
        <v>21000</v>
      </c>
      <c r="Y19" s="2">
        <f t="shared" si="8"/>
        <v>24500</v>
      </c>
      <c r="Z19" s="2">
        <f t="shared" si="8"/>
        <v>28000</v>
      </c>
      <c r="AA19" s="2">
        <f t="shared" si="8"/>
        <v>31500</v>
      </c>
      <c r="AB19" s="2">
        <f t="shared" si="8"/>
        <v>35000</v>
      </c>
      <c r="AC19" s="2">
        <f t="shared" si="8"/>
        <v>38500</v>
      </c>
      <c r="AD19" s="2">
        <f t="shared" si="8"/>
        <v>42000</v>
      </c>
      <c r="AE19" s="2">
        <f t="shared" si="8"/>
        <v>31500</v>
      </c>
      <c r="AG19">
        <f t="shared" si="31"/>
        <v>7</v>
      </c>
      <c r="AH19" s="6">
        <f t="shared" si="23"/>
        <v>7.5051564905279549E-3</v>
      </c>
      <c r="AI19" s="6">
        <f t="shared" si="9"/>
        <v>7.707782383349882E-3</v>
      </c>
      <c r="AJ19" s="6">
        <f t="shared" si="10"/>
        <v>7.7465123969689114E-3</v>
      </c>
      <c r="AK19" s="6">
        <f t="shared" si="11"/>
        <v>7.7601600171105008E-3</v>
      </c>
      <c r="AL19" s="6">
        <f t="shared" si="12"/>
        <v>7.7664932089418796E-3</v>
      </c>
      <c r="AM19" s="6">
        <f t="shared" si="13"/>
        <v>7.7699377960026147E-3</v>
      </c>
      <c r="AN19" s="6">
        <f t="shared" si="14"/>
        <v>7.772016250373992E-3</v>
      </c>
      <c r="AO19" s="6">
        <f t="shared" si="15"/>
        <v>7.7733658423702568E-3</v>
      </c>
      <c r="AP19" s="6">
        <f t="shared" si="16"/>
        <v>7.7742913890601183E-3</v>
      </c>
      <c r="AQ19" s="6">
        <f t="shared" si="17"/>
        <v>7.7749535623851214E-3</v>
      </c>
      <c r="AR19" s="6">
        <f t="shared" si="18"/>
        <v>7.775443568368662E-3</v>
      </c>
      <c r="AS19" s="6">
        <f t="shared" si="19"/>
        <v>7.7758162994598264E-3</v>
      </c>
      <c r="AT19" s="6">
        <f t="shared" si="20"/>
        <v>7.7759238701844563E-3</v>
      </c>
      <c r="AW19" s="3">
        <f t="shared" si="32"/>
        <v>140</v>
      </c>
      <c r="AX19" s="3">
        <f t="shared" si="24"/>
        <v>10</v>
      </c>
      <c r="AY19" s="3">
        <f t="shared" si="25"/>
        <v>1400</v>
      </c>
      <c r="AZ19" s="13">
        <f t="shared" si="26"/>
        <v>5.5581626175871934E-3</v>
      </c>
      <c r="BA19" s="3">
        <f t="shared" si="27"/>
        <v>7.781427664622071</v>
      </c>
      <c r="BB19" s="3">
        <f t="shared" si="28"/>
        <v>7.8907594529214915</v>
      </c>
      <c r="BC19" s="3">
        <f t="shared" si="21"/>
        <v>7.995423858120021</v>
      </c>
      <c r="BD19" s="3">
        <f t="shared" si="22"/>
        <v>15.555555555555555</v>
      </c>
    </row>
    <row r="20" spans="3:56" x14ac:dyDescent="0.45">
      <c r="C20">
        <f t="shared" si="29"/>
        <v>8</v>
      </c>
      <c r="D20" s="2">
        <f t="shared" si="5"/>
        <v>33.945056615853282</v>
      </c>
      <c r="E20" s="2">
        <f t="shared" si="5"/>
        <v>70.277544153010624</v>
      </c>
      <c r="F20" s="2">
        <f t="shared" si="5"/>
        <v>106.10731271303486</v>
      </c>
      <c r="G20" s="2">
        <f t="shared" si="5"/>
        <v>141.80174208086177</v>
      </c>
      <c r="H20" s="2">
        <f t="shared" si="5"/>
        <v>177.44103525603333</v>
      </c>
      <c r="I20" s="2">
        <f t="shared" si="5"/>
        <v>213.05255205568946</v>
      </c>
      <c r="J20" s="2">
        <f t="shared" si="5"/>
        <v>248.64813515452752</v>
      </c>
      <c r="K20" s="2">
        <f t="shared" si="5"/>
        <v>284.23373715653463</v>
      </c>
      <c r="L20" s="2">
        <f t="shared" si="5"/>
        <v>319.81267550967044</v>
      </c>
      <c r="M20" s="2">
        <f t="shared" si="5"/>
        <v>355.38694476070606</v>
      </c>
      <c r="N20" s="2">
        <f t="shared" si="5"/>
        <v>390.9578159537989</v>
      </c>
      <c r="O20" s="2">
        <f t="shared" si="5"/>
        <v>426.52613730826852</v>
      </c>
      <c r="P20" s="2">
        <f t="shared" si="6"/>
        <v>319.89062835500937</v>
      </c>
      <c r="R20">
        <f t="shared" si="30"/>
        <v>8</v>
      </c>
      <c r="S20" s="2">
        <f t="shared" si="7"/>
        <v>4000</v>
      </c>
      <c r="T20" s="2">
        <f t="shared" si="8"/>
        <v>8000</v>
      </c>
      <c r="U20" s="2">
        <f t="shared" si="8"/>
        <v>12000</v>
      </c>
      <c r="V20" s="2">
        <f t="shared" si="8"/>
        <v>16000</v>
      </c>
      <c r="W20" s="2">
        <f t="shared" si="8"/>
        <v>20000</v>
      </c>
      <c r="X20" s="2">
        <f t="shared" si="8"/>
        <v>24000</v>
      </c>
      <c r="Y20" s="2">
        <f t="shared" si="8"/>
        <v>28000</v>
      </c>
      <c r="Z20" s="2">
        <f t="shared" si="8"/>
        <v>32000</v>
      </c>
      <c r="AA20" s="2">
        <f t="shared" si="8"/>
        <v>36000</v>
      </c>
      <c r="AB20" s="2">
        <f t="shared" si="8"/>
        <v>40000</v>
      </c>
      <c r="AC20" s="2">
        <f t="shared" si="8"/>
        <v>44000</v>
      </c>
      <c r="AD20" s="2">
        <f t="shared" si="8"/>
        <v>48000</v>
      </c>
      <c r="AE20" s="2">
        <f t="shared" si="8"/>
        <v>36000</v>
      </c>
      <c r="AG20">
        <f t="shared" si="31"/>
        <v>8</v>
      </c>
      <c r="AH20" s="6">
        <f t="shared" si="23"/>
        <v>8.4862641539633198E-3</v>
      </c>
      <c r="AI20" s="6">
        <f t="shared" si="9"/>
        <v>8.7846930191263287E-3</v>
      </c>
      <c r="AJ20" s="6">
        <f t="shared" si="10"/>
        <v>8.8422760594195713E-3</v>
      </c>
      <c r="AK20" s="6">
        <f t="shared" si="11"/>
        <v>8.8626088800538606E-3</v>
      </c>
      <c r="AL20" s="6">
        <f t="shared" si="12"/>
        <v>8.8720517628016662E-3</v>
      </c>
      <c r="AM20" s="6">
        <f t="shared" si="13"/>
        <v>8.8771896689870608E-3</v>
      </c>
      <c r="AN20" s="6">
        <f t="shared" si="14"/>
        <v>8.880290541233125E-3</v>
      </c>
      <c r="AO20" s="6">
        <f t="shared" si="15"/>
        <v>8.8823042861417064E-3</v>
      </c>
      <c r="AP20" s="6">
        <f t="shared" si="16"/>
        <v>8.883685430824179E-3</v>
      </c>
      <c r="AQ20" s="6">
        <f t="shared" si="17"/>
        <v>8.8846736190176523E-3</v>
      </c>
      <c r="AR20" s="6">
        <f t="shared" si="18"/>
        <v>8.8854049080408833E-3</v>
      </c>
      <c r="AS20" s="6">
        <f t="shared" si="19"/>
        <v>8.8859611939222614E-3</v>
      </c>
      <c r="AT20" s="6">
        <f t="shared" si="20"/>
        <v>8.885850787639149E-3</v>
      </c>
      <c r="AW20" s="3">
        <f t="shared" si="32"/>
        <v>160</v>
      </c>
      <c r="AX20" s="3">
        <f t="shared" si="24"/>
        <v>12</v>
      </c>
      <c r="AY20" s="3">
        <f t="shared" si="25"/>
        <v>1920</v>
      </c>
      <c r="AZ20" s="13">
        <f t="shared" si="26"/>
        <v>6.6696792661689736E-3</v>
      </c>
      <c r="BA20" s="3">
        <f t="shared" si="27"/>
        <v>12.805784191044429</v>
      </c>
      <c r="BB20" s="3">
        <f t="shared" si="28"/>
        <v>12.672975457193827</v>
      </c>
      <c r="BC20" s="3">
        <f t="shared" si="21"/>
        <v>12.533801085825841</v>
      </c>
      <c r="BD20" s="3">
        <f t="shared" si="22"/>
        <v>25.6</v>
      </c>
    </row>
    <row r="21" spans="3:56" x14ac:dyDescent="0.45">
      <c r="C21">
        <f t="shared" si="29"/>
        <v>9</v>
      </c>
      <c r="D21" s="2">
        <f t="shared" si="5"/>
        <v>42.450961017750366</v>
      </c>
      <c r="E21" s="2">
        <f t="shared" si="5"/>
        <v>88.668931413630105</v>
      </c>
      <c r="F21" s="2">
        <f t="shared" si="5"/>
        <v>134.10526941292801</v>
      </c>
      <c r="G21" s="2">
        <f t="shared" si="5"/>
        <v>179.32700063756519</v>
      </c>
      <c r="H21" s="2">
        <f t="shared" si="5"/>
        <v>224.46087484828539</v>
      </c>
      <c r="I21" s="2">
        <f t="shared" si="5"/>
        <v>269.55039986762853</v>
      </c>
      <c r="J21" s="2">
        <f t="shared" si="5"/>
        <v>314.61445813175607</v>
      </c>
      <c r="K21" s="2">
        <f t="shared" si="5"/>
        <v>359.66255406503643</v>
      </c>
      <c r="L21" s="2">
        <f t="shared" si="5"/>
        <v>404.69998903733148</v>
      </c>
      <c r="M21" s="2">
        <f t="shared" si="5"/>
        <v>449.72995212547164</v>
      </c>
      <c r="N21" s="2">
        <f t="shared" si="5"/>
        <v>494.75447636078923</v>
      </c>
      <c r="O21" s="2">
        <f t="shared" si="5"/>
        <v>539.77491883236212</v>
      </c>
      <c r="P21" s="2">
        <f t="shared" si="6"/>
        <v>404.82463238766923</v>
      </c>
      <c r="R21">
        <f t="shared" si="30"/>
        <v>9</v>
      </c>
      <c r="S21" s="2">
        <f t="shared" si="7"/>
        <v>4500</v>
      </c>
      <c r="T21" s="2">
        <f t="shared" si="8"/>
        <v>9000</v>
      </c>
      <c r="U21" s="2">
        <f t="shared" si="8"/>
        <v>13500</v>
      </c>
      <c r="V21" s="2">
        <f t="shared" si="8"/>
        <v>18000</v>
      </c>
      <c r="W21" s="2">
        <f t="shared" si="8"/>
        <v>22500</v>
      </c>
      <c r="X21" s="2">
        <f t="shared" si="8"/>
        <v>27000</v>
      </c>
      <c r="Y21" s="2">
        <f t="shared" si="8"/>
        <v>31500</v>
      </c>
      <c r="Z21" s="2">
        <f t="shared" si="8"/>
        <v>36000</v>
      </c>
      <c r="AA21" s="2">
        <f t="shared" si="8"/>
        <v>40500</v>
      </c>
      <c r="AB21" s="2">
        <f t="shared" si="8"/>
        <v>45000</v>
      </c>
      <c r="AC21" s="2">
        <f t="shared" si="8"/>
        <v>49500</v>
      </c>
      <c r="AD21" s="2">
        <f t="shared" si="8"/>
        <v>54000</v>
      </c>
      <c r="AE21" s="2">
        <f t="shared" si="8"/>
        <v>40500</v>
      </c>
      <c r="AG21">
        <f t="shared" si="31"/>
        <v>9</v>
      </c>
      <c r="AH21" s="6">
        <f t="shared" si="23"/>
        <v>9.4335468928334141E-3</v>
      </c>
      <c r="AI21" s="6">
        <f t="shared" si="9"/>
        <v>9.8521034904033456E-3</v>
      </c>
      <c r="AJ21" s="6">
        <f t="shared" si="10"/>
        <v>9.93372366021689E-3</v>
      </c>
      <c r="AK21" s="6">
        <f t="shared" si="11"/>
        <v>9.9626111465313996E-3</v>
      </c>
      <c r="AL21" s="6">
        <f t="shared" si="12"/>
        <v>9.9760388821460173E-3</v>
      </c>
      <c r="AM21" s="6">
        <f t="shared" si="13"/>
        <v>9.9833481432455018E-3</v>
      </c>
      <c r="AN21" s="6">
        <f t="shared" si="14"/>
        <v>9.9877605756113035E-3</v>
      </c>
      <c r="AO21" s="6">
        <f t="shared" si="15"/>
        <v>9.9906265018065675E-3</v>
      </c>
      <c r="AP21" s="6">
        <f t="shared" si="16"/>
        <v>9.9925923219094191E-3</v>
      </c>
      <c r="AQ21" s="6">
        <f t="shared" si="17"/>
        <v>9.9939989361215922E-3</v>
      </c>
      <c r="AR21" s="6">
        <f t="shared" si="18"/>
        <v>9.9950399264805909E-3</v>
      </c>
      <c r="AS21" s="6">
        <f t="shared" si="19"/>
        <v>9.9958318302289274E-3</v>
      </c>
      <c r="AT21" s="6">
        <f t="shared" si="20"/>
        <v>9.9956699354980059E-3</v>
      </c>
      <c r="AW21" s="3">
        <f t="shared" si="32"/>
        <v>180</v>
      </c>
      <c r="AX21" s="3">
        <f t="shared" si="24"/>
        <v>13</v>
      </c>
      <c r="AY21" s="3">
        <f t="shared" si="25"/>
        <v>2340</v>
      </c>
      <c r="AZ21" s="13">
        <f t="shared" si="26"/>
        <v>7.2254375904598645E-3</v>
      </c>
      <c r="BA21" s="3">
        <f t="shared" si="27"/>
        <v>16.907523961676084</v>
      </c>
      <c r="BB21" s="3">
        <f t="shared" si="28"/>
        <v>17.05102679456375</v>
      </c>
      <c r="BC21" s="3">
        <f t="shared" si="21"/>
        <v>17.186267721457529</v>
      </c>
      <c r="BD21" s="3">
        <f t="shared" si="22"/>
        <v>33.799999999999997</v>
      </c>
    </row>
    <row r="22" spans="3:56" x14ac:dyDescent="0.45">
      <c r="C22">
        <f t="shared" si="29"/>
        <v>10</v>
      </c>
      <c r="D22" s="2">
        <f t="shared" si="5"/>
        <v>51.721363218045731</v>
      </c>
      <c r="E22" s="2">
        <f t="shared" si="5"/>
        <v>109.0893661978142</v>
      </c>
      <c r="F22" s="2">
        <f t="shared" si="5"/>
        <v>165.30507274655895</v>
      </c>
      <c r="G22" s="2">
        <f t="shared" si="5"/>
        <v>221.19736374934413</v>
      </c>
      <c r="H22" s="2">
        <f t="shared" si="5"/>
        <v>276.95652750168318</v>
      </c>
      <c r="I22" s="2">
        <f t="shared" si="5"/>
        <v>332.64833929655845</v>
      </c>
      <c r="J22" s="2">
        <f t="shared" si="5"/>
        <v>388.30143086135564</v>
      </c>
      <c r="K22" s="2">
        <f t="shared" si="5"/>
        <v>443.93023661591195</v>
      </c>
      <c r="L22" s="2">
        <f t="shared" si="5"/>
        <v>499.54281536089763</v>
      </c>
      <c r="M22" s="2">
        <f t="shared" si="5"/>
        <v>555.14401788385669</v>
      </c>
      <c r="N22" s="2">
        <f t="shared" si="5"/>
        <v>610.73693785018133</v>
      </c>
      <c r="O22" s="2">
        <f t="shared" si="5"/>
        <v>666.32364096451829</v>
      </c>
      <c r="P22" s="2">
        <f t="shared" si="6"/>
        <v>499.74270073964715</v>
      </c>
      <c r="R22">
        <f t="shared" si="30"/>
        <v>10</v>
      </c>
      <c r="S22" s="2">
        <f t="shared" si="7"/>
        <v>5000</v>
      </c>
      <c r="T22" s="2">
        <f t="shared" si="8"/>
        <v>10000</v>
      </c>
      <c r="U22" s="2">
        <f t="shared" si="8"/>
        <v>15000</v>
      </c>
      <c r="V22" s="2">
        <f t="shared" si="8"/>
        <v>20000</v>
      </c>
      <c r="W22" s="2">
        <f t="shared" si="8"/>
        <v>25000</v>
      </c>
      <c r="X22" s="2">
        <f t="shared" si="8"/>
        <v>30000</v>
      </c>
      <c r="Y22" s="2">
        <f t="shared" si="8"/>
        <v>35000</v>
      </c>
      <c r="Z22" s="2">
        <f t="shared" si="8"/>
        <v>40000</v>
      </c>
      <c r="AA22" s="2">
        <f t="shared" si="8"/>
        <v>45000</v>
      </c>
      <c r="AB22" s="2">
        <f t="shared" si="8"/>
        <v>50000</v>
      </c>
      <c r="AC22" s="2">
        <f t="shared" si="8"/>
        <v>55000</v>
      </c>
      <c r="AD22" s="2">
        <f t="shared" si="8"/>
        <v>60000</v>
      </c>
      <c r="AE22" s="2">
        <f t="shared" si="8"/>
        <v>45000</v>
      </c>
      <c r="AG22">
        <f t="shared" si="31"/>
        <v>10</v>
      </c>
      <c r="AH22" s="6">
        <f t="shared" si="23"/>
        <v>1.0344272643609147E-2</v>
      </c>
      <c r="AI22" s="6">
        <f t="shared" si="9"/>
        <v>1.090893661978142E-2</v>
      </c>
      <c r="AJ22" s="6">
        <f t="shared" si="10"/>
        <v>1.1020338183103931E-2</v>
      </c>
      <c r="AK22" s="6">
        <f t="shared" si="11"/>
        <v>1.1059868187467207E-2</v>
      </c>
      <c r="AL22" s="6">
        <f t="shared" si="12"/>
        <v>1.1078261100067327E-2</v>
      </c>
      <c r="AM22" s="6">
        <f t="shared" si="13"/>
        <v>1.1088277976551947E-2</v>
      </c>
      <c r="AN22" s="6">
        <f t="shared" si="14"/>
        <v>1.1094326596038732E-2</v>
      </c>
      <c r="AO22" s="6">
        <f t="shared" si="15"/>
        <v>1.1098255915397799E-2</v>
      </c>
      <c r="AP22" s="6">
        <f t="shared" si="16"/>
        <v>1.1100951452464392E-2</v>
      </c>
      <c r="AQ22" s="6">
        <f t="shared" si="17"/>
        <v>1.1102880357677133E-2</v>
      </c>
      <c r="AR22" s="6">
        <f t="shared" si="18"/>
        <v>1.1104307960912389E-2</v>
      </c>
      <c r="AS22" s="6">
        <f t="shared" si="19"/>
        <v>1.1105394016075305E-2</v>
      </c>
      <c r="AT22" s="6">
        <f t="shared" si="20"/>
        <v>1.1105393349769937E-2</v>
      </c>
      <c r="AW22" s="3">
        <f t="shared" si="32"/>
        <v>200</v>
      </c>
      <c r="AX22" s="3">
        <f t="shared" si="24"/>
        <v>15</v>
      </c>
      <c r="AY22" s="3">
        <f t="shared" si="25"/>
        <v>3000</v>
      </c>
      <c r="AZ22" s="13">
        <f t="shared" si="26"/>
        <v>8.3369542390416447E-3</v>
      </c>
      <c r="BA22" s="3">
        <f t="shared" si="27"/>
        <v>25.010862717124933</v>
      </c>
      <c r="BB22" s="3">
        <f t="shared" si="28"/>
        <v>24.751905189831668</v>
      </c>
      <c r="BC22" s="3">
        <f t="shared" si="21"/>
        <v>24.480080245753594</v>
      </c>
      <c r="BD22" s="3">
        <f t="shared" si="22"/>
        <v>50</v>
      </c>
    </row>
    <row r="23" spans="3:56" x14ac:dyDescent="0.45">
      <c r="C23">
        <f t="shared" si="29"/>
        <v>11</v>
      </c>
      <c r="D23" s="2">
        <f t="shared" ref="D23:O32" si="33">$C$7*BL_MBPS*BL_KM^2*D$12^3*$C23^2/((EM_KM*D$12)^2+(2*PI()*AVG_SUN_DIST_KM*$C23)^2)</f>
        <v>61.688778783588766</v>
      </c>
      <c r="E23" s="2">
        <f t="shared" si="33"/>
        <v>131.49567525261205</v>
      </c>
      <c r="F23" s="2">
        <f t="shared" si="33"/>
        <v>199.67657123255981</v>
      </c>
      <c r="G23" s="2">
        <f t="shared" si="33"/>
        <v>267.38984540925179</v>
      </c>
      <c r="H23" s="2">
        <f t="shared" si="33"/>
        <v>334.90946464236657</v>
      </c>
      <c r="I23" s="2">
        <f t="shared" si="33"/>
        <v>402.33086617502732</v>
      </c>
      <c r="J23" s="2">
        <f t="shared" si="33"/>
        <v>469.69573101729088</v>
      </c>
      <c r="K23" s="2">
        <f t="shared" si="33"/>
        <v>537.02510896684555</v>
      </c>
      <c r="L23" s="2">
        <f t="shared" si="33"/>
        <v>604.33076447485507</v>
      </c>
      <c r="M23" s="2">
        <f t="shared" si="33"/>
        <v>671.61978363318178</v>
      </c>
      <c r="N23" s="2">
        <f t="shared" si="33"/>
        <v>738.89668780341333</v>
      </c>
      <c r="O23" s="2">
        <f t="shared" si="33"/>
        <v>806.16449699713883</v>
      </c>
      <c r="P23" s="2">
        <f t="shared" si="6"/>
        <v>604.64401691765499</v>
      </c>
      <c r="R23">
        <f t="shared" si="30"/>
        <v>11</v>
      </c>
      <c r="S23" s="2">
        <f t="shared" si="7"/>
        <v>5500</v>
      </c>
      <c r="T23" s="2">
        <f t="shared" si="8"/>
        <v>11000</v>
      </c>
      <c r="U23" s="2">
        <f t="shared" si="8"/>
        <v>16500</v>
      </c>
      <c r="V23" s="2">
        <f t="shared" si="8"/>
        <v>22000</v>
      </c>
      <c r="W23" s="2">
        <f t="shared" si="8"/>
        <v>27500</v>
      </c>
      <c r="X23" s="2">
        <f t="shared" si="8"/>
        <v>33000</v>
      </c>
      <c r="Y23" s="2">
        <f t="shared" si="8"/>
        <v>38500</v>
      </c>
      <c r="Z23" s="2">
        <f t="shared" si="8"/>
        <v>44000</v>
      </c>
      <c r="AA23" s="2">
        <f t="shared" si="8"/>
        <v>49500</v>
      </c>
      <c r="AB23" s="2">
        <f t="shared" si="8"/>
        <v>55000</v>
      </c>
      <c r="AC23" s="2">
        <f t="shared" si="8"/>
        <v>60500</v>
      </c>
      <c r="AD23" s="2">
        <f t="shared" si="8"/>
        <v>66000</v>
      </c>
      <c r="AE23" s="2">
        <f t="shared" si="8"/>
        <v>49500</v>
      </c>
      <c r="AG23">
        <f t="shared" si="31"/>
        <v>11</v>
      </c>
      <c r="AH23" s="6">
        <f t="shared" si="23"/>
        <v>1.1216141597016139E-2</v>
      </c>
      <c r="AI23" s="6">
        <f t="shared" si="9"/>
        <v>1.1954152295692005E-2</v>
      </c>
      <c r="AJ23" s="6">
        <f t="shared" si="10"/>
        <v>1.2101610377730897E-2</v>
      </c>
      <c r="AK23" s="6">
        <f t="shared" si="11"/>
        <v>1.2154083882238717E-2</v>
      </c>
      <c r="AL23" s="6">
        <f t="shared" si="12"/>
        <v>1.2178525986995148E-2</v>
      </c>
      <c r="AM23" s="6">
        <f t="shared" si="13"/>
        <v>1.2191844429546283E-2</v>
      </c>
      <c r="AN23" s="6">
        <f t="shared" si="14"/>
        <v>1.2199889117332231E-2</v>
      </c>
      <c r="AO23" s="6">
        <f t="shared" si="15"/>
        <v>1.2205116112882853E-2</v>
      </c>
      <c r="AP23" s="6">
        <f t="shared" si="16"/>
        <v>1.2208702312623335E-2</v>
      </c>
      <c r="AQ23" s="6">
        <f t="shared" si="17"/>
        <v>1.2211268793330577E-2</v>
      </c>
      <c r="AR23" s="6">
        <f t="shared" si="18"/>
        <v>1.2213168393444848E-2</v>
      </c>
      <c r="AS23" s="6">
        <f t="shared" si="19"/>
        <v>1.2214613590865739E-2</v>
      </c>
      <c r="AT23" s="6">
        <f t="shared" si="20"/>
        <v>1.2215030644801112E-2</v>
      </c>
      <c r="AW23" s="3">
        <f t="shared" si="32"/>
        <v>220</v>
      </c>
      <c r="AX23" s="3">
        <f t="shared" si="24"/>
        <v>16</v>
      </c>
      <c r="AY23" s="3">
        <f t="shared" si="25"/>
        <v>3520</v>
      </c>
      <c r="AZ23" s="13">
        <f t="shared" si="26"/>
        <v>8.8927125633325357E-3</v>
      </c>
      <c r="BA23" s="3">
        <f t="shared" si="27"/>
        <v>31.302348222930526</v>
      </c>
      <c r="BB23" s="3">
        <f t="shared" si="28"/>
        <v>31.458698124104604</v>
      </c>
      <c r="BC23" s="3">
        <f t="shared" si="21"/>
        <v>31.600887263294133</v>
      </c>
      <c r="BD23" s="3">
        <f t="shared" si="22"/>
        <v>62.577777777777776</v>
      </c>
    </row>
    <row r="24" spans="3:56" x14ac:dyDescent="0.45">
      <c r="C24">
        <f t="shared" si="29"/>
        <v>12</v>
      </c>
      <c r="D24" s="2">
        <f t="shared" si="33"/>
        <v>72.283737009484611</v>
      </c>
      <c r="E24" s="2">
        <f t="shared" si="33"/>
        <v>155.84100710182341</v>
      </c>
      <c r="F24" s="2">
        <f t="shared" si="33"/>
        <v>237.18671151641084</v>
      </c>
      <c r="G24" s="2">
        <f t="shared" si="33"/>
        <v>317.87915712694041</v>
      </c>
      <c r="H24" s="2">
        <f t="shared" si="33"/>
        <v>398.29926784266809</v>
      </c>
      <c r="I24" s="2">
        <f t="shared" si="33"/>
        <v>478.58087952290845</v>
      </c>
      <c r="J24" s="2">
        <f t="shared" si="33"/>
        <v>558.7826561621365</v>
      </c>
      <c r="K24" s="2">
        <f t="shared" si="33"/>
        <v>638.93428116771213</v>
      </c>
      <c r="L24" s="2">
        <f t="shared" si="33"/>
        <v>719.05236318795198</v>
      </c>
      <c r="M24" s="2">
        <f t="shared" si="33"/>
        <v>799.14691353712089</v>
      </c>
      <c r="N24" s="2">
        <f t="shared" si="33"/>
        <v>879.2243232971224</v>
      </c>
      <c r="O24" s="2">
        <f t="shared" si="33"/>
        <v>959.28886290330433</v>
      </c>
      <c r="P24" s="2">
        <f t="shared" si="6"/>
        <v>719.52784262246428</v>
      </c>
      <c r="R24">
        <f t="shared" si="30"/>
        <v>12</v>
      </c>
      <c r="S24" s="2">
        <f t="shared" si="7"/>
        <v>6000</v>
      </c>
      <c r="T24" s="2">
        <f t="shared" si="8"/>
        <v>12000</v>
      </c>
      <c r="U24" s="2">
        <f t="shared" si="8"/>
        <v>18000</v>
      </c>
      <c r="V24" s="2">
        <f t="shared" si="8"/>
        <v>24000</v>
      </c>
      <c r="W24" s="2">
        <f t="shared" si="8"/>
        <v>30000</v>
      </c>
      <c r="X24" s="2">
        <f t="shared" si="8"/>
        <v>36000</v>
      </c>
      <c r="Y24" s="2">
        <f t="shared" si="8"/>
        <v>42000</v>
      </c>
      <c r="Z24" s="2">
        <f t="shared" si="8"/>
        <v>48000</v>
      </c>
      <c r="AA24" s="2">
        <f t="shared" si="8"/>
        <v>54000</v>
      </c>
      <c r="AB24" s="2">
        <f t="shared" si="8"/>
        <v>60000</v>
      </c>
      <c r="AC24" s="2">
        <f t="shared" si="8"/>
        <v>66000</v>
      </c>
      <c r="AD24" s="2">
        <f t="shared" si="8"/>
        <v>72000</v>
      </c>
      <c r="AE24" s="2">
        <f t="shared" si="8"/>
        <v>54000</v>
      </c>
      <c r="AG24">
        <f t="shared" si="31"/>
        <v>12</v>
      </c>
      <c r="AH24" s="6">
        <f t="shared" si="23"/>
        <v>1.2047289501580769E-2</v>
      </c>
      <c r="AI24" s="6">
        <f t="shared" si="9"/>
        <v>1.2986750591818617E-2</v>
      </c>
      <c r="AJ24" s="6">
        <f t="shared" si="10"/>
        <v>1.3177039528689491E-2</v>
      </c>
      <c r="AK24" s="6">
        <f t="shared" si="11"/>
        <v>1.3244964880289183E-2</v>
      </c>
      <c r="AL24" s="6">
        <f t="shared" si="12"/>
        <v>1.3276642261422269E-2</v>
      </c>
      <c r="AM24" s="6">
        <f t="shared" si="13"/>
        <v>1.3293913320080791E-2</v>
      </c>
      <c r="AN24" s="6">
        <f t="shared" si="14"/>
        <v>1.3304348956241345E-2</v>
      </c>
      <c r="AO24" s="6">
        <f t="shared" si="15"/>
        <v>1.3311130857660669E-2</v>
      </c>
      <c r="AP24" s="6">
        <f t="shared" si="16"/>
        <v>1.3315784503480593E-2</v>
      </c>
      <c r="AQ24" s="6">
        <f t="shared" si="17"/>
        <v>1.3319115225618681E-2</v>
      </c>
      <c r="AR24" s="6">
        <f t="shared" si="18"/>
        <v>1.3321580656017006E-2</v>
      </c>
      <c r="AS24" s="6">
        <f t="shared" si="19"/>
        <v>1.332345642921256E-2</v>
      </c>
      <c r="AT24" s="6">
        <f t="shared" si="20"/>
        <v>1.3324589678193784E-2</v>
      </c>
      <c r="AW24" s="3">
        <f t="shared" si="32"/>
        <v>240</v>
      </c>
      <c r="AX24" s="3">
        <f t="shared" si="24"/>
        <v>18</v>
      </c>
      <c r="AY24" s="3">
        <f t="shared" si="25"/>
        <v>4320</v>
      </c>
      <c r="AZ24" s="13">
        <f t="shared" si="26"/>
        <v>1.0004229211914316E-2</v>
      </c>
      <c r="BA24" s="3">
        <f t="shared" si="27"/>
        <v>43.218270195469842</v>
      </c>
      <c r="BB24" s="3">
        <f t="shared" si="28"/>
        <v>42.771292168029156</v>
      </c>
      <c r="BC24" s="3">
        <f t="shared" si="21"/>
        <v>42.301578664662209</v>
      </c>
      <c r="BD24" s="3">
        <f t="shared" si="22"/>
        <v>86.4</v>
      </c>
    </row>
    <row r="25" spans="3:56" x14ac:dyDescent="0.45">
      <c r="C25">
        <f t="shared" si="29"/>
        <v>13</v>
      </c>
      <c r="D25" s="2">
        <f t="shared" si="33"/>
        <v>83.435833636196804</v>
      </c>
      <c r="E25" s="2">
        <f t="shared" si="33"/>
        <v>182.07506983393858</v>
      </c>
      <c r="F25" s="2">
        <f t="shared" si="33"/>
        <v>277.79961682686667</v>
      </c>
      <c r="G25" s="2">
        <f t="shared" si="33"/>
        <v>372.63774229438991</v>
      </c>
      <c r="H25" s="2">
        <f t="shared" si="33"/>
        <v>467.10364672473219</v>
      </c>
      <c r="I25" s="2">
        <f t="shared" si="33"/>
        <v>561.37969200650446</v>
      </c>
      <c r="J25" s="2">
        <f t="shared" si="33"/>
        <v>655.54613037113756</v>
      </c>
      <c r="K25" s="2">
        <f t="shared" si="33"/>
        <v>749.64365361459068</v>
      </c>
      <c r="L25" s="2">
        <f t="shared" si="33"/>
        <v>843.69505825931958</v>
      </c>
      <c r="M25" s="2">
        <f t="shared" si="33"/>
        <v>937.71409661607538</v>
      </c>
      <c r="N25" s="2">
        <f t="shared" si="33"/>
        <v>1031.7095528262425</v>
      </c>
      <c r="O25" s="2">
        <f t="shared" si="33"/>
        <v>1125.6872986653507</v>
      </c>
      <c r="P25" s="2">
        <f t="shared" si="6"/>
        <v>844.39350405904668</v>
      </c>
      <c r="R25">
        <f t="shared" si="30"/>
        <v>13</v>
      </c>
      <c r="S25" s="2">
        <f t="shared" si="7"/>
        <v>6500</v>
      </c>
      <c r="T25" s="2">
        <f t="shared" si="8"/>
        <v>13000</v>
      </c>
      <c r="U25" s="2">
        <f t="shared" si="8"/>
        <v>19500</v>
      </c>
      <c r="V25" s="2">
        <f t="shared" si="8"/>
        <v>26000</v>
      </c>
      <c r="W25" s="2">
        <f t="shared" si="8"/>
        <v>32500</v>
      </c>
      <c r="X25" s="2">
        <f t="shared" si="8"/>
        <v>39000</v>
      </c>
      <c r="Y25" s="2">
        <f t="shared" si="8"/>
        <v>45500</v>
      </c>
      <c r="Z25" s="2">
        <f t="shared" si="8"/>
        <v>52000</v>
      </c>
      <c r="AA25" s="2">
        <f t="shared" si="8"/>
        <v>58500</v>
      </c>
      <c r="AB25" s="2">
        <f t="shared" si="8"/>
        <v>65000</v>
      </c>
      <c r="AC25" s="2">
        <f t="shared" si="8"/>
        <v>71500</v>
      </c>
      <c r="AD25" s="2">
        <f t="shared" si="8"/>
        <v>78000</v>
      </c>
      <c r="AE25" s="2">
        <f t="shared" si="8"/>
        <v>58500</v>
      </c>
      <c r="AG25">
        <f t="shared" si="31"/>
        <v>13</v>
      </c>
      <c r="AH25" s="6">
        <f t="shared" si="23"/>
        <v>1.2836282097876432E-2</v>
      </c>
      <c r="AI25" s="6">
        <f t="shared" si="9"/>
        <v>1.400577460261066E-2</v>
      </c>
      <c r="AJ25" s="6">
        <f t="shared" si="10"/>
        <v>1.4246134196249573E-2</v>
      </c>
      <c r="AK25" s="6">
        <f t="shared" si="11"/>
        <v>1.4332220857476536E-2</v>
      </c>
      <c r="AL25" s="6">
        <f t="shared" si="12"/>
        <v>1.4372419899222529E-2</v>
      </c>
      <c r="AM25" s="6">
        <f t="shared" si="13"/>
        <v>1.4394351077089858E-2</v>
      </c>
      <c r="AN25" s="6">
        <f t="shared" si="14"/>
        <v>1.4407607260904122E-2</v>
      </c>
      <c r="AO25" s="6">
        <f t="shared" si="15"/>
        <v>1.4416224107972898E-2</v>
      </c>
      <c r="AP25" s="6">
        <f t="shared" si="16"/>
        <v>1.4422137748022557E-2</v>
      </c>
      <c r="AQ25" s="6">
        <f t="shared" si="17"/>
        <v>1.442637071717039E-2</v>
      </c>
      <c r="AR25" s="6">
        <f t="shared" si="18"/>
        <v>1.4429504235332064E-2</v>
      </c>
      <c r="AS25" s="6">
        <f t="shared" si="19"/>
        <v>1.4431888444427573E-2</v>
      </c>
      <c r="AT25" s="6">
        <f t="shared" si="20"/>
        <v>1.4434076992462337E-2</v>
      </c>
      <c r="AW25" s="3">
        <f t="shared" si="32"/>
        <v>260</v>
      </c>
      <c r="AX25" s="3">
        <f t="shared" si="24"/>
        <v>19</v>
      </c>
      <c r="AY25" s="3">
        <f t="shared" si="25"/>
        <v>4940</v>
      </c>
      <c r="AZ25" s="13">
        <f t="shared" si="26"/>
        <v>1.0559987536205207E-2</v>
      </c>
      <c r="BA25" s="3">
        <f t="shared" si="27"/>
        <v>52.16633842885372</v>
      </c>
      <c r="BB25" s="3">
        <f t="shared" si="28"/>
        <v>52.301864849668469</v>
      </c>
      <c r="BC25" s="3">
        <f t="shared" si="21"/>
        <v>52.414325890034704</v>
      </c>
      <c r="BD25" s="3">
        <f t="shared" si="22"/>
        <v>104.28888888888889</v>
      </c>
    </row>
    <row r="26" spans="3:56" x14ac:dyDescent="0.45">
      <c r="C26">
        <f t="shared" si="29"/>
        <v>14</v>
      </c>
      <c r="D26" s="2">
        <f t="shared" si="33"/>
        <v>95.074711750752883</v>
      </c>
      <c r="E26" s="2">
        <f t="shared" si="33"/>
        <v>210.14438173478274</v>
      </c>
      <c r="F26" s="2">
        <f t="shared" si="33"/>
        <v>321.47667145888187</v>
      </c>
      <c r="G26" s="2">
        <f t="shared" si="33"/>
        <v>431.63581346759338</v>
      </c>
      <c r="H26" s="2">
        <f t="shared" si="33"/>
        <v>541.2984584500897</v>
      </c>
      <c r="I26" s="2">
        <f t="shared" si="33"/>
        <v>650.70704134538857</v>
      </c>
      <c r="J26" s="2">
        <f t="shared" si="33"/>
        <v>759.96871146461842</v>
      </c>
      <c r="K26" s="2">
        <f t="shared" si="33"/>
        <v>869.13792191637606</v>
      </c>
      <c r="L26" s="2">
        <f t="shared" si="33"/>
        <v>978.24521982682131</v>
      </c>
      <c r="M26" s="2">
        <f t="shared" si="33"/>
        <v>1087.3090492518631</v>
      </c>
      <c r="N26" s="2">
        <f t="shared" si="33"/>
        <v>1196.3411981888337</v>
      </c>
      <c r="O26" s="2">
        <f t="shared" si="33"/>
        <v>1305.3495497284393</v>
      </c>
      <c r="P26" s="2">
        <f t="shared" si="6"/>
        <v>979.24038155751759</v>
      </c>
      <c r="R26">
        <f t="shared" si="30"/>
        <v>14</v>
      </c>
      <c r="S26" s="2">
        <f t="shared" si="7"/>
        <v>7000</v>
      </c>
      <c r="T26" s="2">
        <f t="shared" si="8"/>
        <v>14000</v>
      </c>
      <c r="U26" s="2">
        <f t="shared" si="8"/>
        <v>21000</v>
      </c>
      <c r="V26" s="2">
        <f t="shared" si="8"/>
        <v>28000</v>
      </c>
      <c r="W26" s="2">
        <f t="shared" si="8"/>
        <v>35000</v>
      </c>
      <c r="X26" s="2">
        <f t="shared" si="8"/>
        <v>42000</v>
      </c>
      <c r="Y26" s="2">
        <f t="shared" si="8"/>
        <v>49000</v>
      </c>
      <c r="Z26" s="2">
        <f t="shared" si="8"/>
        <v>56000</v>
      </c>
      <c r="AA26" s="2">
        <f t="shared" si="8"/>
        <v>63000</v>
      </c>
      <c r="AB26" s="2">
        <f t="shared" si="8"/>
        <v>70000</v>
      </c>
      <c r="AC26" s="2">
        <f t="shared" si="8"/>
        <v>77000</v>
      </c>
      <c r="AD26" s="2">
        <f t="shared" si="8"/>
        <v>84000</v>
      </c>
      <c r="AE26" s="2">
        <f t="shared" si="8"/>
        <v>63000</v>
      </c>
      <c r="AG26">
        <f t="shared" si="31"/>
        <v>14</v>
      </c>
      <c r="AH26" s="6">
        <f t="shared" si="23"/>
        <v>1.3582101678678984E-2</v>
      </c>
      <c r="AI26" s="6">
        <f t="shared" si="9"/>
        <v>1.501031298105591E-2</v>
      </c>
      <c r="AJ26" s="6">
        <f t="shared" si="10"/>
        <v>1.5308412926613422E-2</v>
      </c>
      <c r="AK26" s="6">
        <f t="shared" si="11"/>
        <v>1.5415564766699764E-2</v>
      </c>
      <c r="AL26" s="6">
        <f t="shared" si="12"/>
        <v>1.5465670241431135E-2</v>
      </c>
      <c r="AM26" s="6">
        <f t="shared" si="13"/>
        <v>1.5493024793937823E-2</v>
      </c>
      <c r="AN26" s="6">
        <f t="shared" si="14"/>
        <v>1.5509565540094254E-2</v>
      </c>
      <c r="AO26" s="6">
        <f t="shared" si="15"/>
        <v>1.5520320034221002E-2</v>
      </c>
      <c r="AP26" s="6">
        <f t="shared" si="16"/>
        <v>1.5527701902013037E-2</v>
      </c>
      <c r="AQ26" s="6">
        <f t="shared" si="17"/>
        <v>1.5532986417883759E-2</v>
      </c>
      <c r="AR26" s="6">
        <f t="shared" si="18"/>
        <v>1.5536898677777061E-2</v>
      </c>
      <c r="AS26" s="6">
        <f t="shared" si="19"/>
        <v>1.5539875592005229E-2</v>
      </c>
      <c r="AT26" s="6">
        <f t="shared" si="20"/>
        <v>1.5543498119960596E-2</v>
      </c>
      <c r="AW26" s="3">
        <f t="shared" si="32"/>
        <v>280</v>
      </c>
      <c r="AX26" s="3">
        <f t="shared" si="24"/>
        <v>21</v>
      </c>
      <c r="AY26" s="3">
        <f t="shared" si="25"/>
        <v>5880</v>
      </c>
      <c r="AZ26" s="13">
        <f t="shared" si="26"/>
        <v>1.1671504184786987E-2</v>
      </c>
      <c r="BA26" s="3">
        <f t="shared" si="27"/>
        <v>68.62844460654749</v>
      </c>
      <c r="BB26" s="3">
        <f t="shared" si="28"/>
        <v>67.919227840898031</v>
      </c>
      <c r="BC26" s="3">
        <f t="shared" si="21"/>
        <v>67.173340194347858</v>
      </c>
      <c r="BD26" s="3">
        <f t="shared" si="22"/>
        <v>137.19999999999999</v>
      </c>
    </row>
    <row r="27" spans="3:56" x14ac:dyDescent="0.45">
      <c r="C27">
        <f t="shared" si="29"/>
        <v>15</v>
      </c>
      <c r="D27" s="2">
        <f t="shared" si="33"/>
        <v>107.13095204332345</v>
      </c>
      <c r="E27" s="2">
        <f t="shared" si="33"/>
        <v>239.99253252415747</v>
      </c>
      <c r="F27" s="2">
        <f t="shared" si="33"/>
        <v>368.17661091762295</v>
      </c>
      <c r="G27" s="2">
        <f t="shared" si="33"/>
        <v>494.84139247087364</v>
      </c>
      <c r="H27" s="2">
        <f t="shared" si="33"/>
        <v>620.85772876355554</v>
      </c>
      <c r="I27" s="2">
        <f t="shared" si="33"/>
        <v>746.54110265403642</v>
      </c>
      <c r="J27" s="2">
        <f t="shared" si="33"/>
        <v>872.03159884268428</v>
      </c>
      <c r="K27" s="2">
        <f t="shared" si="33"/>
        <v>997.40058217085971</v>
      </c>
      <c r="L27" s="2">
        <f t="shared" si="33"/>
        <v>1122.6881451258848</v>
      </c>
      <c r="M27" s="2">
        <f t="shared" si="33"/>
        <v>1247.9185179056876</v>
      </c>
      <c r="N27" s="2">
        <f t="shared" si="33"/>
        <v>1373.1071965320002</v>
      </c>
      <c r="O27" s="2">
        <f t="shared" si="33"/>
        <v>1498.2645485787032</v>
      </c>
      <c r="P27" s="2">
        <f t="shared" si="6"/>
        <v>1124.0679015155993</v>
      </c>
      <c r="R27">
        <f t="shared" si="30"/>
        <v>15</v>
      </c>
      <c r="S27" s="2">
        <f t="shared" si="7"/>
        <v>7500</v>
      </c>
      <c r="T27" s="2">
        <f t="shared" si="8"/>
        <v>15000</v>
      </c>
      <c r="U27" s="2">
        <f t="shared" si="8"/>
        <v>22500</v>
      </c>
      <c r="V27" s="2">
        <f t="shared" si="8"/>
        <v>30000</v>
      </c>
      <c r="W27" s="2">
        <f t="shared" si="8"/>
        <v>37500</v>
      </c>
      <c r="X27" s="2">
        <f t="shared" si="8"/>
        <v>45000</v>
      </c>
      <c r="Y27" s="2">
        <f t="shared" si="8"/>
        <v>52500</v>
      </c>
      <c r="Z27" s="2">
        <f t="shared" si="8"/>
        <v>60000</v>
      </c>
      <c r="AA27" s="2">
        <f t="shared" si="8"/>
        <v>67500</v>
      </c>
      <c r="AB27" s="2">
        <f t="shared" si="8"/>
        <v>75000</v>
      </c>
      <c r="AC27" s="2">
        <f t="shared" si="8"/>
        <v>82500</v>
      </c>
      <c r="AD27" s="2">
        <f t="shared" si="8"/>
        <v>90000</v>
      </c>
      <c r="AE27" s="2">
        <f t="shared" si="8"/>
        <v>67500</v>
      </c>
      <c r="AG27">
        <f t="shared" si="31"/>
        <v>15</v>
      </c>
      <c r="AH27" s="6">
        <f t="shared" si="23"/>
        <v>1.4284126939109793E-2</v>
      </c>
      <c r="AI27" s="6">
        <f t="shared" si="9"/>
        <v>1.5999502168277165E-2</v>
      </c>
      <c r="AJ27" s="6">
        <f t="shared" si="10"/>
        <v>1.6363404929672132E-2</v>
      </c>
      <c r="AK27" s="6">
        <f t="shared" si="11"/>
        <v>1.6494713082362455E-2</v>
      </c>
      <c r="AL27" s="6">
        <f t="shared" si="12"/>
        <v>1.655620610036148E-2</v>
      </c>
      <c r="AM27" s="6">
        <f t="shared" si="13"/>
        <v>1.658980228120081E-2</v>
      </c>
      <c r="AN27" s="6">
        <f t="shared" si="14"/>
        <v>1.6610125692241604E-2</v>
      </c>
      <c r="AO27" s="6">
        <f t="shared" si="15"/>
        <v>1.6623343036180994E-2</v>
      </c>
      <c r="AP27" s="6">
        <f t="shared" si="16"/>
        <v>1.6632416964827923E-2</v>
      </c>
      <c r="AQ27" s="6">
        <f t="shared" si="17"/>
        <v>1.6638913572075836E-2</v>
      </c>
      <c r="AR27" s="6">
        <f t="shared" si="18"/>
        <v>1.6643723594327274E-2</v>
      </c>
      <c r="AS27" s="6">
        <f t="shared" si="19"/>
        <v>1.6647383873096701E-2</v>
      </c>
      <c r="AT27" s="6">
        <f t="shared" si="20"/>
        <v>1.66528578002311E-2</v>
      </c>
      <c r="AW27" s="3">
        <f t="shared" si="32"/>
        <v>300</v>
      </c>
      <c r="AX27" s="3">
        <f t="shared" si="24"/>
        <v>22</v>
      </c>
      <c r="AY27" s="3">
        <f t="shared" si="25"/>
        <v>6600</v>
      </c>
      <c r="AZ27" s="13">
        <f t="shared" si="26"/>
        <v>1.2227262509077878E-2</v>
      </c>
      <c r="BA27" s="3">
        <f t="shared" si="27"/>
        <v>80.699932559913989</v>
      </c>
      <c r="BB27" s="3">
        <f t="shared" si="28"/>
        <v>80.768618401488595</v>
      </c>
      <c r="BC27" s="3">
        <f t="shared" si="21"/>
        <v>80.801627250916312</v>
      </c>
      <c r="BD27" s="3">
        <f t="shared" si="22"/>
        <v>161.33333333333334</v>
      </c>
    </row>
    <row r="28" spans="3:56" x14ac:dyDescent="0.45">
      <c r="C28">
        <f t="shared" si="29"/>
        <v>16</v>
      </c>
      <c r="D28" s="2">
        <f t="shared" si="33"/>
        <v>119.5368590056991</v>
      </c>
      <c r="E28" s="2">
        <f t="shared" si="33"/>
        <v>271.56045292682626</v>
      </c>
      <c r="F28" s="2">
        <f t="shared" si="33"/>
        <v>417.85561733823738</v>
      </c>
      <c r="G28" s="2">
        <f t="shared" si="33"/>
        <v>562.22035322408499</v>
      </c>
      <c r="H28" s="2">
        <f t="shared" si="33"/>
        <v>705.75367455743094</v>
      </c>
      <c r="I28" s="2">
        <f t="shared" si="33"/>
        <v>848.85850170427886</v>
      </c>
      <c r="J28" s="2">
        <f t="shared" si="33"/>
        <v>991.71464191566622</v>
      </c>
      <c r="K28" s="2">
        <f t="shared" si="33"/>
        <v>1134.4139366468942</v>
      </c>
      <c r="L28" s="2">
        <f t="shared" si="33"/>
        <v>1277.0080624969253</v>
      </c>
      <c r="M28" s="2">
        <f t="shared" si="33"/>
        <v>1419.5282820482666</v>
      </c>
      <c r="N28" s="2">
        <f t="shared" si="33"/>
        <v>1561.9946025581953</v>
      </c>
      <c r="O28" s="2">
        <f t="shared" si="33"/>
        <v>1704.4204164455157</v>
      </c>
      <c r="P28" s="2">
        <f t="shared" si="6"/>
        <v>1278.8755300175426</v>
      </c>
      <c r="R28">
        <f t="shared" si="30"/>
        <v>16</v>
      </c>
      <c r="S28" s="2">
        <f t="shared" si="7"/>
        <v>8000</v>
      </c>
      <c r="T28" s="2">
        <f t="shared" si="8"/>
        <v>16000</v>
      </c>
      <c r="U28" s="2">
        <f t="shared" si="8"/>
        <v>24000</v>
      </c>
      <c r="V28" s="2">
        <f t="shared" si="8"/>
        <v>32000</v>
      </c>
      <c r="W28" s="2">
        <f t="shared" si="8"/>
        <v>40000</v>
      </c>
      <c r="X28" s="2">
        <f t="shared" si="8"/>
        <v>48000</v>
      </c>
      <c r="Y28" s="2">
        <f t="shared" si="8"/>
        <v>56000</v>
      </c>
      <c r="Z28" s="2">
        <f t="shared" si="8"/>
        <v>64000</v>
      </c>
      <c r="AA28" s="2">
        <f t="shared" si="8"/>
        <v>72000</v>
      </c>
      <c r="AB28" s="2">
        <f t="shared" si="8"/>
        <v>80000</v>
      </c>
      <c r="AC28" s="2">
        <f t="shared" si="8"/>
        <v>88000</v>
      </c>
      <c r="AD28" s="2">
        <f t="shared" si="8"/>
        <v>96000</v>
      </c>
      <c r="AE28" s="2">
        <f t="shared" si="8"/>
        <v>72000</v>
      </c>
      <c r="AG28">
        <f t="shared" si="31"/>
        <v>16</v>
      </c>
      <c r="AH28" s="6">
        <f t="shared" si="23"/>
        <v>1.4942107375712388E-2</v>
      </c>
      <c r="AI28" s="6">
        <f t="shared" si="9"/>
        <v>1.697252830792664E-2</v>
      </c>
      <c r="AJ28" s="6">
        <f t="shared" si="10"/>
        <v>1.7410650722426556E-2</v>
      </c>
      <c r="AK28" s="6">
        <f t="shared" si="11"/>
        <v>1.7569386038252657E-2</v>
      </c>
      <c r="AL28" s="6">
        <f t="shared" si="12"/>
        <v>1.7643841863935774E-2</v>
      </c>
      <c r="AM28" s="6">
        <f t="shared" si="13"/>
        <v>1.7684552118839143E-2</v>
      </c>
      <c r="AN28" s="6">
        <f t="shared" si="14"/>
        <v>1.7709190034208327E-2</v>
      </c>
      <c r="AO28" s="6">
        <f t="shared" si="15"/>
        <v>1.7725217760107721E-2</v>
      </c>
      <c r="AP28" s="6">
        <f t="shared" si="16"/>
        <v>1.7736223090235072E-2</v>
      </c>
      <c r="AQ28" s="6">
        <f t="shared" si="17"/>
        <v>1.7744103525603332E-2</v>
      </c>
      <c r="AR28" s="6">
        <f t="shared" si="18"/>
        <v>1.7749938665434038E-2</v>
      </c>
      <c r="AS28" s="6">
        <f t="shared" si="19"/>
        <v>1.7754379337974122E-2</v>
      </c>
      <c r="AT28" s="6">
        <f t="shared" si="20"/>
        <v>1.7762160139132534E-2</v>
      </c>
      <c r="AW28" s="3">
        <f t="shared" si="32"/>
        <v>320</v>
      </c>
      <c r="AX28" s="3">
        <f t="shared" si="24"/>
        <v>23</v>
      </c>
      <c r="AY28" s="3">
        <f t="shared" si="25"/>
        <v>7360</v>
      </c>
      <c r="AZ28" s="13">
        <f t="shared" si="26"/>
        <v>1.2783020833368769E-2</v>
      </c>
      <c r="BA28" s="3">
        <f t="shared" si="27"/>
        <v>94.083033333594145</v>
      </c>
      <c r="BB28" s="3">
        <f t="shared" si="28"/>
        <v>95.113786693019179</v>
      </c>
      <c r="BC28" s="3">
        <f t="shared" si="21"/>
        <v>96.090512197960336</v>
      </c>
      <c r="BD28" s="3">
        <f t="shared" si="22"/>
        <v>188.0888888888889</v>
      </c>
    </row>
    <row r="29" spans="3:56" x14ac:dyDescent="0.45">
      <c r="C29">
        <f t="shared" si="29"/>
        <v>17</v>
      </c>
      <c r="D29" s="2">
        <f t="shared" si="33"/>
        <v>132.22713491918876</v>
      </c>
      <c r="E29" s="2">
        <f t="shared" si="33"/>
        <v>304.78669030913284</v>
      </c>
      <c r="F29" s="2">
        <f t="shared" si="33"/>
        <v>470.46741977873211</v>
      </c>
      <c r="G29" s="2">
        <f t="shared" si="33"/>
        <v>633.73646718693374</v>
      </c>
      <c r="H29" s="2">
        <f t="shared" si="33"/>
        <v>795.95672791970264</v>
      </c>
      <c r="I29" s="2">
        <f t="shared" si="33"/>
        <v>957.63432909361097</v>
      </c>
      <c r="J29" s="2">
        <f t="shared" si="33"/>
        <v>1118.9963491232838</v>
      </c>
      <c r="K29" s="2">
        <f t="shared" si="33"/>
        <v>1280.1590998689999</v>
      </c>
      <c r="L29" s="2">
        <f t="shared" si="33"/>
        <v>1441.1881356793288</v>
      </c>
      <c r="M29" s="2">
        <f t="shared" si="33"/>
        <v>1602.1231573009143</v>
      </c>
      <c r="N29" s="2">
        <f t="shared" si="33"/>
        <v>1762.9895908911694</v>
      </c>
      <c r="O29" s="2">
        <f t="shared" si="33"/>
        <v>1923.8044651273967</v>
      </c>
      <c r="P29" s="2">
        <f t="shared" si="6"/>
        <v>1443.6627676941739</v>
      </c>
      <c r="R29">
        <f t="shared" si="30"/>
        <v>17</v>
      </c>
      <c r="S29" s="2">
        <f t="shared" si="7"/>
        <v>8500</v>
      </c>
      <c r="T29" s="2">
        <f t="shared" ref="T29:AE29" si="34">$R29*T$12</f>
        <v>17000</v>
      </c>
      <c r="U29" s="2">
        <f t="shared" si="34"/>
        <v>25500</v>
      </c>
      <c r="V29" s="2">
        <f t="shared" si="34"/>
        <v>34000</v>
      </c>
      <c r="W29" s="2">
        <f t="shared" si="34"/>
        <v>42500</v>
      </c>
      <c r="X29" s="2">
        <f t="shared" si="34"/>
        <v>51000</v>
      </c>
      <c r="Y29" s="2">
        <f t="shared" si="34"/>
        <v>59500</v>
      </c>
      <c r="Z29" s="2">
        <f t="shared" si="34"/>
        <v>68000</v>
      </c>
      <c r="AA29" s="2">
        <f t="shared" si="34"/>
        <v>76500</v>
      </c>
      <c r="AB29" s="2">
        <f t="shared" si="34"/>
        <v>85000</v>
      </c>
      <c r="AC29" s="2">
        <f t="shared" si="34"/>
        <v>93500</v>
      </c>
      <c r="AD29" s="2">
        <f t="shared" si="34"/>
        <v>102000</v>
      </c>
      <c r="AE29" s="2">
        <f t="shared" si="34"/>
        <v>76500</v>
      </c>
      <c r="AG29">
        <f t="shared" si="31"/>
        <v>17</v>
      </c>
      <c r="AH29" s="6">
        <f t="shared" si="23"/>
        <v>1.555613351990456E-2</v>
      </c>
      <c r="AI29" s="6">
        <f t="shared" si="9"/>
        <v>1.7928628841713697E-2</v>
      </c>
      <c r="AJ29" s="6">
        <f t="shared" si="10"/>
        <v>1.8449702736420867E-2</v>
      </c>
      <c r="AK29" s="6">
        <f t="shared" si="11"/>
        <v>1.8639307858439227E-2</v>
      </c>
      <c r="AL29" s="6">
        <f t="shared" si="12"/>
        <v>1.8728393598110651E-2</v>
      </c>
      <c r="AM29" s="6">
        <f t="shared" si="13"/>
        <v>1.8777143707717863E-2</v>
      </c>
      <c r="AN29" s="6">
        <f t="shared" si="14"/>
        <v>1.880666132980309E-2</v>
      </c>
      <c r="AO29" s="6">
        <f t="shared" si="15"/>
        <v>1.8825869115720588E-2</v>
      </c>
      <c r="AP29" s="6">
        <f t="shared" si="16"/>
        <v>1.8839060597115407E-2</v>
      </c>
      <c r="AQ29" s="6">
        <f t="shared" si="17"/>
        <v>1.8848507732951932E-2</v>
      </c>
      <c r="AR29" s="6">
        <f t="shared" si="18"/>
        <v>1.8855503645894861E-2</v>
      </c>
      <c r="AS29" s="6">
        <f t="shared" si="19"/>
        <v>1.8860828089484281E-2</v>
      </c>
      <c r="AT29" s="6">
        <f t="shared" si="20"/>
        <v>1.8871408728028418E-2</v>
      </c>
      <c r="AW29" s="3">
        <f t="shared" si="32"/>
        <v>340</v>
      </c>
      <c r="AX29" s="3">
        <f t="shared" si="24"/>
        <v>25</v>
      </c>
      <c r="AY29" s="3">
        <f t="shared" si="25"/>
        <v>8500</v>
      </c>
      <c r="AZ29" s="13">
        <f t="shared" si="26"/>
        <v>1.3894537481950549E-2</v>
      </c>
      <c r="BA29" s="3">
        <f t="shared" si="27"/>
        <v>118.10356859657966</v>
      </c>
      <c r="BB29" s="3">
        <f t="shared" si="28"/>
        <v>118.04705021877162</v>
      </c>
      <c r="BC29" s="3">
        <f t="shared" si="21"/>
        <v>117.93783509239303</v>
      </c>
      <c r="BD29" s="3">
        <f t="shared" si="22"/>
        <v>236.11111111111111</v>
      </c>
    </row>
    <row r="30" spans="3:56" x14ac:dyDescent="0.45">
      <c r="C30">
        <f t="shared" si="29"/>
        <v>18</v>
      </c>
      <c r="D30" s="2">
        <f t="shared" si="33"/>
        <v>145.13943832715282</v>
      </c>
      <c r="E30" s="2">
        <f t="shared" si="33"/>
        <v>339.60768814200293</v>
      </c>
      <c r="F30" s="2">
        <f t="shared" si="33"/>
        <v>525.96339896865402</v>
      </c>
      <c r="G30" s="2">
        <f t="shared" si="33"/>
        <v>709.35145130904084</v>
      </c>
      <c r="H30" s="2">
        <f t="shared" si="33"/>
        <v>891.43556162772381</v>
      </c>
      <c r="I30" s="2">
        <f t="shared" si="33"/>
        <v>1072.8421553034241</v>
      </c>
      <c r="J30" s="2">
        <f t="shared" si="33"/>
        <v>1253.8538975350182</v>
      </c>
      <c r="K30" s="2">
        <f t="shared" si="33"/>
        <v>1434.6160051005215</v>
      </c>
      <c r="L30" s="2">
        <f t="shared" si="33"/>
        <v>1615.210468389816</v>
      </c>
      <c r="M30" s="2">
        <f t="shared" si="33"/>
        <v>1795.6869987862831</v>
      </c>
      <c r="N30" s="2">
        <f t="shared" si="33"/>
        <v>1976.0774586007437</v>
      </c>
      <c r="O30" s="2">
        <f t="shared" si="33"/>
        <v>2156.4031989410282</v>
      </c>
      <c r="P30" s="2">
        <f t="shared" si="6"/>
        <v>1618.4291455215105</v>
      </c>
      <c r="R30">
        <f t="shared" si="30"/>
        <v>18</v>
      </c>
      <c r="S30" s="2">
        <f t="shared" ref="S30:AE45" si="35">$R30*S$12</f>
        <v>9000</v>
      </c>
      <c r="T30" s="2">
        <f t="shared" si="35"/>
        <v>18000</v>
      </c>
      <c r="U30" s="2">
        <f t="shared" si="35"/>
        <v>27000</v>
      </c>
      <c r="V30" s="2">
        <f t="shared" si="35"/>
        <v>36000</v>
      </c>
      <c r="W30" s="2">
        <f t="shared" si="35"/>
        <v>45000</v>
      </c>
      <c r="X30" s="2">
        <f t="shared" si="35"/>
        <v>54000</v>
      </c>
      <c r="Y30" s="2">
        <f t="shared" si="35"/>
        <v>63000</v>
      </c>
      <c r="Z30" s="2">
        <f t="shared" si="35"/>
        <v>72000</v>
      </c>
      <c r="AA30" s="2">
        <f t="shared" si="35"/>
        <v>81000</v>
      </c>
      <c r="AB30" s="2">
        <f t="shared" si="35"/>
        <v>90000</v>
      </c>
      <c r="AC30" s="2">
        <f t="shared" si="35"/>
        <v>99000</v>
      </c>
      <c r="AD30" s="2">
        <f t="shared" si="35"/>
        <v>108000</v>
      </c>
      <c r="AE30" s="2">
        <f t="shared" si="35"/>
        <v>81000</v>
      </c>
      <c r="AG30">
        <f t="shared" si="31"/>
        <v>18</v>
      </c>
      <c r="AH30" s="6">
        <f t="shared" si="23"/>
        <v>1.6126604258572534E-2</v>
      </c>
      <c r="AI30" s="6">
        <f t="shared" si="9"/>
        <v>1.8867093785666828E-2</v>
      </c>
      <c r="AJ30" s="6">
        <f t="shared" si="10"/>
        <v>1.9480125887727927E-2</v>
      </c>
      <c r="AK30" s="6">
        <f t="shared" si="11"/>
        <v>1.9704206980806691E-2</v>
      </c>
      <c r="AL30" s="6">
        <f t="shared" si="12"/>
        <v>1.9809679147282752E-2</v>
      </c>
      <c r="AM30" s="6">
        <f t="shared" si="13"/>
        <v>1.986744732043378E-2</v>
      </c>
      <c r="AN30" s="6">
        <f t="shared" si="14"/>
        <v>1.9902442818016161E-2</v>
      </c>
      <c r="AO30" s="6">
        <f t="shared" si="15"/>
        <v>1.9925222293062799E-2</v>
      </c>
      <c r="AP30" s="6">
        <f t="shared" si="16"/>
        <v>1.9940869980121186E-2</v>
      </c>
      <c r="AQ30" s="6">
        <f t="shared" si="17"/>
        <v>1.9952077764292035E-2</v>
      </c>
      <c r="AR30" s="6">
        <f t="shared" si="18"/>
        <v>1.9960378369704483E-2</v>
      </c>
      <c r="AS30" s="6">
        <f t="shared" si="19"/>
        <v>1.9966696286491004E-2</v>
      </c>
      <c r="AT30" s="6">
        <f t="shared" si="20"/>
        <v>1.9980606734833463E-2</v>
      </c>
      <c r="AW30" s="3">
        <f t="shared" si="32"/>
        <v>360</v>
      </c>
      <c r="AX30" s="3">
        <f t="shared" si="24"/>
        <v>26</v>
      </c>
      <c r="AY30" s="3">
        <f t="shared" si="25"/>
        <v>9360</v>
      </c>
      <c r="AZ30" s="13">
        <f t="shared" si="26"/>
        <v>1.445029580624144E-2</v>
      </c>
      <c r="BA30" s="3">
        <f t="shared" si="27"/>
        <v>135.25476874641987</v>
      </c>
      <c r="BB30" s="3">
        <f t="shared" si="28"/>
        <v>136.40821435651029</v>
      </c>
      <c r="BC30" s="3">
        <f t="shared" si="21"/>
        <v>137.49014177166023</v>
      </c>
      <c r="BD30" s="3">
        <f t="shared" si="22"/>
        <v>270.39999999999998</v>
      </c>
    </row>
    <row r="31" spans="3:56" x14ac:dyDescent="0.45">
      <c r="C31">
        <f t="shared" si="29"/>
        <v>19</v>
      </c>
      <c r="D31" s="2">
        <f t="shared" si="33"/>
        <v>158.21482793429664</v>
      </c>
      <c r="E31" s="2">
        <f t="shared" si="33"/>
        <v>375.95806710721394</v>
      </c>
      <c r="F31" s="2">
        <f t="shared" si="33"/>
        <v>584.29269608431741</v>
      </c>
      <c r="G31" s="2">
        <f t="shared" si="33"/>
        <v>789.02501836919487</v>
      </c>
      <c r="H31" s="2">
        <f t="shared" si="33"/>
        <v>992.15711604676108</v>
      </c>
      <c r="I31" s="2">
        <f t="shared" si="33"/>
        <v>1194.4540466302835</v>
      </c>
      <c r="J31" s="2">
        <f t="shared" si="33"/>
        <v>1396.2631430237352</v>
      </c>
      <c r="K31" s="2">
        <f t="shared" si="33"/>
        <v>1597.7634112211961</v>
      </c>
      <c r="L31" s="2">
        <f t="shared" si="33"/>
        <v>1799.0561091828715</v>
      </c>
      <c r="M31" s="2">
        <f t="shared" si="33"/>
        <v>2000.2027046873902</v>
      </c>
      <c r="N31" s="2">
        <f t="shared" si="33"/>
        <v>2201.242627885561</v>
      </c>
      <c r="O31" s="2">
        <f t="shared" si="33"/>
        <v>2402.2023167928251</v>
      </c>
      <c r="P31" s="2">
        <f t="shared" si="6"/>
        <v>1803.1742213423995</v>
      </c>
      <c r="R31">
        <f t="shared" si="30"/>
        <v>19</v>
      </c>
      <c r="S31" s="2">
        <f t="shared" si="35"/>
        <v>9500</v>
      </c>
      <c r="T31" s="2">
        <f t="shared" si="35"/>
        <v>19000</v>
      </c>
      <c r="U31" s="2">
        <f t="shared" si="35"/>
        <v>28500</v>
      </c>
      <c r="V31" s="2">
        <f t="shared" si="35"/>
        <v>38000</v>
      </c>
      <c r="W31" s="2">
        <f t="shared" si="35"/>
        <v>47500</v>
      </c>
      <c r="X31" s="2">
        <f t="shared" si="35"/>
        <v>57000</v>
      </c>
      <c r="Y31" s="2">
        <f t="shared" si="35"/>
        <v>66500</v>
      </c>
      <c r="Z31" s="2">
        <f t="shared" si="35"/>
        <v>76000</v>
      </c>
      <c r="AA31" s="2">
        <f t="shared" si="35"/>
        <v>85500</v>
      </c>
      <c r="AB31" s="2">
        <f t="shared" si="35"/>
        <v>95000</v>
      </c>
      <c r="AC31" s="2">
        <f t="shared" si="35"/>
        <v>104500</v>
      </c>
      <c r="AD31" s="2">
        <f t="shared" si="35"/>
        <v>114000</v>
      </c>
      <c r="AE31" s="2">
        <f t="shared" si="35"/>
        <v>85500</v>
      </c>
      <c r="AG31">
        <f t="shared" si="31"/>
        <v>19</v>
      </c>
      <c r="AH31" s="6">
        <f t="shared" si="23"/>
        <v>1.6654192414136487E-2</v>
      </c>
      <c r="AI31" s="6">
        <f t="shared" si="9"/>
        <v>1.9787266689853367E-2</v>
      </c>
      <c r="AJ31" s="6">
        <f t="shared" si="10"/>
        <v>2.0501498108221664E-2</v>
      </c>
      <c r="AK31" s="6">
        <f t="shared" si="11"/>
        <v>2.0763816272873548E-2</v>
      </c>
      <c r="AL31" s="6">
        <f t="shared" si="12"/>
        <v>2.0887518232563389E-2</v>
      </c>
      <c r="AM31" s="6">
        <f t="shared" si="13"/>
        <v>2.0955334151408482E-2</v>
      </c>
      <c r="AN31" s="6">
        <f t="shared" si="14"/>
        <v>2.0996438240958423E-2</v>
      </c>
      <c r="AO31" s="6">
        <f t="shared" si="15"/>
        <v>2.1023202779226265E-2</v>
      </c>
      <c r="AP31" s="6">
        <f t="shared" si="16"/>
        <v>2.1041591920267503E-2</v>
      </c>
      <c r="AQ31" s="6">
        <f t="shared" si="17"/>
        <v>2.1054765312498846E-2</v>
      </c>
      <c r="AR31" s="6">
        <f t="shared" si="18"/>
        <v>2.106452275488575E-2</v>
      </c>
      <c r="AS31" s="6">
        <f t="shared" si="19"/>
        <v>2.1071950147305483E-2</v>
      </c>
      <c r="AT31" s="6">
        <f t="shared" si="20"/>
        <v>2.1089756974764905E-2</v>
      </c>
      <c r="AW31" s="3">
        <f t="shared" si="32"/>
        <v>380</v>
      </c>
      <c r="AX31" s="3">
        <f t="shared" si="24"/>
        <v>28</v>
      </c>
      <c r="AY31" s="3">
        <f t="shared" si="25"/>
        <v>10640</v>
      </c>
      <c r="AZ31" s="13">
        <f t="shared" si="26"/>
        <v>1.556181245482322E-2</v>
      </c>
      <c r="BA31" s="3">
        <f t="shared" si="27"/>
        <v>165.57768451931906</v>
      </c>
      <c r="BB31" s="3">
        <f t="shared" si="28"/>
        <v>165.32525174493148</v>
      </c>
      <c r="BC31" s="3">
        <f t="shared" si="21"/>
        <v>164.99799320606883</v>
      </c>
      <c r="BD31" s="3">
        <f t="shared" si="22"/>
        <v>331.02222222222224</v>
      </c>
    </row>
    <row r="32" spans="3:56" x14ac:dyDescent="0.45">
      <c r="C32">
        <f t="shared" si="29"/>
        <v>20</v>
      </c>
      <c r="D32" s="2">
        <f t="shared" si="33"/>
        <v>171.39809640549097</v>
      </c>
      <c r="E32" s="2">
        <f t="shared" si="33"/>
        <v>413.77090574436585</v>
      </c>
      <c r="F32" s="2">
        <f t="shared" si="33"/>
        <v>645.40232511210752</v>
      </c>
      <c r="G32" s="2">
        <f t="shared" si="33"/>
        <v>872.71492958251361</v>
      </c>
      <c r="H32" s="2">
        <f t="shared" si="33"/>
        <v>1098.0866273907909</v>
      </c>
      <c r="I32" s="2">
        <f t="shared" si="33"/>
        <v>1322.4405819724716</v>
      </c>
      <c r="J32" s="2">
        <f t="shared" si="33"/>
        <v>1546.1986310041384</v>
      </c>
      <c r="K32" s="2">
        <f t="shared" si="33"/>
        <v>1769.5789099947531</v>
      </c>
      <c r="L32" s="2">
        <f t="shared" si="33"/>
        <v>1992.7050565907805</v>
      </c>
      <c r="M32" s="2">
        <f t="shared" si="33"/>
        <v>2215.6522200134655</v>
      </c>
      <c r="N32" s="2">
        <f t="shared" si="33"/>
        <v>2438.4686489128972</v>
      </c>
      <c r="O32" s="2">
        <f t="shared" si="33"/>
        <v>2661.1867143724676</v>
      </c>
      <c r="P32" s="2">
        <f t="shared" si="6"/>
        <v>1997.8975769541507</v>
      </c>
      <c r="R32">
        <f t="shared" si="30"/>
        <v>20</v>
      </c>
      <c r="S32" s="2">
        <f t="shared" si="35"/>
        <v>10000</v>
      </c>
      <c r="T32" s="2">
        <f t="shared" si="35"/>
        <v>20000</v>
      </c>
      <c r="U32" s="2">
        <f t="shared" si="35"/>
        <v>30000</v>
      </c>
      <c r="V32" s="2">
        <f t="shared" si="35"/>
        <v>40000</v>
      </c>
      <c r="W32" s="2">
        <f t="shared" si="35"/>
        <v>50000</v>
      </c>
      <c r="X32" s="2">
        <f t="shared" si="35"/>
        <v>60000</v>
      </c>
      <c r="Y32" s="2">
        <f t="shared" si="35"/>
        <v>70000</v>
      </c>
      <c r="Z32" s="2">
        <f t="shared" si="35"/>
        <v>80000</v>
      </c>
      <c r="AA32" s="2">
        <f t="shared" si="35"/>
        <v>90000</v>
      </c>
      <c r="AB32" s="2">
        <f t="shared" si="35"/>
        <v>100000</v>
      </c>
      <c r="AC32" s="2">
        <f t="shared" si="35"/>
        <v>110000</v>
      </c>
      <c r="AD32" s="2">
        <f t="shared" si="35"/>
        <v>120000</v>
      </c>
      <c r="AE32" s="2">
        <f t="shared" si="35"/>
        <v>90000</v>
      </c>
      <c r="AG32">
        <f t="shared" si="31"/>
        <v>20</v>
      </c>
      <c r="AH32" s="6">
        <f t="shared" si="23"/>
        <v>1.7139809640549099E-2</v>
      </c>
      <c r="AI32" s="6">
        <f t="shared" si="9"/>
        <v>2.0688545287218293E-2</v>
      </c>
      <c r="AJ32" s="6">
        <f t="shared" si="10"/>
        <v>2.151341083707025E-2</v>
      </c>
      <c r="AK32" s="6">
        <f t="shared" si="11"/>
        <v>2.181787323956284E-2</v>
      </c>
      <c r="AL32" s="6">
        <f t="shared" si="12"/>
        <v>2.1961732547815818E-2</v>
      </c>
      <c r="AM32" s="6">
        <f t="shared" si="13"/>
        <v>2.2040676366207861E-2</v>
      </c>
      <c r="AN32" s="6">
        <f t="shared" si="14"/>
        <v>2.2088551871487692E-2</v>
      </c>
      <c r="AO32" s="6">
        <f t="shared" si="15"/>
        <v>2.2119736374934414E-2</v>
      </c>
      <c r="AP32" s="6">
        <f t="shared" si="16"/>
        <v>2.2141167295453117E-2</v>
      </c>
      <c r="AQ32" s="6">
        <f t="shared" si="17"/>
        <v>2.2156522200134653E-2</v>
      </c>
      <c r="AR32" s="6">
        <f t="shared" si="18"/>
        <v>2.2167896808299066E-2</v>
      </c>
      <c r="AS32" s="6">
        <f t="shared" si="19"/>
        <v>2.2176555953103895E-2</v>
      </c>
      <c r="AT32" s="6">
        <f t="shared" si="20"/>
        <v>2.2198861966157231E-2</v>
      </c>
      <c r="AW32" s="3">
        <f t="shared" si="32"/>
        <v>400</v>
      </c>
      <c r="AX32" s="3">
        <f t="shared" si="24"/>
        <v>29</v>
      </c>
      <c r="AY32" s="3">
        <f t="shared" si="25"/>
        <v>11600</v>
      </c>
      <c r="AZ32" s="13">
        <f t="shared" si="26"/>
        <v>1.6117570779114111E-2</v>
      </c>
      <c r="BA32" s="3">
        <f t="shared" ref="BA32:BA95" si="36">AZ32*AY32</f>
        <v>186.9638210377237</v>
      </c>
      <c r="BB32" s="3">
        <f t="shared" ref="BB32:BB95" si="37">0.00015063529793*AY32^1.5</f>
        <v>188.19744998896667</v>
      </c>
      <c r="BC32" s="3">
        <f t="shared" si="21"/>
        <v>189.33732262635803</v>
      </c>
      <c r="BD32" s="3">
        <f t="shared" si="22"/>
        <v>373.77777777777777</v>
      </c>
    </row>
    <row r="33" spans="3:56" x14ac:dyDescent="0.45">
      <c r="C33">
        <f t="shared" ref="C33:C64" si="38">C32+1</f>
        <v>21</v>
      </c>
      <c r="D33" s="2">
        <f t="shared" ref="D33:O42" si="39">$C$7*BL_MBPS*BL_KM^2*D$12^3*$C33^2/((EM_KM*D$12)^2+(2*PI()*AVG_SUN_DIST_KM*$C33)^2)</f>
        <v>184.63800130178552</v>
      </c>
      <c r="E33" s="2">
        <f t="shared" si="39"/>
        <v>452.9780186383752</v>
      </c>
      <c r="F33" s="2">
        <f t="shared" si="39"/>
        <v>709.2372883548918</v>
      </c>
      <c r="G33" s="2">
        <f t="shared" si="39"/>
        <v>960.37704934996464</v>
      </c>
      <c r="H33" s="2">
        <f t="shared" si="39"/>
        <v>1209.1876573010334</v>
      </c>
      <c r="I33" s="2">
        <f t="shared" si="39"/>
        <v>1456.7708704531278</v>
      </c>
      <c r="J33" s="2">
        <f t="shared" si="39"/>
        <v>1703.6336077271962</v>
      </c>
      <c r="K33" s="2">
        <f t="shared" si="39"/>
        <v>1950.0389337219235</v>
      </c>
      <c r="L33" s="2">
        <f t="shared" si="39"/>
        <v>2196.1362645406866</v>
      </c>
      <c r="M33" s="2">
        <f t="shared" si="39"/>
        <v>2442.01654057108</v>
      </c>
      <c r="N33" s="2">
        <f t="shared" si="39"/>
        <v>2687.7382028145685</v>
      </c>
      <c r="O33" s="2">
        <f t="shared" si="39"/>
        <v>2933.3404864677696</v>
      </c>
      <c r="P33" s="2">
        <f t="shared" si="6"/>
        <v>2202.5988156456265</v>
      </c>
      <c r="R33">
        <f t="shared" ref="R33:R64" si="40">R32+1</f>
        <v>21</v>
      </c>
      <c r="S33" s="2">
        <f t="shared" si="35"/>
        <v>10500</v>
      </c>
      <c r="T33" s="2">
        <f t="shared" si="35"/>
        <v>21000</v>
      </c>
      <c r="U33" s="2">
        <f t="shared" si="35"/>
        <v>31500</v>
      </c>
      <c r="V33" s="2">
        <f t="shared" si="35"/>
        <v>42000</v>
      </c>
      <c r="W33" s="2">
        <f t="shared" si="35"/>
        <v>52500</v>
      </c>
      <c r="X33" s="2">
        <f t="shared" si="35"/>
        <v>63000</v>
      </c>
      <c r="Y33" s="2">
        <f t="shared" si="35"/>
        <v>73500</v>
      </c>
      <c r="Z33" s="2">
        <f t="shared" si="35"/>
        <v>84000</v>
      </c>
      <c r="AA33" s="2">
        <f t="shared" si="35"/>
        <v>94500</v>
      </c>
      <c r="AB33" s="2">
        <f t="shared" si="35"/>
        <v>105000</v>
      </c>
      <c r="AC33" s="2">
        <f t="shared" si="35"/>
        <v>115500</v>
      </c>
      <c r="AD33" s="2">
        <f t="shared" si="35"/>
        <v>126000</v>
      </c>
      <c r="AE33" s="2">
        <f t="shared" si="35"/>
        <v>94500</v>
      </c>
      <c r="AG33">
        <f t="shared" ref="AG33:AG64" si="41">AG32+1</f>
        <v>21</v>
      </c>
      <c r="AH33" s="6">
        <f t="shared" ref="AH33:AH64" si="42">D33/S33</f>
        <v>1.7584571552551002E-2</v>
      </c>
      <c r="AI33" s="6">
        <f t="shared" ref="AI33:AI64" si="43">E33/T33</f>
        <v>2.1570381839922628E-2</v>
      </c>
      <c r="AJ33" s="6">
        <f t="shared" ref="AJ33:AJ64" si="44">F33/U33</f>
        <v>2.2515469471583865E-2</v>
      </c>
      <c r="AK33" s="6">
        <f t="shared" ref="AK33:AK64" si="45">G33/V33</f>
        <v>2.2866120222618205E-2</v>
      </c>
      <c r="AL33" s="6">
        <f t="shared" ref="AL33:AL64" si="46">H33/W33</f>
        <v>2.3032145853353017E-2</v>
      </c>
      <c r="AM33" s="6">
        <f t="shared" ref="AM33:AM64" si="47">I33/X33</f>
        <v>2.3123347150049649E-2</v>
      </c>
      <c r="AN33" s="6">
        <f t="shared" ref="AN33:AN64" si="48">J33/Y33</f>
        <v>2.317868854050607E-2</v>
      </c>
      <c r="AO33" s="6">
        <f t="shared" ref="AO33:AO64" si="49">K33/Z33</f>
        <v>2.3214749210975279E-2</v>
      </c>
      <c r="AP33" s="6">
        <f t="shared" ref="AP33:AP64" si="50">L33/AA33</f>
        <v>2.3239537190906736E-2</v>
      </c>
      <c r="AQ33" s="6">
        <f t="shared" ref="AQ33:AQ64" si="51">M33/AB33</f>
        <v>2.3257300386391237E-2</v>
      </c>
      <c r="AR33" s="6">
        <f t="shared" ref="AR33:AR64" si="52">N33/AC33</f>
        <v>2.3270460630429163E-2</v>
      </c>
      <c r="AS33" s="6">
        <f t="shared" ref="AS33:AS64" si="53">O33/AD33</f>
        <v>2.3280480051331504E-2</v>
      </c>
      <c r="AT33" s="6">
        <f t="shared" ref="AT33:AT64" si="54">P33/AE33</f>
        <v>2.3307923975085996E-2</v>
      </c>
      <c r="AW33" s="3">
        <f t="shared" si="32"/>
        <v>420</v>
      </c>
      <c r="AX33" s="3">
        <f t="shared" si="24"/>
        <v>31</v>
      </c>
      <c r="AY33" s="3">
        <f t="shared" si="25"/>
        <v>13020</v>
      </c>
      <c r="AZ33" s="13">
        <f t="shared" si="26"/>
        <v>1.7229087427695893E-2</v>
      </c>
      <c r="BA33" s="3">
        <f t="shared" si="36"/>
        <v>224.32271830860054</v>
      </c>
      <c r="BB33" s="3">
        <f t="shared" si="37"/>
        <v>223.7913144255711</v>
      </c>
      <c r="BC33" s="3">
        <f t="shared" si="21"/>
        <v>223.15714540685204</v>
      </c>
      <c r="BD33" s="3">
        <f t="shared" si="22"/>
        <v>448.46666666666664</v>
      </c>
    </row>
    <row r="34" spans="3:56" x14ac:dyDescent="0.45">
      <c r="C34">
        <f t="shared" si="38"/>
        <v>22</v>
      </c>
      <c r="D34" s="2">
        <f t="shared" si="39"/>
        <v>197.88740239671972</v>
      </c>
      <c r="E34" s="2">
        <f t="shared" si="39"/>
        <v>493.51023026871013</v>
      </c>
      <c r="F34" s="2">
        <f t="shared" si="39"/>
        <v>775.74069463279068</v>
      </c>
      <c r="G34" s="2">
        <f t="shared" si="39"/>
        <v>1051.9654020208964</v>
      </c>
      <c r="H34" s="2">
        <f t="shared" si="39"/>
        <v>1325.4221236959299</v>
      </c>
      <c r="I34" s="2">
        <f t="shared" si="39"/>
        <v>1597.4125698604785</v>
      </c>
      <c r="J34" s="2">
        <f t="shared" si="39"/>
        <v>1868.540032121256</v>
      </c>
      <c r="K34" s="2">
        <f t="shared" si="39"/>
        <v>2139.1187632740143</v>
      </c>
      <c r="L34" s="2">
        <f t="shared" si="39"/>
        <v>2409.3276480459344</v>
      </c>
      <c r="M34" s="2">
        <f t="shared" si="39"/>
        <v>2679.2757171389326</v>
      </c>
      <c r="N34" s="2">
        <f t="shared" si="39"/>
        <v>2949.0331048379226</v>
      </c>
      <c r="O34" s="2">
        <f t="shared" si="39"/>
        <v>3218.6469294002186</v>
      </c>
      <c r="P34" s="2">
        <f t="shared" si="6"/>
        <v>2417.2775600957771</v>
      </c>
      <c r="R34">
        <f t="shared" si="40"/>
        <v>22</v>
      </c>
      <c r="S34" s="2">
        <f t="shared" si="35"/>
        <v>11000</v>
      </c>
      <c r="T34" s="2">
        <f t="shared" si="35"/>
        <v>22000</v>
      </c>
      <c r="U34" s="2">
        <f t="shared" si="35"/>
        <v>33000</v>
      </c>
      <c r="V34" s="2">
        <f t="shared" si="35"/>
        <v>44000</v>
      </c>
      <c r="W34" s="2">
        <f t="shared" si="35"/>
        <v>55000</v>
      </c>
      <c r="X34" s="2">
        <f t="shared" si="35"/>
        <v>66000</v>
      </c>
      <c r="Y34" s="2">
        <f t="shared" si="35"/>
        <v>77000</v>
      </c>
      <c r="Z34" s="2">
        <f t="shared" si="35"/>
        <v>88000</v>
      </c>
      <c r="AA34" s="2">
        <f t="shared" si="35"/>
        <v>99000</v>
      </c>
      <c r="AB34" s="2">
        <f t="shared" si="35"/>
        <v>110000</v>
      </c>
      <c r="AC34" s="2">
        <f t="shared" si="35"/>
        <v>121000</v>
      </c>
      <c r="AD34" s="2">
        <f t="shared" si="35"/>
        <v>132000</v>
      </c>
      <c r="AE34" s="2">
        <f t="shared" si="35"/>
        <v>99000</v>
      </c>
      <c r="AG34">
        <f t="shared" si="41"/>
        <v>22</v>
      </c>
      <c r="AH34" s="6">
        <f t="shared" si="42"/>
        <v>1.7989763854247248E-2</v>
      </c>
      <c r="AI34" s="6">
        <f t="shared" si="43"/>
        <v>2.2432283194032277E-2</v>
      </c>
      <c r="AJ34" s="6">
        <f t="shared" si="44"/>
        <v>2.3507293776751231E-2</v>
      </c>
      <c r="AK34" s="6">
        <f t="shared" si="45"/>
        <v>2.3908304591384009E-2</v>
      </c>
      <c r="AL34" s="6">
        <f t="shared" si="46"/>
        <v>2.4098584067198725E-2</v>
      </c>
      <c r="AM34" s="6">
        <f t="shared" si="47"/>
        <v>2.4203220755461795E-2</v>
      </c>
      <c r="AN34" s="6">
        <f t="shared" si="48"/>
        <v>2.4266753663912417E-2</v>
      </c>
      <c r="AO34" s="6">
        <f t="shared" si="49"/>
        <v>2.4308167764477435E-2</v>
      </c>
      <c r="AP34" s="6">
        <f t="shared" si="50"/>
        <v>2.4336642909554892E-2</v>
      </c>
      <c r="AQ34" s="6">
        <f t="shared" si="51"/>
        <v>2.4357051973990296E-2</v>
      </c>
      <c r="AR34" s="6">
        <f t="shared" si="52"/>
        <v>2.4372174420148121E-2</v>
      </c>
      <c r="AS34" s="6">
        <f t="shared" si="53"/>
        <v>2.4383688859092565E-2</v>
      </c>
      <c r="AT34" s="6">
        <f t="shared" si="54"/>
        <v>2.4416945051472495E-2</v>
      </c>
      <c r="AW34" s="3">
        <f t="shared" si="32"/>
        <v>440</v>
      </c>
      <c r="AX34" s="3">
        <f t="shared" si="24"/>
        <v>32</v>
      </c>
      <c r="AY34" s="3">
        <f t="shared" si="25"/>
        <v>14080</v>
      </c>
      <c r="AZ34" s="13">
        <f t="shared" si="26"/>
        <v>1.7784845751986782E-2</v>
      </c>
      <c r="BA34" s="3">
        <f t="shared" si="36"/>
        <v>250.41062818797388</v>
      </c>
      <c r="BB34" s="3">
        <f t="shared" si="37"/>
        <v>251.66958499283737</v>
      </c>
      <c r="BC34" s="3">
        <f t="shared" si="21"/>
        <v>252.80709810635307</v>
      </c>
      <c r="BD34" s="3">
        <f t="shared" si="22"/>
        <v>500.62222222222221</v>
      </c>
    </row>
    <row r="35" spans="3:56" x14ac:dyDescent="0.45">
      <c r="C35">
        <f t="shared" si="38"/>
        <v>23</v>
      </c>
      <c r="D35" s="2">
        <f t="shared" si="39"/>
        <v>211.10331591149014</v>
      </c>
      <c r="E35" s="2">
        <f t="shared" si="39"/>
        <v>535.2976427789871</v>
      </c>
      <c r="F35" s="2">
        <f t="shared" si="39"/>
        <v>844.85387972840385</v>
      </c>
      <c r="G35" s="2">
        <f t="shared" si="39"/>
        <v>1147.4322305359128</v>
      </c>
      <c r="H35" s="2">
        <f t="shared" si="39"/>
        <v>1446.7503328446057</v>
      </c>
      <c r="I35" s="2">
        <f t="shared" si="39"/>
        <v>1744.3319058848392</v>
      </c>
      <c r="J35" s="2">
        <f t="shared" si="39"/>
        <v>2040.888588170139</v>
      </c>
      <c r="K35" s="2">
        <f t="shared" si="39"/>
        <v>2336.7925365019541</v>
      </c>
      <c r="L35" s="2">
        <f t="shared" si="39"/>
        <v>2632.2560891688458</v>
      </c>
      <c r="M35" s="2">
        <f t="shared" si="39"/>
        <v>2927.4088598445815</v>
      </c>
      <c r="N35" s="2">
        <f t="shared" si="39"/>
        <v>3222.334307650844</v>
      </c>
      <c r="O35" s="2">
        <f t="shared" si="39"/>
        <v>3517.0885435804994</v>
      </c>
      <c r="P35" s="2">
        <f t="shared" si="6"/>
        <v>2641.933450566155</v>
      </c>
      <c r="R35">
        <f t="shared" si="40"/>
        <v>23</v>
      </c>
      <c r="S35" s="2">
        <f t="shared" si="35"/>
        <v>11500</v>
      </c>
      <c r="T35" s="2">
        <f t="shared" si="35"/>
        <v>23000</v>
      </c>
      <c r="U35" s="2">
        <f t="shared" si="35"/>
        <v>34500</v>
      </c>
      <c r="V35" s="2">
        <f t="shared" si="35"/>
        <v>46000</v>
      </c>
      <c r="W35" s="2">
        <f t="shared" si="35"/>
        <v>57500</v>
      </c>
      <c r="X35" s="2">
        <f t="shared" si="35"/>
        <v>69000</v>
      </c>
      <c r="Y35" s="2">
        <f t="shared" si="35"/>
        <v>80500</v>
      </c>
      <c r="Z35" s="2">
        <f t="shared" si="35"/>
        <v>92000</v>
      </c>
      <c r="AA35" s="2">
        <f t="shared" si="35"/>
        <v>103500</v>
      </c>
      <c r="AB35" s="2">
        <f t="shared" si="35"/>
        <v>115000</v>
      </c>
      <c r="AC35" s="2">
        <f t="shared" si="35"/>
        <v>126500</v>
      </c>
      <c r="AD35" s="2">
        <f t="shared" si="35"/>
        <v>138000</v>
      </c>
      <c r="AE35" s="2">
        <f t="shared" si="35"/>
        <v>103500</v>
      </c>
      <c r="AG35">
        <f t="shared" si="41"/>
        <v>23</v>
      </c>
      <c r="AH35" s="6">
        <f t="shared" si="42"/>
        <v>1.8356810079260013E-2</v>
      </c>
      <c r="AI35" s="6">
        <f t="shared" si="43"/>
        <v>2.3273810555608135E-2</v>
      </c>
      <c r="AJ35" s="6">
        <f t="shared" si="44"/>
        <v>2.4488518252997214E-2</v>
      </c>
      <c r="AK35" s="6">
        <f t="shared" si="45"/>
        <v>2.4944178924693756E-2</v>
      </c>
      <c r="AL35" s="6">
        <f t="shared" si="46"/>
        <v>2.516087535381923E-2</v>
      </c>
      <c r="AM35" s="6">
        <f t="shared" si="47"/>
        <v>2.5280172549055641E-2</v>
      </c>
      <c r="AN35" s="6">
        <f t="shared" si="48"/>
        <v>2.5352653269194274E-2</v>
      </c>
      <c r="AO35" s="6">
        <f t="shared" si="49"/>
        <v>2.539991887502124E-2</v>
      </c>
      <c r="AP35" s="6">
        <f t="shared" si="50"/>
        <v>2.5432425982307688E-2</v>
      </c>
      <c r="AQ35" s="6">
        <f t="shared" si="51"/>
        <v>2.5455729216039839E-2</v>
      </c>
      <c r="AR35" s="6">
        <f t="shared" si="52"/>
        <v>2.5472998479453314E-2</v>
      </c>
      <c r="AS35" s="6">
        <f t="shared" si="53"/>
        <v>2.5486148866525359E-2</v>
      </c>
      <c r="AT35" s="6">
        <f t="shared" si="54"/>
        <v>2.5525927058610193E-2</v>
      </c>
      <c r="AW35" s="3">
        <f t="shared" si="32"/>
        <v>460</v>
      </c>
      <c r="AX35" s="3">
        <f t="shared" si="24"/>
        <v>34</v>
      </c>
      <c r="AY35" s="3">
        <f t="shared" si="25"/>
        <v>15640</v>
      </c>
      <c r="AZ35" s="13">
        <f t="shared" si="26"/>
        <v>1.8896362400568564E-2</v>
      </c>
      <c r="BA35" s="3">
        <f t="shared" si="36"/>
        <v>295.53910794489235</v>
      </c>
      <c r="BB35" s="3">
        <f t="shared" si="37"/>
        <v>294.63332970752288</v>
      </c>
      <c r="BC35" s="3">
        <f t="shared" si="21"/>
        <v>293.59033552267363</v>
      </c>
      <c r="BD35" s="3">
        <f t="shared" si="22"/>
        <v>590.84444444444443</v>
      </c>
    </row>
    <row r="36" spans="3:56" x14ac:dyDescent="0.45">
      <c r="C36">
        <f t="shared" si="38"/>
        <v>24</v>
      </c>
      <c r="D36" s="2">
        <f t="shared" si="39"/>
        <v>224.24689687259198</v>
      </c>
      <c r="E36" s="2">
        <f t="shared" si="39"/>
        <v>578.26989607587689</v>
      </c>
      <c r="F36" s="2">
        <f t="shared" si="39"/>
        <v>916.5165286280386</v>
      </c>
      <c r="G36" s="2">
        <f t="shared" si="39"/>
        <v>1246.7280568145873</v>
      </c>
      <c r="H36" s="2">
        <f t="shared" si="39"/>
        <v>1573.1310126143035</v>
      </c>
      <c r="I36" s="2">
        <f t="shared" si="39"/>
        <v>1897.4936921312867</v>
      </c>
      <c r="J36" s="2">
        <f t="shared" si="39"/>
        <v>2220.6486978181078</v>
      </c>
      <c r="K36" s="2">
        <f t="shared" si="39"/>
        <v>2543.0332570155233</v>
      </c>
      <c r="L36" s="2">
        <f t="shared" si="39"/>
        <v>2864.8974432519408</v>
      </c>
      <c r="M36" s="2">
        <f t="shared" si="39"/>
        <v>3186.3941427413447</v>
      </c>
      <c r="N36" s="2">
        <f t="shared" si="39"/>
        <v>3507.6219047996601</v>
      </c>
      <c r="O36" s="2">
        <f t="shared" si="39"/>
        <v>3828.6470361832676</v>
      </c>
      <c r="P36" s="2">
        <f t="shared" si="6"/>
        <v>2876.5661433350097</v>
      </c>
      <c r="R36">
        <f t="shared" si="40"/>
        <v>24</v>
      </c>
      <c r="S36" s="2">
        <f t="shared" si="35"/>
        <v>12000</v>
      </c>
      <c r="T36" s="2">
        <f t="shared" si="35"/>
        <v>24000</v>
      </c>
      <c r="U36" s="2">
        <f t="shared" si="35"/>
        <v>36000</v>
      </c>
      <c r="V36" s="2">
        <f t="shared" si="35"/>
        <v>48000</v>
      </c>
      <c r="W36" s="2">
        <f t="shared" si="35"/>
        <v>60000</v>
      </c>
      <c r="X36" s="2">
        <f t="shared" si="35"/>
        <v>72000</v>
      </c>
      <c r="Y36" s="2">
        <f t="shared" si="35"/>
        <v>84000</v>
      </c>
      <c r="Z36" s="2">
        <f t="shared" si="35"/>
        <v>96000</v>
      </c>
      <c r="AA36" s="2">
        <f t="shared" si="35"/>
        <v>108000</v>
      </c>
      <c r="AB36" s="2">
        <f t="shared" si="35"/>
        <v>120000</v>
      </c>
      <c r="AC36" s="2">
        <f t="shared" si="35"/>
        <v>132000</v>
      </c>
      <c r="AD36" s="2">
        <f t="shared" si="35"/>
        <v>144000</v>
      </c>
      <c r="AE36" s="2">
        <f t="shared" si="35"/>
        <v>108000</v>
      </c>
      <c r="AG36">
        <f t="shared" si="41"/>
        <v>24</v>
      </c>
      <c r="AH36" s="6">
        <f t="shared" si="42"/>
        <v>1.868724140604933E-2</v>
      </c>
      <c r="AI36" s="6">
        <f t="shared" si="43"/>
        <v>2.4094579003161538E-2</v>
      </c>
      <c r="AJ36" s="6">
        <f t="shared" si="44"/>
        <v>2.5458792461889961E-2</v>
      </c>
      <c r="AK36" s="6">
        <f t="shared" si="45"/>
        <v>2.5973501183637233E-2</v>
      </c>
      <c r="AL36" s="6">
        <f t="shared" si="46"/>
        <v>2.6218850210238391E-2</v>
      </c>
      <c r="AM36" s="6">
        <f t="shared" si="47"/>
        <v>2.6354079057378983E-2</v>
      </c>
      <c r="AN36" s="6">
        <f t="shared" si="48"/>
        <v>2.643629402164414E-2</v>
      </c>
      <c r="AO36" s="6">
        <f t="shared" si="49"/>
        <v>2.6489929760578367E-2</v>
      </c>
      <c r="AP36" s="6">
        <f t="shared" si="50"/>
        <v>2.6526828178258712E-2</v>
      </c>
      <c r="AQ36" s="6">
        <f t="shared" si="51"/>
        <v>2.6553284522844538E-2</v>
      </c>
      <c r="AR36" s="6">
        <f t="shared" si="52"/>
        <v>2.6572893218179242E-2</v>
      </c>
      <c r="AS36" s="6">
        <f t="shared" si="53"/>
        <v>2.6587826640161582E-2</v>
      </c>
      <c r="AT36" s="6">
        <f t="shared" si="54"/>
        <v>2.6634871697546386E-2</v>
      </c>
      <c r="AW36" s="3">
        <f t="shared" si="32"/>
        <v>480</v>
      </c>
      <c r="AX36" s="3">
        <f t="shared" si="24"/>
        <v>35</v>
      </c>
      <c r="AY36" s="3">
        <f t="shared" si="25"/>
        <v>16800</v>
      </c>
      <c r="AZ36" s="13">
        <f t="shared" si="26"/>
        <v>1.9452120724859454E-2</v>
      </c>
      <c r="BA36" s="3">
        <f t="shared" si="36"/>
        <v>326.79562817763883</v>
      </c>
      <c r="BB36" s="3">
        <f t="shared" si="37"/>
        <v>328.01271078634619</v>
      </c>
      <c r="BC36" s="3">
        <f t="shared" si="21"/>
        <v>329.07451172982888</v>
      </c>
      <c r="BD36" s="3">
        <f t="shared" si="22"/>
        <v>653.33333333333337</v>
      </c>
    </row>
    <row r="37" spans="3:56" x14ac:dyDescent="0.45">
      <c r="C37">
        <f t="shared" si="38"/>
        <v>25</v>
      </c>
      <c r="D37" s="2">
        <f t="shared" si="39"/>
        <v>237.28336092763467</v>
      </c>
      <c r="E37" s="2">
        <f t="shared" si="39"/>
        <v>622.35641882639641</v>
      </c>
      <c r="F37" s="2">
        <f t="shared" si="39"/>
        <v>990.66679911440156</v>
      </c>
      <c r="G37" s="2">
        <f t="shared" si="39"/>
        <v>1349.8017437501601</v>
      </c>
      <c r="H37" s="2">
        <f t="shared" si="39"/>
        <v>1704.5213468408472</v>
      </c>
      <c r="I37" s="2">
        <f t="shared" si="39"/>
        <v>2056.8613508861722</v>
      </c>
      <c r="J37" s="2">
        <f t="shared" si="39"/>
        <v>2407.7885343912099</v>
      </c>
      <c r="K37" s="2">
        <f t="shared" si="39"/>
        <v>2757.8128033272319</v>
      </c>
      <c r="L37" s="2">
        <f t="shared" si="39"/>
        <v>3107.2265454144754</v>
      </c>
      <c r="M37" s="2">
        <f t="shared" si="39"/>
        <v>3456.2088085835026</v>
      </c>
      <c r="N37" s="2">
        <f t="shared" si="39"/>
        <v>3804.8751343187696</v>
      </c>
      <c r="O37" s="2">
        <f t="shared" si="39"/>
        <v>4153.3033239404158</v>
      </c>
      <c r="P37" s="2">
        <f t="shared" si="6"/>
        <v>3121.1753093317161</v>
      </c>
      <c r="R37">
        <f t="shared" si="40"/>
        <v>25</v>
      </c>
      <c r="S37" s="2">
        <f t="shared" si="35"/>
        <v>12500</v>
      </c>
      <c r="T37" s="2">
        <f t="shared" si="35"/>
        <v>25000</v>
      </c>
      <c r="U37" s="2">
        <f t="shared" si="35"/>
        <v>37500</v>
      </c>
      <c r="V37" s="2">
        <f t="shared" si="35"/>
        <v>50000</v>
      </c>
      <c r="W37" s="2">
        <f t="shared" si="35"/>
        <v>62500</v>
      </c>
      <c r="X37" s="2">
        <f t="shared" si="35"/>
        <v>75000</v>
      </c>
      <c r="Y37" s="2">
        <f t="shared" si="35"/>
        <v>87500</v>
      </c>
      <c r="Z37" s="2">
        <f t="shared" si="35"/>
        <v>100000</v>
      </c>
      <c r="AA37" s="2">
        <f t="shared" si="35"/>
        <v>112500</v>
      </c>
      <c r="AB37" s="2">
        <f t="shared" si="35"/>
        <v>125000</v>
      </c>
      <c r="AC37" s="2">
        <f t="shared" si="35"/>
        <v>137500</v>
      </c>
      <c r="AD37" s="2">
        <f t="shared" si="35"/>
        <v>150000</v>
      </c>
      <c r="AE37" s="2">
        <f t="shared" si="35"/>
        <v>112500</v>
      </c>
      <c r="AG37">
        <f t="shared" si="41"/>
        <v>25</v>
      </c>
      <c r="AH37" s="6">
        <f t="shared" si="42"/>
        <v>1.8982668874210774E-2</v>
      </c>
      <c r="AI37" s="6">
        <f t="shared" si="43"/>
        <v>2.4894256753055857E-2</v>
      </c>
      <c r="AJ37" s="6">
        <f t="shared" si="44"/>
        <v>2.6417781309717375E-2</v>
      </c>
      <c r="AK37" s="6">
        <f t="shared" si="45"/>
        <v>2.69960348750032E-2</v>
      </c>
      <c r="AL37" s="6">
        <f t="shared" si="46"/>
        <v>2.7272341549453554E-2</v>
      </c>
      <c r="AM37" s="6">
        <f t="shared" si="47"/>
        <v>2.7424818011815628E-2</v>
      </c>
      <c r="AN37" s="6">
        <f t="shared" si="48"/>
        <v>2.7517583250185256E-2</v>
      </c>
      <c r="AO37" s="6">
        <f t="shared" si="49"/>
        <v>2.7578128033272319E-2</v>
      </c>
      <c r="AP37" s="6">
        <f t="shared" si="50"/>
        <v>2.7619791514795336E-2</v>
      </c>
      <c r="AQ37" s="6">
        <f t="shared" si="51"/>
        <v>2.7649670468668019E-2</v>
      </c>
      <c r="AR37" s="6">
        <f t="shared" si="52"/>
        <v>2.767181915868196E-2</v>
      </c>
      <c r="AS37" s="6">
        <f t="shared" si="53"/>
        <v>2.7688688826269438E-2</v>
      </c>
      <c r="AT37" s="6">
        <f t="shared" si="54"/>
        <v>2.7743780527393031E-2</v>
      </c>
      <c r="AW37" s="3">
        <f t="shared" si="32"/>
        <v>500</v>
      </c>
      <c r="AX37" s="3">
        <f t="shared" si="24"/>
        <v>37</v>
      </c>
      <c r="AY37" s="3">
        <f t="shared" si="25"/>
        <v>18500</v>
      </c>
      <c r="AZ37" s="13">
        <f t="shared" si="26"/>
        <v>2.0563637373441235E-2</v>
      </c>
      <c r="BA37" s="3">
        <f t="shared" si="36"/>
        <v>380.42729140866288</v>
      </c>
      <c r="BB37" s="3">
        <f t="shared" si="37"/>
        <v>379.03938903835183</v>
      </c>
      <c r="BC37" s="3">
        <f t="shared" si="21"/>
        <v>377.4726073892067</v>
      </c>
      <c r="BD37" s="3">
        <f t="shared" si="22"/>
        <v>760.55555555555554</v>
      </c>
    </row>
    <row r="38" spans="3:56" x14ac:dyDescent="0.45">
      <c r="C38">
        <f t="shared" si="38"/>
        <v>26</v>
      </c>
      <c r="D38" s="2">
        <f t="shared" si="39"/>
        <v>250.18185665881765</v>
      </c>
      <c r="E38" s="2">
        <f t="shared" si="39"/>
        <v>667.48666908957443</v>
      </c>
      <c r="F38" s="2">
        <f t="shared" si="39"/>
        <v>1067.2414462725258</v>
      </c>
      <c r="G38" s="2">
        <f t="shared" si="39"/>
        <v>1456.6005586715087</v>
      </c>
      <c r="H38" s="2">
        <f t="shared" si="39"/>
        <v>1840.8770107698908</v>
      </c>
      <c r="I38" s="2">
        <f t="shared" si="39"/>
        <v>2222.3969346149333</v>
      </c>
      <c r="J38" s="2">
        <f t="shared" si="39"/>
        <v>2602.275036524115</v>
      </c>
      <c r="K38" s="2">
        <f t="shared" si="39"/>
        <v>2981.1019383551193</v>
      </c>
      <c r="L38" s="2">
        <f t="shared" si="39"/>
        <v>3359.2172173110707</v>
      </c>
      <c r="M38" s="2">
        <f t="shared" si="39"/>
        <v>3736.8291737978575</v>
      </c>
      <c r="N38" s="2">
        <f t="shared" si="39"/>
        <v>4114.0723824907927</v>
      </c>
      <c r="O38" s="2">
        <f t="shared" si="39"/>
        <v>4491.0375360520356</v>
      </c>
      <c r="P38" s="2">
        <f t="shared" si="6"/>
        <v>3375.7606329387577</v>
      </c>
      <c r="R38">
        <f t="shared" si="40"/>
        <v>26</v>
      </c>
      <c r="S38" s="2">
        <f t="shared" si="35"/>
        <v>13000</v>
      </c>
      <c r="T38" s="2">
        <f t="shared" si="35"/>
        <v>26000</v>
      </c>
      <c r="U38" s="2">
        <f t="shared" si="35"/>
        <v>39000</v>
      </c>
      <c r="V38" s="2">
        <f t="shared" si="35"/>
        <v>52000</v>
      </c>
      <c r="W38" s="2">
        <f t="shared" si="35"/>
        <v>65000</v>
      </c>
      <c r="X38" s="2">
        <f t="shared" si="35"/>
        <v>78000</v>
      </c>
      <c r="Y38" s="2">
        <f t="shared" si="35"/>
        <v>91000</v>
      </c>
      <c r="Z38" s="2">
        <f t="shared" si="35"/>
        <v>104000</v>
      </c>
      <c r="AA38" s="2">
        <f t="shared" si="35"/>
        <v>117000</v>
      </c>
      <c r="AB38" s="2">
        <f t="shared" si="35"/>
        <v>130000</v>
      </c>
      <c r="AC38" s="2">
        <f t="shared" si="35"/>
        <v>143000</v>
      </c>
      <c r="AD38" s="2">
        <f t="shared" si="35"/>
        <v>156000</v>
      </c>
      <c r="AE38" s="2">
        <f t="shared" si="35"/>
        <v>117000</v>
      </c>
      <c r="AG38">
        <f t="shared" si="41"/>
        <v>26</v>
      </c>
      <c r="AH38" s="6">
        <f t="shared" si="42"/>
        <v>1.9244758204524436E-2</v>
      </c>
      <c r="AI38" s="6">
        <f t="shared" si="43"/>
        <v>2.5672564195752864E-2</v>
      </c>
      <c r="AJ38" s="6">
        <f t="shared" si="44"/>
        <v>2.7365165289039123E-2</v>
      </c>
      <c r="AK38" s="6">
        <f t="shared" si="45"/>
        <v>2.8011549205221319E-2</v>
      </c>
      <c r="AL38" s="6">
        <f t="shared" si="46"/>
        <v>2.8321184781075242E-2</v>
      </c>
      <c r="AM38" s="6">
        <f t="shared" si="47"/>
        <v>2.8492268392499145E-2</v>
      </c>
      <c r="AN38" s="6">
        <f t="shared" si="48"/>
        <v>2.8596428972792472E-2</v>
      </c>
      <c r="AO38" s="6">
        <f t="shared" si="49"/>
        <v>2.8664441714953071E-2</v>
      </c>
      <c r="AP38" s="6">
        <f t="shared" si="50"/>
        <v>2.8711258267615988E-2</v>
      </c>
      <c r="AQ38" s="6">
        <f t="shared" si="51"/>
        <v>2.8744839798445058E-2</v>
      </c>
      <c r="AR38" s="6">
        <f t="shared" si="52"/>
        <v>2.8769736940495054E-2</v>
      </c>
      <c r="AS38" s="6">
        <f t="shared" si="53"/>
        <v>2.8788702154179717E-2</v>
      </c>
      <c r="AT38" s="6">
        <f t="shared" si="54"/>
        <v>2.8852654982382545E-2</v>
      </c>
      <c r="AW38" s="3">
        <f t="shared" si="32"/>
        <v>520</v>
      </c>
      <c r="AX38" s="3">
        <f t="shared" si="24"/>
        <v>38</v>
      </c>
      <c r="AY38" s="3">
        <f t="shared" si="25"/>
        <v>19760</v>
      </c>
      <c r="AZ38" s="13">
        <f t="shared" si="26"/>
        <v>2.1119395697732125E-2</v>
      </c>
      <c r="BA38" s="3">
        <f t="shared" si="36"/>
        <v>417.3192589871868</v>
      </c>
      <c r="BB38" s="3">
        <f t="shared" si="37"/>
        <v>418.41491879734787</v>
      </c>
      <c r="BC38" s="3">
        <f t="shared" si="21"/>
        <v>419.31460712027763</v>
      </c>
      <c r="BD38" s="3">
        <f t="shared" si="22"/>
        <v>834.31111111111113</v>
      </c>
    </row>
    <row r="39" spans="3:56" x14ac:dyDescent="0.45">
      <c r="C39">
        <f t="shared" si="38"/>
        <v>27</v>
      </c>
      <c r="D39" s="2">
        <f t="shared" si="39"/>
        <v>262.91529881255207</v>
      </c>
      <c r="E39" s="2">
        <f t="shared" si="39"/>
        <v>713.5903634891838</v>
      </c>
      <c r="F39" s="2">
        <f t="shared" si="39"/>
        <v>1146.1759474792598</v>
      </c>
      <c r="G39" s="2">
        <f t="shared" si="39"/>
        <v>1567.0702381312897</v>
      </c>
      <c r="H39" s="2">
        <f t="shared" si="39"/>
        <v>1982.1522075155196</v>
      </c>
      <c r="I39" s="2">
        <f t="shared" si="39"/>
        <v>2394.0611481680126</v>
      </c>
      <c r="J39" s="2">
        <f t="shared" si="39"/>
        <v>2804.0739225812049</v>
      </c>
      <c r="K39" s="2">
        <f t="shared" si="39"/>
        <v>3212.8703192785333</v>
      </c>
      <c r="L39" s="2">
        <f t="shared" si="39"/>
        <v>3620.8422741490558</v>
      </c>
      <c r="M39" s="2">
        <f t="shared" si="39"/>
        <v>4028.2306336496495</v>
      </c>
      <c r="N39" s="2">
        <f t="shared" si="39"/>
        <v>4435.1911877559724</v>
      </c>
      <c r="O39" s="2">
        <f t="shared" si="39"/>
        <v>4841.8290172142597</v>
      </c>
      <c r="P39" s="2">
        <f t="shared" si="6"/>
        <v>3640.3218109349</v>
      </c>
      <c r="R39">
        <f t="shared" si="40"/>
        <v>27</v>
      </c>
      <c r="S39" s="2">
        <f t="shared" si="35"/>
        <v>13500</v>
      </c>
      <c r="T39" s="2">
        <f t="shared" si="35"/>
        <v>27000</v>
      </c>
      <c r="U39" s="2">
        <f t="shared" si="35"/>
        <v>40500</v>
      </c>
      <c r="V39" s="2">
        <f t="shared" si="35"/>
        <v>54000</v>
      </c>
      <c r="W39" s="2">
        <f t="shared" si="35"/>
        <v>67500</v>
      </c>
      <c r="X39" s="2">
        <f t="shared" si="35"/>
        <v>81000</v>
      </c>
      <c r="Y39" s="2">
        <f t="shared" si="35"/>
        <v>94500</v>
      </c>
      <c r="Z39" s="2">
        <f t="shared" si="35"/>
        <v>108000</v>
      </c>
      <c r="AA39" s="2">
        <f t="shared" si="35"/>
        <v>121500</v>
      </c>
      <c r="AB39" s="2">
        <f t="shared" si="35"/>
        <v>135000</v>
      </c>
      <c r="AC39" s="2">
        <f t="shared" si="35"/>
        <v>148500</v>
      </c>
      <c r="AD39" s="2">
        <f t="shared" si="35"/>
        <v>162000</v>
      </c>
      <c r="AE39" s="2">
        <f t="shared" si="35"/>
        <v>121500</v>
      </c>
      <c r="AG39">
        <f t="shared" si="41"/>
        <v>27</v>
      </c>
      <c r="AH39" s="6">
        <f t="shared" si="42"/>
        <v>1.9475207319448302E-2</v>
      </c>
      <c r="AI39" s="6">
        <f t="shared" si="43"/>
        <v>2.6429272721821623E-2</v>
      </c>
      <c r="AJ39" s="6">
        <f t="shared" si="44"/>
        <v>2.8300640678500241E-2</v>
      </c>
      <c r="AK39" s="6">
        <f t="shared" si="45"/>
        <v>2.9019819224653513E-2</v>
      </c>
      <c r="AL39" s="6">
        <f t="shared" si="46"/>
        <v>2.9365217889118809E-2</v>
      </c>
      <c r="AM39" s="6">
        <f t="shared" si="47"/>
        <v>2.9556310471210032E-2</v>
      </c>
      <c r="AN39" s="6">
        <f t="shared" si="48"/>
        <v>2.9672739921494232E-2</v>
      </c>
      <c r="AO39" s="6">
        <f t="shared" si="49"/>
        <v>2.9748799252579013E-2</v>
      </c>
      <c r="AP39" s="6">
        <f t="shared" si="50"/>
        <v>2.9801170980650667E-2</v>
      </c>
      <c r="AQ39" s="6">
        <f t="shared" si="51"/>
        <v>2.9838745434441847E-2</v>
      </c>
      <c r="AR39" s="6">
        <f t="shared" si="52"/>
        <v>2.9866607324956041E-2</v>
      </c>
      <c r="AS39" s="6">
        <f t="shared" si="53"/>
        <v>2.9887833439594197E-2</v>
      </c>
      <c r="AT39" s="6">
        <f t="shared" si="54"/>
        <v>2.9961496386295472E-2</v>
      </c>
      <c r="AW39" s="3">
        <f t="shared" si="32"/>
        <v>540</v>
      </c>
      <c r="AX39" s="3">
        <f t="shared" si="24"/>
        <v>40</v>
      </c>
      <c r="AY39" s="3">
        <f t="shared" si="25"/>
        <v>21600</v>
      </c>
      <c r="AZ39" s="13">
        <f t="shared" si="26"/>
        <v>2.2230912346313907E-2</v>
      </c>
      <c r="BA39" s="3">
        <f t="shared" si="36"/>
        <v>480.18770668038036</v>
      </c>
      <c r="BB39" s="3">
        <f t="shared" si="37"/>
        <v>478.19758386608805</v>
      </c>
      <c r="BC39" s="3">
        <f t="shared" si="21"/>
        <v>475.97900484696311</v>
      </c>
      <c r="BD39" s="3">
        <f t="shared" si="22"/>
        <v>960</v>
      </c>
    </row>
    <row r="40" spans="3:56" x14ac:dyDescent="0.45">
      <c r="C40">
        <f t="shared" si="38"/>
        <v>28</v>
      </c>
      <c r="D40" s="2">
        <f t="shared" si="39"/>
        <v>275.46017201418886</v>
      </c>
      <c r="E40" s="2">
        <f t="shared" si="39"/>
        <v>760.59769400602306</v>
      </c>
      <c r="F40" s="2">
        <f t="shared" si="39"/>
        <v>1227.4046274573161</v>
      </c>
      <c r="G40" s="2">
        <f t="shared" si="39"/>
        <v>1681.1550538782619</v>
      </c>
      <c r="H40" s="2">
        <f t="shared" si="39"/>
        <v>2128.2997054817183</v>
      </c>
      <c r="I40" s="2">
        <f t="shared" si="39"/>
        <v>2571.8133716710549</v>
      </c>
      <c r="J40" s="2">
        <f t="shared" si="39"/>
        <v>3013.1497055603304</v>
      </c>
      <c r="K40" s="2">
        <f t="shared" si="39"/>
        <v>3453.086507740747</v>
      </c>
      <c r="L40" s="2">
        <f t="shared" si="39"/>
        <v>3892.0735319610444</v>
      </c>
      <c r="M40" s="2">
        <f t="shared" si="39"/>
        <v>4330.3876676007176</v>
      </c>
      <c r="N40" s="2">
        <f t="shared" si="39"/>
        <v>4768.2082447694993</v>
      </c>
      <c r="O40" s="2">
        <f t="shared" si="39"/>
        <v>5205.6563307631086</v>
      </c>
      <c r="P40" s="2">
        <f t="shared" si="6"/>
        <v>3914.8585515582522</v>
      </c>
      <c r="R40">
        <f t="shared" si="40"/>
        <v>28</v>
      </c>
      <c r="S40" s="2">
        <f t="shared" si="35"/>
        <v>14000</v>
      </c>
      <c r="T40" s="2">
        <f t="shared" si="35"/>
        <v>28000</v>
      </c>
      <c r="U40" s="2">
        <f t="shared" si="35"/>
        <v>42000</v>
      </c>
      <c r="V40" s="2">
        <f t="shared" si="35"/>
        <v>56000</v>
      </c>
      <c r="W40" s="2">
        <f t="shared" si="35"/>
        <v>70000</v>
      </c>
      <c r="X40" s="2">
        <f t="shared" si="35"/>
        <v>84000</v>
      </c>
      <c r="Y40" s="2">
        <f t="shared" si="35"/>
        <v>98000</v>
      </c>
      <c r="Z40" s="2">
        <f t="shared" si="35"/>
        <v>112000</v>
      </c>
      <c r="AA40" s="2">
        <f t="shared" si="35"/>
        <v>126000</v>
      </c>
      <c r="AB40" s="2">
        <f t="shared" si="35"/>
        <v>140000</v>
      </c>
      <c r="AC40" s="2">
        <f t="shared" si="35"/>
        <v>154000</v>
      </c>
      <c r="AD40" s="2">
        <f t="shared" si="35"/>
        <v>168000</v>
      </c>
      <c r="AE40" s="2">
        <f t="shared" si="35"/>
        <v>126000</v>
      </c>
      <c r="AG40">
        <f t="shared" si="41"/>
        <v>28</v>
      </c>
      <c r="AH40" s="6">
        <f t="shared" si="42"/>
        <v>1.967572657244206E-2</v>
      </c>
      <c r="AI40" s="6">
        <f t="shared" si="43"/>
        <v>2.7164203357357967E-2</v>
      </c>
      <c r="AJ40" s="6">
        <f t="shared" si="44"/>
        <v>2.9223919701364669E-2</v>
      </c>
      <c r="AK40" s="6">
        <f t="shared" si="45"/>
        <v>3.0020625962111819E-2</v>
      </c>
      <c r="AL40" s="6">
        <f t="shared" si="46"/>
        <v>3.0404281506881691E-2</v>
      </c>
      <c r="AM40" s="6">
        <f t="shared" si="47"/>
        <v>3.0616825853226844E-2</v>
      </c>
      <c r="AN40" s="6">
        <f t="shared" si="48"/>
        <v>3.0746425566942147E-2</v>
      </c>
      <c r="AO40" s="6">
        <f t="shared" si="49"/>
        <v>3.0831129533399528E-2</v>
      </c>
      <c r="AP40" s="6">
        <f t="shared" si="50"/>
        <v>3.0889472475881304E-2</v>
      </c>
      <c r="AQ40" s="6">
        <f t="shared" si="51"/>
        <v>3.0931340482862269E-2</v>
      </c>
      <c r="AR40" s="6">
        <f t="shared" si="52"/>
        <v>3.0962391199801945E-2</v>
      </c>
      <c r="AS40" s="6">
        <f t="shared" si="53"/>
        <v>3.0986049587875646E-2</v>
      </c>
      <c r="AT40" s="6">
        <f t="shared" si="54"/>
        <v>3.1070305964748034E-2</v>
      </c>
      <c r="AW40" s="3">
        <f t="shared" si="32"/>
        <v>560</v>
      </c>
      <c r="AX40" s="3">
        <f t="shared" si="24"/>
        <v>41</v>
      </c>
      <c r="AY40" s="3">
        <f t="shared" si="25"/>
        <v>22960</v>
      </c>
      <c r="AZ40" s="13">
        <f t="shared" si="26"/>
        <v>2.2786670670604796E-2</v>
      </c>
      <c r="BA40" s="3">
        <f t="shared" si="36"/>
        <v>523.18195859708612</v>
      </c>
      <c r="BB40" s="3">
        <f t="shared" si="37"/>
        <v>524.06430045984382</v>
      </c>
      <c r="BC40" s="3">
        <f t="shared" si="21"/>
        <v>524.70242796799812</v>
      </c>
      <c r="BD40" s="3">
        <f t="shared" si="22"/>
        <v>1045.9555555555555</v>
      </c>
    </row>
    <row r="41" spans="3:56" x14ac:dyDescent="0.45">
      <c r="C41">
        <f t="shared" si="38"/>
        <v>29</v>
      </c>
      <c r="D41" s="2">
        <f t="shared" si="39"/>
        <v>287.79631354375317</v>
      </c>
      <c r="E41" s="2">
        <f t="shared" si="39"/>
        <v>808.43953163848323</v>
      </c>
      <c r="F41" s="2">
        <f t="shared" si="39"/>
        <v>1310.8607829875079</v>
      </c>
      <c r="G41" s="2">
        <f t="shared" si="39"/>
        <v>1798.797879871378</v>
      </c>
      <c r="H41" s="2">
        <f t="shared" si="39"/>
        <v>2279.2708766912865</v>
      </c>
      <c r="I41" s="2">
        <f t="shared" si="39"/>
        <v>2755.6116840749796</v>
      </c>
      <c r="J41" s="2">
        <f t="shared" si="39"/>
        <v>3229.4657084673026</v>
      </c>
      <c r="K41" s="2">
        <f t="shared" si="39"/>
        <v>3701.7179803920794</v>
      </c>
      <c r="L41" s="2">
        <f t="shared" si="39"/>
        <v>4172.881815129148</v>
      </c>
      <c r="M41" s="2">
        <f t="shared" si="39"/>
        <v>4643.2738448577602</v>
      </c>
      <c r="N41" s="2">
        <f t="shared" si="39"/>
        <v>5113.0994086054261</v>
      </c>
      <c r="O41" s="2">
        <f t="shared" si="39"/>
        <v>5582.4972619334731</v>
      </c>
      <c r="P41" s="2">
        <f t="shared" si="6"/>
        <v>4199.3705736716856</v>
      </c>
      <c r="R41">
        <f t="shared" si="40"/>
        <v>29</v>
      </c>
      <c r="S41" s="2">
        <f t="shared" si="35"/>
        <v>14500</v>
      </c>
      <c r="T41" s="2">
        <f t="shared" si="35"/>
        <v>29000</v>
      </c>
      <c r="U41" s="2">
        <f t="shared" si="35"/>
        <v>43500</v>
      </c>
      <c r="V41" s="2">
        <f t="shared" si="35"/>
        <v>58000</v>
      </c>
      <c r="W41" s="2">
        <f t="shared" si="35"/>
        <v>72500</v>
      </c>
      <c r="X41" s="2">
        <f t="shared" si="35"/>
        <v>87000</v>
      </c>
      <c r="Y41" s="2">
        <f t="shared" si="35"/>
        <v>101500</v>
      </c>
      <c r="Z41" s="2">
        <f t="shared" si="35"/>
        <v>116000</v>
      </c>
      <c r="AA41" s="2">
        <f t="shared" si="35"/>
        <v>130500</v>
      </c>
      <c r="AB41" s="2">
        <f t="shared" si="35"/>
        <v>145000</v>
      </c>
      <c r="AC41" s="2">
        <f t="shared" si="35"/>
        <v>159500</v>
      </c>
      <c r="AD41" s="2">
        <f t="shared" si="35"/>
        <v>174000</v>
      </c>
      <c r="AE41" s="2">
        <f t="shared" si="35"/>
        <v>130500</v>
      </c>
      <c r="AG41">
        <f t="shared" si="41"/>
        <v>29</v>
      </c>
      <c r="AH41" s="6">
        <f t="shared" si="42"/>
        <v>1.9848021623707114E-2</v>
      </c>
      <c r="AI41" s="6">
        <f t="shared" si="43"/>
        <v>2.7877225228913213E-2</v>
      </c>
      <c r="AJ41" s="6">
        <f t="shared" si="44"/>
        <v>3.0134730643390988E-2</v>
      </c>
      <c r="AK41" s="6">
        <f t="shared" si="45"/>
        <v>3.1013756549506517E-2</v>
      </c>
      <c r="AL41" s="6">
        <f t="shared" si="46"/>
        <v>3.1438218988845329E-2</v>
      </c>
      <c r="AM41" s="6">
        <f t="shared" si="47"/>
        <v>3.1673697518103214E-2</v>
      </c>
      <c r="AN41" s="6">
        <f t="shared" si="48"/>
        <v>3.1817396142535002E-2</v>
      </c>
      <c r="AO41" s="6">
        <f t="shared" si="49"/>
        <v>3.1911361899931719E-2</v>
      </c>
      <c r="AP41" s="6">
        <f t="shared" si="50"/>
        <v>3.1976105863058608E-2</v>
      </c>
      <c r="AQ41" s="6">
        <f t="shared" si="51"/>
        <v>3.2022578240398343E-2</v>
      </c>
      <c r="AR41" s="6">
        <f t="shared" si="52"/>
        <v>3.205704958373308E-2</v>
      </c>
      <c r="AS41" s="6">
        <f t="shared" si="53"/>
        <v>3.2083317597318813E-2</v>
      </c>
      <c r="AT41" s="6">
        <f t="shared" si="54"/>
        <v>3.2179084855721726E-2</v>
      </c>
      <c r="AW41" s="3">
        <f t="shared" si="32"/>
        <v>580</v>
      </c>
      <c r="AX41" s="3">
        <f t="shared" si="24"/>
        <v>43</v>
      </c>
      <c r="AY41" s="3">
        <f t="shared" si="25"/>
        <v>24940</v>
      </c>
      <c r="AZ41" s="13">
        <f t="shared" si="26"/>
        <v>2.3898187319186578E-2</v>
      </c>
      <c r="BA41" s="3">
        <f t="shared" si="36"/>
        <v>596.02079174051323</v>
      </c>
      <c r="BB41" s="3">
        <f t="shared" si="37"/>
        <v>593.29600563905603</v>
      </c>
      <c r="BC41" s="3">
        <f t="shared" si="21"/>
        <v>590.28457173960464</v>
      </c>
      <c r="BD41" s="3">
        <f t="shared" si="22"/>
        <v>1191.5777777777778</v>
      </c>
    </row>
    <row r="42" spans="3:56" x14ac:dyDescent="0.45">
      <c r="C42">
        <f t="shared" si="38"/>
        <v>30</v>
      </c>
      <c r="D42" s="2">
        <f t="shared" si="39"/>
        <v>299.90668268364834</v>
      </c>
      <c r="E42" s="2">
        <f t="shared" si="39"/>
        <v>857.04761634658757</v>
      </c>
      <c r="F42" s="2">
        <f t="shared" si="39"/>
        <v>1396.4768068872347</v>
      </c>
      <c r="G42" s="2">
        <f t="shared" si="39"/>
        <v>1919.9402601932597</v>
      </c>
      <c r="H42" s="2">
        <f t="shared" si="39"/>
        <v>2435.0157359659906</v>
      </c>
      <c r="I42" s="2">
        <f t="shared" si="39"/>
        <v>2945.4128873409836</v>
      </c>
      <c r="J42" s="2">
        <f t="shared" si="39"/>
        <v>3452.9840801488849</v>
      </c>
      <c r="K42" s="2">
        <f t="shared" si="39"/>
        <v>3958.7311397669891</v>
      </c>
      <c r="L42" s="2">
        <f t="shared" si="39"/>
        <v>4463.2369641570913</v>
      </c>
      <c r="M42" s="2">
        <f t="shared" si="39"/>
        <v>4966.8618301084443</v>
      </c>
      <c r="N42" s="2">
        <f t="shared" si="39"/>
        <v>5469.8396991057343</v>
      </c>
      <c r="O42" s="2">
        <f t="shared" si="39"/>
        <v>5972.3288212322914</v>
      </c>
      <c r="P42" s="2">
        <f t="shared" si="6"/>
        <v>4493.8576060162268</v>
      </c>
      <c r="R42">
        <f t="shared" si="40"/>
        <v>30</v>
      </c>
      <c r="S42" s="2">
        <f t="shared" si="35"/>
        <v>15000</v>
      </c>
      <c r="T42" s="2">
        <f t="shared" si="35"/>
        <v>30000</v>
      </c>
      <c r="U42" s="2">
        <f t="shared" si="35"/>
        <v>45000</v>
      </c>
      <c r="V42" s="2">
        <f t="shared" si="35"/>
        <v>60000</v>
      </c>
      <c r="W42" s="2">
        <f t="shared" si="35"/>
        <v>75000</v>
      </c>
      <c r="X42" s="2">
        <f t="shared" si="35"/>
        <v>90000</v>
      </c>
      <c r="Y42" s="2">
        <f t="shared" si="35"/>
        <v>105000</v>
      </c>
      <c r="Z42" s="2">
        <f t="shared" si="35"/>
        <v>120000</v>
      </c>
      <c r="AA42" s="2">
        <f t="shared" si="35"/>
        <v>135000</v>
      </c>
      <c r="AB42" s="2">
        <f t="shared" si="35"/>
        <v>150000</v>
      </c>
      <c r="AC42" s="2">
        <f t="shared" si="35"/>
        <v>165000</v>
      </c>
      <c r="AD42" s="2">
        <f t="shared" si="35"/>
        <v>180000</v>
      </c>
      <c r="AE42" s="2">
        <f t="shared" si="35"/>
        <v>135000</v>
      </c>
      <c r="AG42">
        <f t="shared" si="41"/>
        <v>30</v>
      </c>
      <c r="AH42" s="6">
        <f t="shared" si="42"/>
        <v>1.9993778845576557E-2</v>
      </c>
      <c r="AI42" s="6">
        <f t="shared" si="43"/>
        <v>2.8568253878219586E-2</v>
      </c>
      <c r="AJ42" s="6">
        <f t="shared" si="44"/>
        <v>3.1032817930827437E-2</v>
      </c>
      <c r="AK42" s="6">
        <f t="shared" si="45"/>
        <v>3.1999004336554331E-2</v>
      </c>
      <c r="AL42" s="6">
        <f t="shared" si="46"/>
        <v>3.246687647954654E-2</v>
      </c>
      <c r="AM42" s="6">
        <f t="shared" si="47"/>
        <v>3.2726809859344265E-2</v>
      </c>
      <c r="AN42" s="6">
        <f t="shared" si="48"/>
        <v>3.2885562668084616E-2</v>
      </c>
      <c r="AO42" s="6">
        <f t="shared" si="49"/>
        <v>3.298942616472491E-2</v>
      </c>
      <c r="AP42" s="6">
        <f t="shared" si="50"/>
        <v>3.306101454931179E-2</v>
      </c>
      <c r="AQ42" s="6">
        <f t="shared" si="51"/>
        <v>3.311241220072296E-2</v>
      </c>
      <c r="AR42" s="6">
        <f t="shared" si="52"/>
        <v>3.3150543630943843E-2</v>
      </c>
      <c r="AS42" s="6">
        <f t="shared" si="53"/>
        <v>3.317960456240162E-2</v>
      </c>
      <c r="AT42" s="6">
        <f t="shared" si="54"/>
        <v>3.3287834118638719E-2</v>
      </c>
      <c r="AW42" s="3">
        <f t="shared" si="32"/>
        <v>600</v>
      </c>
      <c r="AX42" s="3">
        <f t="shared" si="24"/>
        <v>44</v>
      </c>
      <c r="AY42" s="3">
        <f t="shared" si="25"/>
        <v>26400</v>
      </c>
      <c r="AZ42" s="13">
        <f t="shared" si="26"/>
        <v>2.4453945643477467E-2</v>
      </c>
      <c r="BA42" s="3">
        <f t="shared" si="36"/>
        <v>645.58416498780514</v>
      </c>
      <c r="BB42" s="3">
        <f t="shared" si="37"/>
        <v>646.14894721190888</v>
      </c>
      <c r="BC42" s="3">
        <f t="shared" si="21"/>
        <v>646.41301800733049</v>
      </c>
      <c r="BD42" s="3">
        <f t="shared" si="22"/>
        <v>1290.6666666666667</v>
      </c>
    </row>
    <row r="43" spans="3:56" x14ac:dyDescent="0.45">
      <c r="C43">
        <f t="shared" si="38"/>
        <v>31</v>
      </c>
      <c r="D43" s="2">
        <f t="shared" ref="D43:O52" si="55">$C$7*BL_MBPS*BL_KM^2*D$12^3*$C43^2/((EM_KM*D$12)^2+(2*PI()*AVG_SUN_DIST_KM*$C43)^2)</f>
        <v>311.77712307014951</v>
      </c>
      <c r="E43" s="2">
        <f t="shared" si="55"/>
        <v>906.35473285526746</v>
      </c>
      <c r="F43" s="2">
        <f t="shared" si="55"/>
        <v>1484.1843108793432</v>
      </c>
      <c r="G43" s="2">
        <f t="shared" si="55"/>
        <v>2044.5224777211813</v>
      </c>
      <c r="H43" s="2">
        <f t="shared" si="55"/>
        <v>2595.4829809010521</v>
      </c>
      <c r="I43" s="2">
        <f t="shared" si="55"/>
        <v>3141.1725312350281</v>
      </c>
      <c r="J43" s="2">
        <f t="shared" si="55"/>
        <v>3683.6658115717169</v>
      </c>
      <c r="K43" s="2">
        <f t="shared" si="55"/>
        <v>4224.0913254884445</v>
      </c>
      <c r="L43" s="2">
        <f t="shared" si="55"/>
        <v>4763.1078436864436</v>
      </c>
      <c r="M43" s="2">
        <f t="shared" si="55"/>
        <v>5301.1233894430779</v>
      </c>
      <c r="N43" s="2">
        <f t="shared" si="55"/>
        <v>5838.4033053731309</v>
      </c>
      <c r="O43" s="2">
        <f t="shared" si="55"/>
        <v>6375.1272479249992</v>
      </c>
      <c r="P43" s="2">
        <f t="shared" si="6"/>
        <v>4798.3193865405156</v>
      </c>
      <c r="R43">
        <f t="shared" si="40"/>
        <v>31</v>
      </c>
      <c r="S43" s="2">
        <f t="shared" si="35"/>
        <v>15500</v>
      </c>
      <c r="T43" s="2">
        <f t="shared" si="35"/>
        <v>31000</v>
      </c>
      <c r="U43" s="2">
        <f t="shared" si="35"/>
        <v>46500</v>
      </c>
      <c r="V43" s="2">
        <f t="shared" si="35"/>
        <v>62000</v>
      </c>
      <c r="W43" s="2">
        <f t="shared" si="35"/>
        <v>77500</v>
      </c>
      <c r="X43" s="2">
        <f t="shared" si="35"/>
        <v>93000</v>
      </c>
      <c r="Y43" s="2">
        <f t="shared" si="35"/>
        <v>108500</v>
      </c>
      <c r="Z43" s="2">
        <f t="shared" si="35"/>
        <v>124000</v>
      </c>
      <c r="AA43" s="2">
        <f t="shared" si="35"/>
        <v>139500</v>
      </c>
      <c r="AB43" s="2">
        <f t="shared" si="35"/>
        <v>155000</v>
      </c>
      <c r="AC43" s="2">
        <f t="shared" si="35"/>
        <v>170500</v>
      </c>
      <c r="AD43" s="2">
        <f t="shared" si="35"/>
        <v>186000</v>
      </c>
      <c r="AE43" s="2">
        <f t="shared" si="35"/>
        <v>139500</v>
      </c>
      <c r="AG43">
        <f t="shared" si="41"/>
        <v>31</v>
      </c>
      <c r="AH43" s="6">
        <f t="shared" si="42"/>
        <v>2.0114653101299968E-2</v>
      </c>
      <c r="AI43" s="6">
        <f t="shared" si="43"/>
        <v>2.923724944694411E-2</v>
      </c>
      <c r="AJ43" s="6">
        <f t="shared" si="44"/>
        <v>3.1917942169448245E-2</v>
      </c>
      <c r="AK43" s="6">
        <f t="shared" si="45"/>
        <v>3.2976168995502923E-2</v>
      </c>
      <c r="AL43" s="6">
        <f t="shared" si="46"/>
        <v>3.3490102979368414E-2</v>
      </c>
      <c r="AM43" s="6">
        <f t="shared" si="47"/>
        <v>3.3776048722957294E-2</v>
      </c>
      <c r="AN43" s="6">
        <f t="shared" si="48"/>
        <v>3.3950836973011218E-2</v>
      </c>
      <c r="AO43" s="6">
        <f t="shared" si="49"/>
        <v>3.4065252624906811E-2</v>
      </c>
      <c r="AP43" s="6">
        <f t="shared" si="50"/>
        <v>3.414414224864834E-2</v>
      </c>
      <c r="AQ43" s="6">
        <f t="shared" si="51"/>
        <v>3.4200796060923085E-2</v>
      </c>
      <c r="AR43" s="6">
        <f t="shared" si="52"/>
        <v>3.4242834635619536E-2</v>
      </c>
      <c r="AS43" s="6">
        <f t="shared" si="53"/>
        <v>3.4274877677016126E-2</v>
      </c>
      <c r="AT43" s="6">
        <f t="shared" si="54"/>
        <v>3.4396554742225915E-2</v>
      </c>
      <c r="AW43" s="3">
        <f t="shared" si="32"/>
        <v>620</v>
      </c>
      <c r="AX43" s="3">
        <f t="shared" si="24"/>
        <v>46</v>
      </c>
      <c r="AY43" s="3">
        <f t="shared" si="25"/>
        <v>28520</v>
      </c>
      <c r="AZ43" s="13">
        <f t="shared" si="26"/>
        <v>2.5565462292059249E-2</v>
      </c>
      <c r="BA43" s="3">
        <f t="shared" si="36"/>
        <v>729.12698456952978</v>
      </c>
      <c r="BB43" s="3">
        <f t="shared" si="37"/>
        <v>725.52274580579126</v>
      </c>
      <c r="BC43" s="3">
        <f t="shared" si="21"/>
        <v>721.56435191291564</v>
      </c>
      <c r="BD43" s="3">
        <f t="shared" si="22"/>
        <v>1457.6888888888889</v>
      </c>
    </row>
    <row r="44" spans="3:56" x14ac:dyDescent="0.45">
      <c r="C44">
        <f t="shared" si="38"/>
        <v>32</v>
      </c>
      <c r="D44" s="2">
        <f t="shared" si="55"/>
        <v>323.39612343132194</v>
      </c>
      <c r="E44" s="2">
        <f t="shared" si="55"/>
        <v>956.2948720455928</v>
      </c>
      <c r="F44" s="2">
        <f t="shared" si="55"/>
        <v>1573.9142469929843</v>
      </c>
      <c r="G44" s="2">
        <f t="shared" si="55"/>
        <v>2172.4836234146101</v>
      </c>
      <c r="H44" s="2">
        <f t="shared" si="55"/>
        <v>2760.6200325765394</v>
      </c>
      <c r="I44" s="2">
        <f t="shared" si="55"/>
        <v>3342.844938705899</v>
      </c>
      <c r="J44" s="2">
        <f t="shared" si="55"/>
        <v>3921.4707525343642</v>
      </c>
      <c r="K44" s="2">
        <f t="shared" si="55"/>
        <v>4497.7628257926799</v>
      </c>
      <c r="L44" s="2">
        <f t="shared" si="55"/>
        <v>5072.4623507529686</v>
      </c>
      <c r="M44" s="2">
        <f t="shared" si="55"/>
        <v>5646.0293964594475</v>
      </c>
      <c r="N44" s="2">
        <f t="shared" si="55"/>
        <v>6218.7635904060508</v>
      </c>
      <c r="O44" s="2">
        <f t="shared" si="55"/>
        <v>6790.8680136342309</v>
      </c>
      <c r="P44" s="2">
        <f t="shared" si="6"/>
        <v>5112.7556617963019</v>
      </c>
      <c r="R44">
        <f t="shared" si="40"/>
        <v>32</v>
      </c>
      <c r="S44" s="2">
        <f t="shared" si="35"/>
        <v>16000</v>
      </c>
      <c r="T44" s="2">
        <f t="shared" si="35"/>
        <v>32000</v>
      </c>
      <c r="U44" s="2">
        <f t="shared" si="35"/>
        <v>48000</v>
      </c>
      <c r="V44" s="2">
        <f t="shared" si="35"/>
        <v>64000</v>
      </c>
      <c r="W44" s="2">
        <f t="shared" si="35"/>
        <v>80000</v>
      </c>
      <c r="X44" s="2">
        <f t="shared" si="35"/>
        <v>96000</v>
      </c>
      <c r="Y44" s="2">
        <f t="shared" si="35"/>
        <v>112000</v>
      </c>
      <c r="Z44" s="2">
        <f t="shared" si="35"/>
        <v>128000</v>
      </c>
      <c r="AA44" s="2">
        <f t="shared" si="35"/>
        <v>144000</v>
      </c>
      <c r="AB44" s="2">
        <f t="shared" si="35"/>
        <v>160000</v>
      </c>
      <c r="AC44" s="2">
        <f t="shared" si="35"/>
        <v>176000</v>
      </c>
      <c r="AD44" s="2">
        <f t="shared" si="35"/>
        <v>192000</v>
      </c>
      <c r="AE44" s="2">
        <f t="shared" si="35"/>
        <v>144000</v>
      </c>
      <c r="AG44">
        <f t="shared" si="41"/>
        <v>32</v>
      </c>
      <c r="AH44" s="6">
        <f t="shared" si="42"/>
        <v>2.0212257714457622E-2</v>
      </c>
      <c r="AI44" s="6">
        <f t="shared" si="43"/>
        <v>2.9884214751424776E-2</v>
      </c>
      <c r="AJ44" s="6">
        <f t="shared" si="44"/>
        <v>3.2789880145687171E-2</v>
      </c>
      <c r="AK44" s="6">
        <f t="shared" si="45"/>
        <v>3.3945056615853279E-2</v>
      </c>
      <c r="AL44" s="6">
        <f t="shared" si="46"/>
        <v>3.4507750407206744E-2</v>
      </c>
      <c r="AM44" s="6">
        <f t="shared" si="47"/>
        <v>3.4821301444853112E-2</v>
      </c>
      <c r="AN44" s="6">
        <f t="shared" si="48"/>
        <v>3.5013131719056824E-2</v>
      </c>
      <c r="AO44" s="6">
        <f t="shared" si="49"/>
        <v>3.5138772076505315E-2</v>
      </c>
      <c r="AP44" s="6">
        <f t="shared" si="50"/>
        <v>3.522543299134006E-2</v>
      </c>
      <c r="AQ44" s="6">
        <f t="shared" si="51"/>
        <v>3.5287683727871548E-2</v>
      </c>
      <c r="AR44" s="6">
        <f t="shared" si="52"/>
        <v>3.5333884036398013E-2</v>
      </c>
      <c r="AS44" s="6">
        <f t="shared" si="53"/>
        <v>3.5369104237678285E-2</v>
      </c>
      <c r="AT44" s="6">
        <f t="shared" si="54"/>
        <v>3.550524765136321E-2</v>
      </c>
      <c r="AW44" s="3">
        <f t="shared" si="32"/>
        <v>640</v>
      </c>
      <c r="AX44" s="3">
        <f t="shared" si="24"/>
        <v>47</v>
      </c>
      <c r="AY44" s="3">
        <f t="shared" si="25"/>
        <v>30080</v>
      </c>
      <c r="AZ44" s="13">
        <f t="shared" si="26"/>
        <v>2.6121220616350138E-2</v>
      </c>
      <c r="BA44" s="3">
        <f t="shared" si="36"/>
        <v>785.72631613981218</v>
      </c>
      <c r="BB44" s="3">
        <f t="shared" si="37"/>
        <v>785.85695049441154</v>
      </c>
      <c r="BC44" s="3">
        <f t="shared" si="21"/>
        <v>785.62142100260451</v>
      </c>
      <c r="BD44" s="3">
        <f t="shared" si="22"/>
        <v>1570.8444444444444</v>
      </c>
    </row>
    <row r="45" spans="3:56" x14ac:dyDescent="0.45">
      <c r="C45">
        <f t="shared" si="38"/>
        <v>33</v>
      </c>
      <c r="D45" s="2">
        <f t="shared" si="55"/>
        <v>334.75458110661759</v>
      </c>
      <c r="E45" s="2">
        <f t="shared" si="55"/>
        <v>1006.8033778065427</v>
      </c>
      <c r="F45" s="2">
        <f t="shared" si="55"/>
        <v>1665.5970271568967</v>
      </c>
      <c r="G45" s="2">
        <f t="shared" si="55"/>
        <v>2303.7616660797198</v>
      </c>
      <c r="H45" s="2">
        <f t="shared" si="55"/>
        <v>2930.3730769478043</v>
      </c>
      <c r="I45" s="2">
        <f t="shared" si="55"/>
        <v>3550.3832318205255</v>
      </c>
      <c r="J45" s="2">
        <f t="shared" si="55"/>
        <v>4166.3576287993474</v>
      </c>
      <c r="K45" s="2">
        <f t="shared" si="55"/>
        <v>4779.7088893672926</v>
      </c>
      <c r="L45" s="2">
        <f t="shared" si="55"/>
        <v>5391.2674232791151</v>
      </c>
      <c r="M45" s="2">
        <f t="shared" si="55"/>
        <v>6001.5498385483943</v>
      </c>
      <c r="N45" s="2">
        <f t="shared" si="55"/>
        <v>6610.8930958743395</v>
      </c>
      <c r="O45" s="2">
        <f t="shared" si="55"/>
        <v>7219.5258260497985</v>
      </c>
      <c r="P45" s="2">
        <f t="shared" ref="P45:P65" si="56">P$279*$C45^P$280</f>
        <v>5437.1661863915588</v>
      </c>
      <c r="R45">
        <f t="shared" si="40"/>
        <v>33</v>
      </c>
      <c r="S45" s="2">
        <f t="shared" si="35"/>
        <v>16500</v>
      </c>
      <c r="T45" s="2">
        <f t="shared" si="35"/>
        <v>33000</v>
      </c>
      <c r="U45" s="2">
        <f t="shared" si="35"/>
        <v>49500</v>
      </c>
      <c r="V45" s="2">
        <f t="shared" si="35"/>
        <v>66000</v>
      </c>
      <c r="W45" s="2">
        <f t="shared" si="35"/>
        <v>82500</v>
      </c>
      <c r="X45" s="2">
        <f t="shared" si="35"/>
        <v>99000</v>
      </c>
      <c r="Y45" s="2">
        <f t="shared" si="35"/>
        <v>115500</v>
      </c>
      <c r="Z45" s="2">
        <f t="shared" si="35"/>
        <v>132000</v>
      </c>
      <c r="AA45" s="2">
        <f t="shared" si="35"/>
        <v>148500</v>
      </c>
      <c r="AB45" s="2">
        <f t="shared" si="35"/>
        <v>165000</v>
      </c>
      <c r="AC45" s="2">
        <f t="shared" si="35"/>
        <v>181500</v>
      </c>
      <c r="AD45" s="2">
        <f t="shared" si="35"/>
        <v>198000</v>
      </c>
      <c r="AE45" s="2">
        <f t="shared" si="35"/>
        <v>148500</v>
      </c>
      <c r="AG45">
        <f t="shared" si="41"/>
        <v>33</v>
      </c>
      <c r="AH45" s="6">
        <f t="shared" si="42"/>
        <v>2.0288156430704096E-2</v>
      </c>
      <c r="AI45" s="6">
        <f t="shared" si="43"/>
        <v>3.050919326686493E-2</v>
      </c>
      <c r="AJ45" s="6">
        <f t="shared" si="44"/>
        <v>3.3648424791048417E-2</v>
      </c>
      <c r="AK45" s="6">
        <f t="shared" si="45"/>
        <v>3.4905479789086667E-2</v>
      </c>
      <c r="AL45" s="6">
        <f t="shared" si="46"/>
        <v>3.5519673659973383E-2</v>
      </c>
      <c r="AM45" s="6">
        <f t="shared" si="47"/>
        <v>3.5862456887076018E-2</v>
      </c>
      <c r="AN45" s="6">
        <f t="shared" si="48"/>
        <v>3.6072360422505174E-2</v>
      </c>
      <c r="AO45" s="6">
        <f t="shared" si="49"/>
        <v>3.6209915828540093E-2</v>
      </c>
      <c r="AP45" s="6">
        <f t="shared" si="50"/>
        <v>3.6304831133192696E-2</v>
      </c>
      <c r="AQ45" s="6">
        <f t="shared" si="51"/>
        <v>3.6373029324535726E-2</v>
      </c>
      <c r="AR45" s="6">
        <f t="shared" si="52"/>
        <v>3.642365342079526E-2</v>
      </c>
      <c r="AS45" s="6">
        <f t="shared" si="53"/>
        <v>3.6462251646716154E-2</v>
      </c>
      <c r="AT45" s="6">
        <f t="shared" si="54"/>
        <v>3.6613913713074472E-2</v>
      </c>
      <c r="AW45" s="3">
        <f t="shared" si="32"/>
        <v>660</v>
      </c>
      <c r="AX45" s="3">
        <f t="shared" si="24"/>
        <v>48</v>
      </c>
      <c r="AY45" s="3">
        <f t="shared" si="25"/>
        <v>31680</v>
      </c>
      <c r="AZ45" s="13">
        <f t="shared" si="26"/>
        <v>2.6676978940641027E-2</v>
      </c>
      <c r="BA45" s="3">
        <f t="shared" si="36"/>
        <v>845.12669283950777</v>
      </c>
      <c r="BB45" s="3">
        <f t="shared" si="37"/>
        <v>849.3848493508259</v>
      </c>
      <c r="BC45" s="3">
        <f t="shared" si="21"/>
        <v>853.22395610894171</v>
      </c>
      <c r="BD45" s="3">
        <f t="shared" si="22"/>
        <v>1689.6</v>
      </c>
    </row>
    <row r="46" spans="3:56" x14ac:dyDescent="0.45">
      <c r="C46">
        <f t="shared" si="38"/>
        <v>34</v>
      </c>
      <c r="D46" s="2">
        <f t="shared" si="55"/>
        <v>345.84557183899818</v>
      </c>
      <c r="E46" s="2">
        <f t="shared" si="55"/>
        <v>1057.8170793535101</v>
      </c>
      <c r="F46" s="2">
        <f t="shared" si="55"/>
        <v>1759.1626406653895</v>
      </c>
      <c r="G46" s="2">
        <f t="shared" si="55"/>
        <v>2438.2935224730627</v>
      </c>
      <c r="H46" s="2">
        <f t="shared" si="55"/>
        <v>3104.6871068568007</v>
      </c>
      <c r="I46" s="2">
        <f t="shared" si="55"/>
        <v>3763.7393582298569</v>
      </c>
      <c r="J46" s="2">
        <f t="shared" si="55"/>
        <v>4418.2840596318247</v>
      </c>
      <c r="K46" s="2">
        <f t="shared" si="55"/>
        <v>5069.8917374954699</v>
      </c>
      <c r="L46" s="2">
        <f t="shared" si="55"/>
        <v>5719.4890487984558</v>
      </c>
      <c r="M46" s="2">
        <f t="shared" si="55"/>
        <v>6367.6538233576211</v>
      </c>
      <c r="N46" s="2">
        <f t="shared" si="55"/>
        <v>7014.7635470340219</v>
      </c>
      <c r="O46" s="2">
        <f t="shared" si="55"/>
        <v>7661.0746327488878</v>
      </c>
      <c r="P46" s="2">
        <f t="shared" si="56"/>
        <v>5771.5507224942039</v>
      </c>
      <c r="R46">
        <f t="shared" si="40"/>
        <v>34</v>
      </c>
      <c r="S46" s="2">
        <f t="shared" ref="S46:AE65" si="57">$R46*S$12</f>
        <v>17000</v>
      </c>
      <c r="T46" s="2">
        <f t="shared" si="57"/>
        <v>34000</v>
      </c>
      <c r="U46" s="2">
        <f t="shared" si="57"/>
        <v>51000</v>
      </c>
      <c r="V46" s="2">
        <f t="shared" si="57"/>
        <v>68000</v>
      </c>
      <c r="W46" s="2">
        <f t="shared" si="57"/>
        <v>85000</v>
      </c>
      <c r="X46" s="2">
        <f t="shared" si="57"/>
        <v>102000</v>
      </c>
      <c r="Y46" s="2">
        <f t="shared" si="57"/>
        <v>119000</v>
      </c>
      <c r="Z46" s="2">
        <f t="shared" si="57"/>
        <v>136000</v>
      </c>
      <c r="AA46" s="2">
        <f t="shared" si="57"/>
        <v>153000</v>
      </c>
      <c r="AB46" s="2">
        <f t="shared" si="57"/>
        <v>170000</v>
      </c>
      <c r="AC46" s="2">
        <f t="shared" si="57"/>
        <v>187000</v>
      </c>
      <c r="AD46" s="2">
        <f t="shared" si="57"/>
        <v>204000</v>
      </c>
      <c r="AE46" s="2">
        <f t="shared" si="57"/>
        <v>153000</v>
      </c>
      <c r="AG46">
        <f t="shared" si="41"/>
        <v>34</v>
      </c>
      <c r="AH46" s="6">
        <f t="shared" si="42"/>
        <v>2.0343857166999893E-2</v>
      </c>
      <c r="AI46" s="6">
        <f t="shared" si="43"/>
        <v>3.111226703980912E-2</v>
      </c>
      <c r="AJ46" s="6">
        <f t="shared" si="44"/>
        <v>3.4493385111086072E-2</v>
      </c>
      <c r="AK46" s="6">
        <f t="shared" si="45"/>
        <v>3.5857257683427395E-2</v>
      </c>
      <c r="AL46" s="6">
        <f t="shared" si="46"/>
        <v>3.6525730668903536E-2</v>
      </c>
      <c r="AM46" s="6">
        <f t="shared" si="47"/>
        <v>3.6899405472841734E-2</v>
      </c>
      <c r="AN46" s="6">
        <f t="shared" si="48"/>
        <v>3.712843747589769E-2</v>
      </c>
      <c r="AO46" s="6">
        <f t="shared" si="49"/>
        <v>3.7278615716878453E-2</v>
      </c>
      <c r="AP46" s="6">
        <f t="shared" si="50"/>
        <v>3.7382281364695791E-2</v>
      </c>
      <c r="AQ46" s="6">
        <f t="shared" si="51"/>
        <v>3.7456787196221301E-2</v>
      </c>
      <c r="AR46" s="6">
        <f t="shared" si="52"/>
        <v>3.75121045295937E-2</v>
      </c>
      <c r="AS46" s="6">
        <f t="shared" si="53"/>
        <v>3.7554287415435726E-2</v>
      </c>
      <c r="AT46" s="6">
        <f t="shared" si="54"/>
        <v>3.7722553741792182E-2</v>
      </c>
      <c r="AW46" s="3">
        <f t="shared" si="32"/>
        <v>680</v>
      </c>
      <c r="AX46" s="3">
        <f t="shared" si="24"/>
        <v>50</v>
      </c>
      <c r="AY46" s="3">
        <f t="shared" si="25"/>
        <v>34000</v>
      </c>
      <c r="AZ46" s="13">
        <f t="shared" si="26"/>
        <v>2.7788495589222809E-2</v>
      </c>
      <c r="BA46" s="3">
        <f t="shared" si="36"/>
        <v>944.80885003357548</v>
      </c>
      <c r="BB46" s="3">
        <f t="shared" si="37"/>
        <v>944.37640175017327</v>
      </c>
      <c r="BC46" s="3">
        <f t="shared" si="21"/>
        <v>943.50268073914424</v>
      </c>
      <c r="BD46" s="3">
        <f t="shared" si="22"/>
        <v>1888.8888888888889</v>
      </c>
    </row>
    <row r="47" spans="3:56" x14ac:dyDescent="0.45">
      <c r="C47">
        <f t="shared" si="38"/>
        <v>35</v>
      </c>
      <c r="D47" s="2">
        <f t="shared" si="55"/>
        <v>356.66412852127775</v>
      </c>
      <c r="E47" s="2">
        <f t="shared" si="55"/>
        <v>1109.2744091421914</v>
      </c>
      <c r="F47" s="2">
        <f t="shared" si="55"/>
        <v>1854.5407692180993</v>
      </c>
      <c r="G47" s="2">
        <f t="shared" si="55"/>
        <v>2576.0151276087477</v>
      </c>
      <c r="H47" s="2">
        <f t="shared" si="55"/>
        <v>3283.5059646059804</v>
      </c>
      <c r="I47" s="2">
        <f t="shared" si="55"/>
        <v>3982.8641181382759</v>
      </c>
      <c r="J47" s="2">
        <f t="shared" si="55"/>
        <v>4677.2065757312839</v>
      </c>
      <c r="K47" s="2">
        <f t="shared" si="55"/>
        <v>5368.2725764989627</v>
      </c>
      <c r="L47" s="2">
        <f t="shared" si="55"/>
        <v>6057.0922734078677</v>
      </c>
      <c r="M47" s="2">
        <f t="shared" si="55"/>
        <v>6744.3095854311468</v>
      </c>
      <c r="N47" s="2">
        <f t="shared" si="55"/>
        <v>7430.3458577795318</v>
      </c>
      <c r="O47" s="2">
        <f t="shared" si="55"/>
        <v>8115.4876251254082</v>
      </c>
      <c r="P47" s="2">
        <f t="shared" si="56"/>
        <v>6115.9090393802271</v>
      </c>
      <c r="R47">
        <f t="shared" si="40"/>
        <v>35</v>
      </c>
      <c r="S47" s="2">
        <f t="shared" si="57"/>
        <v>17500</v>
      </c>
      <c r="T47" s="2">
        <f t="shared" si="57"/>
        <v>35000</v>
      </c>
      <c r="U47" s="2">
        <f t="shared" si="57"/>
        <v>52500</v>
      </c>
      <c r="V47" s="2">
        <f t="shared" si="57"/>
        <v>70000</v>
      </c>
      <c r="W47" s="2">
        <f t="shared" si="57"/>
        <v>87500</v>
      </c>
      <c r="X47" s="2">
        <f t="shared" si="57"/>
        <v>105000</v>
      </c>
      <c r="Y47" s="2">
        <f t="shared" si="57"/>
        <v>122500</v>
      </c>
      <c r="Z47" s="2">
        <f t="shared" si="57"/>
        <v>140000</v>
      </c>
      <c r="AA47" s="2">
        <f t="shared" si="57"/>
        <v>157500</v>
      </c>
      <c r="AB47" s="2">
        <f t="shared" si="57"/>
        <v>175000</v>
      </c>
      <c r="AC47" s="2">
        <f t="shared" si="57"/>
        <v>192500</v>
      </c>
      <c r="AD47" s="2">
        <f t="shared" si="57"/>
        <v>210000</v>
      </c>
      <c r="AE47" s="2">
        <f t="shared" si="57"/>
        <v>157500</v>
      </c>
      <c r="AG47">
        <f t="shared" si="41"/>
        <v>35</v>
      </c>
      <c r="AH47" s="6">
        <f t="shared" si="42"/>
        <v>2.0380807344073014E-2</v>
      </c>
      <c r="AI47" s="6">
        <f t="shared" si="43"/>
        <v>3.1693554546919751E-2</v>
      </c>
      <c r="AJ47" s="6">
        <f t="shared" si="44"/>
        <v>3.532458608034475E-2</v>
      </c>
      <c r="AK47" s="6">
        <f t="shared" si="45"/>
        <v>3.6800216108696396E-2</v>
      </c>
      <c r="AL47" s="6">
        <f t="shared" si="46"/>
        <v>3.7525782452639773E-2</v>
      </c>
      <c r="AM47" s="6">
        <f t="shared" si="47"/>
        <v>3.7932039220364533E-2</v>
      </c>
      <c r="AN47" s="6">
        <f t="shared" si="48"/>
        <v>3.8181278169234972E-2</v>
      </c>
      <c r="AO47" s="6">
        <f t="shared" si="49"/>
        <v>3.8344804117849733E-2</v>
      </c>
      <c r="AP47" s="6">
        <f t="shared" si="50"/>
        <v>3.8457728720049954E-2</v>
      </c>
      <c r="AQ47" s="6">
        <f t="shared" si="51"/>
        <v>3.8538911916749408E-2</v>
      </c>
      <c r="AR47" s="6">
        <f t="shared" si="52"/>
        <v>3.8599199261192374E-2</v>
      </c>
      <c r="AS47" s="6">
        <f t="shared" si="53"/>
        <v>3.864517916726385E-2</v>
      </c>
      <c r="AT47" s="6">
        <f t="shared" si="54"/>
        <v>3.8831168504001444E-2</v>
      </c>
      <c r="AW47" s="3">
        <f t="shared" si="32"/>
        <v>700</v>
      </c>
      <c r="AX47" s="3">
        <f t="shared" si="24"/>
        <v>51</v>
      </c>
      <c r="AY47" s="3">
        <f t="shared" si="25"/>
        <v>35700</v>
      </c>
      <c r="AZ47" s="13">
        <f t="shared" si="26"/>
        <v>2.8344253913513702E-2</v>
      </c>
      <c r="BA47" s="3">
        <f t="shared" si="36"/>
        <v>1011.8898647124391</v>
      </c>
      <c r="BB47" s="3">
        <f t="shared" si="37"/>
        <v>1016.0827417931496</v>
      </c>
      <c r="BC47" s="3">
        <f t="shared" si="21"/>
        <v>1019.7817217086565</v>
      </c>
      <c r="BD47" s="3">
        <f t="shared" si="22"/>
        <v>2023</v>
      </c>
    </row>
    <row r="48" spans="3:56" x14ac:dyDescent="0.45">
      <c r="C48">
        <f t="shared" si="38"/>
        <v>36</v>
      </c>
      <c r="D48" s="2">
        <f t="shared" si="55"/>
        <v>367.20703086968314</v>
      </c>
      <c r="E48" s="2">
        <f t="shared" si="55"/>
        <v>1161.1155066172225</v>
      </c>
      <c r="F48" s="2">
        <f t="shared" si="55"/>
        <v>1951.6608992560841</v>
      </c>
      <c r="G48" s="2">
        <f t="shared" si="55"/>
        <v>2716.8615051360234</v>
      </c>
      <c r="H48" s="2">
        <f t="shared" si="55"/>
        <v>3466.7723850363836</v>
      </c>
      <c r="I48" s="2">
        <f t="shared" si="55"/>
        <v>4207.7071917492322</v>
      </c>
      <c r="J48" s="2">
        <f t="shared" si="55"/>
        <v>4943.0806375424481</v>
      </c>
      <c r="K48" s="2">
        <f t="shared" si="55"/>
        <v>5674.8116104723267</v>
      </c>
      <c r="L48" s="2">
        <f t="shared" si="55"/>
        <v>6404.0412109430927</v>
      </c>
      <c r="M48" s="2">
        <f t="shared" si="55"/>
        <v>7131.4844930217905</v>
      </c>
      <c r="N48" s="2">
        <f t="shared" si="55"/>
        <v>7857.6101358317364</v>
      </c>
      <c r="O48" s="2">
        <f t="shared" si="55"/>
        <v>8582.7372424273926</v>
      </c>
      <c r="P48" s="2">
        <f t="shared" si="56"/>
        <v>6470.24091302126</v>
      </c>
      <c r="R48">
        <f t="shared" si="40"/>
        <v>36</v>
      </c>
      <c r="S48" s="2">
        <f t="shared" si="57"/>
        <v>18000</v>
      </c>
      <c r="T48" s="2">
        <f t="shared" si="57"/>
        <v>36000</v>
      </c>
      <c r="U48" s="2">
        <f t="shared" si="57"/>
        <v>54000</v>
      </c>
      <c r="V48" s="2">
        <f t="shared" si="57"/>
        <v>72000</v>
      </c>
      <c r="W48" s="2">
        <f t="shared" si="57"/>
        <v>90000</v>
      </c>
      <c r="X48" s="2">
        <f t="shared" si="57"/>
        <v>108000</v>
      </c>
      <c r="Y48" s="2">
        <f t="shared" si="57"/>
        <v>126000</v>
      </c>
      <c r="Z48" s="2">
        <f t="shared" si="57"/>
        <v>144000</v>
      </c>
      <c r="AA48" s="2">
        <f t="shared" si="57"/>
        <v>162000</v>
      </c>
      <c r="AB48" s="2">
        <f t="shared" si="57"/>
        <v>180000</v>
      </c>
      <c r="AC48" s="2">
        <f t="shared" si="57"/>
        <v>198000</v>
      </c>
      <c r="AD48" s="2">
        <f t="shared" si="57"/>
        <v>216000</v>
      </c>
      <c r="AE48" s="2">
        <f t="shared" si="57"/>
        <v>162000</v>
      </c>
      <c r="AG48">
        <f t="shared" si="41"/>
        <v>36</v>
      </c>
      <c r="AH48" s="6">
        <f t="shared" si="42"/>
        <v>2.0400390603871284E-2</v>
      </c>
      <c r="AI48" s="6">
        <f t="shared" si="43"/>
        <v>3.2253208517145068E-2</v>
      </c>
      <c r="AJ48" s="6">
        <f t="shared" si="44"/>
        <v>3.6141868504742297E-2</v>
      </c>
      <c r="AK48" s="6">
        <f t="shared" si="45"/>
        <v>3.7734187571333656E-2</v>
      </c>
      <c r="AL48" s="6">
        <f t="shared" si="46"/>
        <v>3.8519693167070927E-2</v>
      </c>
      <c r="AM48" s="6">
        <f t="shared" si="47"/>
        <v>3.8960251775455854E-2</v>
      </c>
      <c r="AN48" s="6">
        <f t="shared" si="48"/>
        <v>3.9230798710654352E-2</v>
      </c>
      <c r="AO48" s="6">
        <f t="shared" si="49"/>
        <v>3.9408413961613382E-2</v>
      </c>
      <c r="AP48" s="6">
        <f t="shared" si="50"/>
        <v>3.9531118586068476E-2</v>
      </c>
      <c r="AQ48" s="6">
        <f t="shared" si="51"/>
        <v>3.9619358294565504E-2</v>
      </c>
      <c r="AR48" s="6">
        <f t="shared" si="52"/>
        <v>3.9684899675917859E-2</v>
      </c>
      <c r="AS48" s="6">
        <f t="shared" si="53"/>
        <v>3.973489464086756E-2</v>
      </c>
      <c r="AT48" s="6">
        <f t="shared" si="54"/>
        <v>3.9939758722353454E-2</v>
      </c>
      <c r="AW48" s="3">
        <f t="shared" si="32"/>
        <v>720</v>
      </c>
      <c r="AX48" s="3">
        <f t="shared" si="24"/>
        <v>53</v>
      </c>
      <c r="AY48" s="3">
        <f t="shared" si="25"/>
        <v>38160</v>
      </c>
      <c r="AZ48" s="13">
        <f t="shared" si="26"/>
        <v>2.945577056209548E-2</v>
      </c>
      <c r="BA48" s="3">
        <f t="shared" si="36"/>
        <v>1124.0322046495635</v>
      </c>
      <c r="BB48" s="3">
        <f t="shared" si="37"/>
        <v>1122.8953924234306</v>
      </c>
      <c r="BC48" s="3">
        <f t="shared" si="21"/>
        <v>1121.2318410173273</v>
      </c>
      <c r="BD48" s="3">
        <f t="shared" si="22"/>
        <v>2247.1999999999998</v>
      </c>
    </row>
    <row r="49" spans="3:56" x14ac:dyDescent="0.45">
      <c r="C49">
        <f t="shared" si="38"/>
        <v>37</v>
      </c>
      <c r="D49" s="2">
        <f t="shared" si="55"/>
        <v>377.4726073892067</v>
      </c>
      <c r="E49" s="2">
        <f t="shared" si="55"/>
        <v>1213.282308133487</v>
      </c>
      <c r="F49" s="2">
        <f t="shared" si="55"/>
        <v>2050.4524313388738</v>
      </c>
      <c r="G49" s="2">
        <f t="shared" si="55"/>
        <v>2860.7668376570255</v>
      </c>
      <c r="H49" s="2">
        <f t="shared" si="55"/>
        <v>3654.4280390516296</v>
      </c>
      <c r="I49" s="2">
        <f t="shared" si="55"/>
        <v>4438.2171671595324</v>
      </c>
      <c r="J49" s="2">
        <f t="shared" si="55"/>
        <v>5215.8606539313414</v>
      </c>
      <c r="K49" s="2">
        <f t="shared" si="55"/>
        <v>5989.4680543007253</v>
      </c>
      <c r="L49" s="2">
        <f t="shared" si="55"/>
        <v>6760.299052373256</v>
      </c>
      <c r="M49" s="2">
        <f t="shared" si="55"/>
        <v>7529.145055073971</v>
      </c>
      <c r="N49" s="2">
        <f t="shared" si="55"/>
        <v>8296.5256880600355</v>
      </c>
      <c r="O49" s="2">
        <f t="shared" si="55"/>
        <v>9062.7951759013285</v>
      </c>
      <c r="P49" s="2">
        <f t="shared" si="56"/>
        <v>6834.5461257069437</v>
      </c>
      <c r="R49">
        <f t="shared" si="40"/>
        <v>37</v>
      </c>
      <c r="S49" s="2">
        <f t="shared" si="57"/>
        <v>18500</v>
      </c>
      <c r="T49" s="2">
        <f t="shared" si="57"/>
        <v>37000</v>
      </c>
      <c r="U49" s="2">
        <f t="shared" si="57"/>
        <v>55500</v>
      </c>
      <c r="V49" s="2">
        <f t="shared" si="57"/>
        <v>74000</v>
      </c>
      <c r="W49" s="2">
        <f t="shared" si="57"/>
        <v>92500</v>
      </c>
      <c r="X49" s="2">
        <f t="shared" si="57"/>
        <v>111000</v>
      </c>
      <c r="Y49" s="2">
        <f t="shared" si="57"/>
        <v>129500</v>
      </c>
      <c r="Z49" s="2">
        <f t="shared" si="57"/>
        <v>148000</v>
      </c>
      <c r="AA49" s="2">
        <f t="shared" si="57"/>
        <v>166500</v>
      </c>
      <c r="AB49" s="2">
        <f t="shared" si="57"/>
        <v>185000</v>
      </c>
      <c r="AC49" s="2">
        <f t="shared" si="57"/>
        <v>203500</v>
      </c>
      <c r="AD49" s="2">
        <f t="shared" si="57"/>
        <v>222000</v>
      </c>
      <c r="AE49" s="2">
        <f t="shared" si="57"/>
        <v>166500</v>
      </c>
      <c r="AG49">
        <f t="shared" si="41"/>
        <v>37</v>
      </c>
      <c r="AH49" s="6">
        <f t="shared" si="42"/>
        <v>2.0403924723740904E-2</v>
      </c>
      <c r="AI49" s="6">
        <f t="shared" si="43"/>
        <v>3.2791413733337486E-2</v>
      </c>
      <c r="AJ49" s="6">
        <f t="shared" si="44"/>
        <v>3.6945088852952682E-2</v>
      </c>
      <c r="AK49" s="6">
        <f t="shared" si="45"/>
        <v>3.8659011319689532E-2</v>
      </c>
      <c r="AL49" s="6">
        <f t="shared" si="46"/>
        <v>3.9507330151909513E-2</v>
      </c>
      <c r="AM49" s="6">
        <f t="shared" si="47"/>
        <v>3.9983938442878668E-2</v>
      </c>
      <c r="AN49" s="6">
        <f t="shared" si="48"/>
        <v>4.0276916246574063E-2</v>
      </c>
      <c r="AO49" s="6">
        <f t="shared" si="49"/>
        <v>4.0469378745275168E-2</v>
      </c>
      <c r="AP49" s="6">
        <f t="shared" si="50"/>
        <v>4.0602396710950485E-2</v>
      </c>
      <c r="AQ49" s="6">
        <f t="shared" si="51"/>
        <v>4.0698081378778221E-2</v>
      </c>
      <c r="AR49" s="6">
        <f t="shared" si="52"/>
        <v>4.0769168000295015E-2</v>
      </c>
      <c r="AS49" s="6">
        <f t="shared" si="53"/>
        <v>4.0823401693249231E-2</v>
      </c>
      <c r="AT49" s="6">
        <f t="shared" si="54"/>
        <v>4.1048325079320984E-2</v>
      </c>
      <c r="AW49" s="3">
        <f t="shared" si="32"/>
        <v>740</v>
      </c>
      <c r="AX49" s="3">
        <f t="shared" si="24"/>
        <v>54</v>
      </c>
      <c r="AY49" s="3">
        <f t="shared" si="25"/>
        <v>39960</v>
      </c>
      <c r="AZ49" s="13">
        <f t="shared" si="26"/>
        <v>3.0011528886386373E-2</v>
      </c>
      <c r="BA49" s="3">
        <f t="shared" si="36"/>
        <v>1199.2606942999994</v>
      </c>
      <c r="BB49" s="3">
        <f t="shared" si="37"/>
        <v>1203.2752118460801</v>
      </c>
      <c r="BC49" s="3">
        <f t="shared" si="21"/>
        <v>1206.7109881285003</v>
      </c>
      <c r="BD49" s="3">
        <f t="shared" si="22"/>
        <v>2397.6</v>
      </c>
    </row>
    <row r="50" spans="3:56" x14ac:dyDescent="0.45">
      <c r="C50">
        <f t="shared" si="38"/>
        <v>38</v>
      </c>
      <c r="D50" s="2">
        <f t="shared" si="55"/>
        <v>387.46055048308324</v>
      </c>
      <c r="E50" s="2">
        <f t="shared" si="55"/>
        <v>1265.7186234743731</v>
      </c>
      <c r="F50" s="2">
        <f t="shared" si="55"/>
        <v>2150.8447863295178</v>
      </c>
      <c r="G50" s="2">
        <f t="shared" si="55"/>
        <v>3007.6645368577115</v>
      </c>
      <c r="H50" s="2">
        <f t="shared" si="55"/>
        <v>3846.4135775297145</v>
      </c>
      <c r="I50" s="2">
        <f t="shared" si="55"/>
        <v>4674.3415686745393</v>
      </c>
      <c r="J50" s="2">
        <f t="shared" si="55"/>
        <v>5495.500001212291</v>
      </c>
      <c r="K50" s="2">
        <f t="shared" si="55"/>
        <v>6312.2001469535589</v>
      </c>
      <c r="L50" s="2">
        <f t="shared" si="55"/>
        <v>7125.8280754098232</v>
      </c>
      <c r="M50" s="2">
        <f t="shared" si="55"/>
        <v>7937.2569283740886</v>
      </c>
      <c r="N50" s="2">
        <f t="shared" si="55"/>
        <v>8747.0610259367932</v>
      </c>
      <c r="O50" s="2">
        <f t="shared" si="55"/>
        <v>9555.6323730422682</v>
      </c>
      <c r="P50" s="2">
        <f t="shared" si="56"/>
        <v>7208.8244656984152</v>
      </c>
      <c r="R50">
        <f t="shared" si="40"/>
        <v>38</v>
      </c>
      <c r="S50" s="2">
        <f t="shared" si="57"/>
        <v>19000</v>
      </c>
      <c r="T50" s="2">
        <f t="shared" si="57"/>
        <v>38000</v>
      </c>
      <c r="U50" s="2">
        <f t="shared" si="57"/>
        <v>57000</v>
      </c>
      <c r="V50" s="2">
        <f t="shared" si="57"/>
        <v>76000</v>
      </c>
      <c r="W50" s="2">
        <f t="shared" si="57"/>
        <v>95000</v>
      </c>
      <c r="X50" s="2">
        <f t="shared" si="57"/>
        <v>114000</v>
      </c>
      <c r="Y50" s="2">
        <f t="shared" si="57"/>
        <v>133000</v>
      </c>
      <c r="Z50" s="2">
        <f t="shared" si="57"/>
        <v>152000</v>
      </c>
      <c r="AA50" s="2">
        <f t="shared" si="57"/>
        <v>171000</v>
      </c>
      <c r="AB50" s="2">
        <f t="shared" si="57"/>
        <v>190000</v>
      </c>
      <c r="AC50" s="2">
        <f t="shared" si="57"/>
        <v>209000</v>
      </c>
      <c r="AD50" s="2">
        <f t="shared" si="57"/>
        <v>228000</v>
      </c>
      <c r="AE50" s="2">
        <f t="shared" si="57"/>
        <v>171000</v>
      </c>
      <c r="AG50">
        <f t="shared" si="41"/>
        <v>38</v>
      </c>
      <c r="AH50" s="6">
        <f t="shared" si="42"/>
        <v>2.0392660551741222E-2</v>
      </c>
      <c r="AI50" s="6">
        <f t="shared" si="43"/>
        <v>3.3308384828272974E-2</v>
      </c>
      <c r="AJ50" s="6">
        <f t="shared" si="44"/>
        <v>3.7734119058412591E-2</v>
      </c>
      <c r="AK50" s="6">
        <f t="shared" si="45"/>
        <v>3.9574533379706733E-2</v>
      </c>
      <c r="AL50" s="6">
        <f t="shared" si="46"/>
        <v>4.0488563973996992E-2</v>
      </c>
      <c r="AM50" s="6">
        <f t="shared" si="47"/>
        <v>4.1002996216443328E-2</v>
      </c>
      <c r="AN50" s="6">
        <f t="shared" si="48"/>
        <v>4.1319548881295423E-2</v>
      </c>
      <c r="AO50" s="6">
        <f t="shared" si="49"/>
        <v>4.1527632545747095E-2</v>
      </c>
      <c r="AP50" s="6">
        <f t="shared" si="50"/>
        <v>4.1671509212922946E-2</v>
      </c>
      <c r="AQ50" s="6">
        <f t="shared" si="51"/>
        <v>4.1775036465126779E-2</v>
      </c>
      <c r="AR50" s="6">
        <f t="shared" si="52"/>
        <v>4.1851966631276522E-2</v>
      </c>
      <c r="AS50" s="6">
        <f t="shared" si="53"/>
        <v>4.1910668302816964E-2</v>
      </c>
      <c r="AT50" s="6">
        <f t="shared" si="54"/>
        <v>4.2156868220458568E-2</v>
      </c>
      <c r="AW50" s="3">
        <f t="shared" si="32"/>
        <v>760</v>
      </c>
      <c r="AX50" s="3">
        <f t="shared" si="24"/>
        <v>56</v>
      </c>
      <c r="AY50" s="3">
        <f t="shared" si="25"/>
        <v>42560</v>
      </c>
      <c r="AZ50" s="13">
        <f t="shared" si="26"/>
        <v>3.1123045534968152E-2</v>
      </c>
      <c r="BA50" s="3">
        <f t="shared" si="36"/>
        <v>1324.5968179682445</v>
      </c>
      <c r="BB50" s="3">
        <f t="shared" si="37"/>
        <v>1322.6020139594525</v>
      </c>
      <c r="BC50" s="3">
        <f t="shared" si="21"/>
        <v>1319.9839456485506</v>
      </c>
      <c r="BD50" s="3">
        <f t="shared" si="22"/>
        <v>2648.1777777777779</v>
      </c>
    </row>
    <row r="51" spans="3:56" x14ac:dyDescent="0.45">
      <c r="C51">
        <f t="shared" si="38"/>
        <v>39</v>
      </c>
      <c r="D51" s="2">
        <f t="shared" si="55"/>
        <v>397.1717451359342</v>
      </c>
      <c r="E51" s="2">
        <f t="shared" si="55"/>
        <v>1318.3701994654023</v>
      </c>
      <c r="F51" s="2">
        <f t="shared" si="55"/>
        <v>2252.7675081773136</v>
      </c>
      <c r="G51" s="2">
        <f t="shared" si="55"/>
        <v>3157.4873133284927</v>
      </c>
      <c r="H51" s="2">
        <f t="shared" si="55"/>
        <v>4042.6686755648057</v>
      </c>
      <c r="I51" s="2">
        <f t="shared" si="55"/>
        <v>4916.0268855163431</v>
      </c>
      <c r="J51" s="2">
        <f t="shared" si="55"/>
        <v>5781.9510425114795</v>
      </c>
      <c r="K51" s="2">
        <f t="shared" si="55"/>
        <v>6642.9651650459518</v>
      </c>
      <c r="L51" s="2">
        <f t="shared" si="55"/>
        <v>7500.5896543253994</v>
      </c>
      <c r="M51" s="2">
        <f t="shared" si="55"/>
        <v>8355.7849248656566</v>
      </c>
      <c r="N51" s="2">
        <f t="shared" si="55"/>
        <v>9209.1838711223027</v>
      </c>
      <c r="O51" s="2">
        <f t="shared" si="55"/>
        <v>10061.219041948529</v>
      </c>
      <c r="P51" s="2">
        <f t="shared" si="56"/>
        <v>7593.0757269095484</v>
      </c>
      <c r="R51">
        <f t="shared" si="40"/>
        <v>39</v>
      </c>
      <c r="S51" s="2">
        <f t="shared" si="57"/>
        <v>19500</v>
      </c>
      <c r="T51" s="2">
        <f t="shared" si="57"/>
        <v>39000</v>
      </c>
      <c r="U51" s="2">
        <f t="shared" si="57"/>
        <v>58500</v>
      </c>
      <c r="V51" s="2">
        <f t="shared" si="57"/>
        <v>78000</v>
      </c>
      <c r="W51" s="2">
        <f t="shared" si="57"/>
        <v>97500</v>
      </c>
      <c r="X51" s="2">
        <f t="shared" si="57"/>
        <v>117000</v>
      </c>
      <c r="Y51" s="2">
        <f t="shared" si="57"/>
        <v>136500</v>
      </c>
      <c r="Z51" s="2">
        <f t="shared" si="57"/>
        <v>156000</v>
      </c>
      <c r="AA51" s="2">
        <f t="shared" si="57"/>
        <v>175500</v>
      </c>
      <c r="AB51" s="2">
        <f t="shared" si="57"/>
        <v>195000</v>
      </c>
      <c r="AC51" s="2">
        <f t="shared" si="57"/>
        <v>214500</v>
      </c>
      <c r="AD51" s="2">
        <f t="shared" si="57"/>
        <v>234000</v>
      </c>
      <c r="AE51" s="2">
        <f t="shared" si="57"/>
        <v>175500</v>
      </c>
      <c r="AG51">
        <f t="shared" si="41"/>
        <v>39</v>
      </c>
      <c r="AH51" s="6">
        <f t="shared" si="42"/>
        <v>2.0367781801842781E-2</v>
      </c>
      <c r="AI51" s="6">
        <f t="shared" si="43"/>
        <v>3.3804364088856467E-2</v>
      </c>
      <c r="AJ51" s="6">
        <f t="shared" si="44"/>
        <v>3.8508846293629294E-2</v>
      </c>
      <c r="AK51" s="6">
        <f t="shared" si="45"/>
        <v>4.0480606581134525E-2</v>
      </c>
      <c r="AL51" s="6">
        <f t="shared" si="46"/>
        <v>4.1463268467331338E-2</v>
      </c>
      <c r="AM51" s="6">
        <f t="shared" si="47"/>
        <v>4.2017323807831991E-2</v>
      </c>
      <c r="AN51" s="6">
        <f t="shared" si="48"/>
        <v>4.2358615696054792E-2</v>
      </c>
      <c r="AO51" s="6">
        <f t="shared" si="49"/>
        <v>4.2583110032345842E-2</v>
      </c>
      <c r="AP51" s="6">
        <f t="shared" si="50"/>
        <v>4.2738402588748711E-2</v>
      </c>
      <c r="AQ51" s="6">
        <f t="shared" si="51"/>
        <v>4.2850179101875163E-2</v>
      </c>
      <c r="AR51" s="6">
        <f t="shared" si="52"/>
        <v>4.2933258140430315E-2</v>
      </c>
      <c r="AS51" s="6">
        <f t="shared" si="53"/>
        <v>4.2996662572429609E-2</v>
      </c>
      <c r="AT51" s="6">
        <f t="shared" si="54"/>
        <v>4.3265388757319362E-2</v>
      </c>
      <c r="AW51" s="3">
        <f t="shared" si="32"/>
        <v>780</v>
      </c>
      <c r="AX51" s="3">
        <f t="shared" si="24"/>
        <v>57</v>
      </c>
      <c r="AY51" s="3">
        <f t="shared" si="25"/>
        <v>44460</v>
      </c>
      <c r="AZ51" s="13">
        <f t="shared" si="26"/>
        <v>3.1678803859259044E-2</v>
      </c>
      <c r="BA51" s="3">
        <f t="shared" si="36"/>
        <v>1408.4396195826571</v>
      </c>
      <c r="BB51" s="3">
        <f t="shared" si="37"/>
        <v>1412.1503509410436</v>
      </c>
      <c r="BC51" s="3">
        <f t="shared" si="21"/>
        <v>1415.1867990309374</v>
      </c>
      <c r="BD51" s="3">
        <f t="shared" si="22"/>
        <v>2815.8</v>
      </c>
    </row>
    <row r="52" spans="3:56" x14ac:dyDescent="0.45">
      <c r="C52">
        <f t="shared" si="38"/>
        <v>40</v>
      </c>
      <c r="D52" s="2">
        <f t="shared" si="55"/>
        <v>406.60811125846453</v>
      </c>
      <c r="E52" s="2">
        <f t="shared" si="55"/>
        <v>1371.1847712439278</v>
      </c>
      <c r="F52" s="2">
        <f t="shared" si="55"/>
        <v>2356.150363110562</v>
      </c>
      <c r="G52" s="2">
        <f t="shared" si="55"/>
        <v>3310.1672459549268</v>
      </c>
      <c r="H52" s="2">
        <f t="shared" si="55"/>
        <v>4243.1320769816612</v>
      </c>
      <c r="I52" s="2">
        <f t="shared" si="55"/>
        <v>5163.2186008968602</v>
      </c>
      <c r="J52" s="2">
        <f t="shared" si="55"/>
        <v>6075.1651474524815</v>
      </c>
      <c r="K52" s="2">
        <f t="shared" si="55"/>
        <v>6981.7194366601088</v>
      </c>
      <c r="L52" s="2">
        <f t="shared" si="55"/>
        <v>7884.5442699776613</v>
      </c>
      <c r="M52" s="2">
        <f t="shared" si="55"/>
        <v>8784.6930191263273</v>
      </c>
      <c r="N52" s="2">
        <f t="shared" si="55"/>
        <v>9682.86116117848</v>
      </c>
      <c r="O52" s="2">
        <f t="shared" si="55"/>
        <v>10579.524655779773</v>
      </c>
      <c r="P52" s="2">
        <f t="shared" si="56"/>
        <v>7987.2997086130244</v>
      </c>
      <c r="R52">
        <f t="shared" si="40"/>
        <v>40</v>
      </c>
      <c r="S52" s="2">
        <f t="shared" si="57"/>
        <v>20000</v>
      </c>
      <c r="T52" s="2">
        <f t="shared" si="57"/>
        <v>40000</v>
      </c>
      <c r="U52" s="2">
        <f t="shared" si="57"/>
        <v>60000</v>
      </c>
      <c r="V52" s="2">
        <f t="shared" si="57"/>
        <v>80000</v>
      </c>
      <c r="W52" s="2">
        <f t="shared" si="57"/>
        <v>100000</v>
      </c>
      <c r="X52" s="2">
        <f t="shared" si="57"/>
        <v>120000</v>
      </c>
      <c r="Y52" s="2">
        <f t="shared" si="57"/>
        <v>140000</v>
      </c>
      <c r="Z52" s="2">
        <f t="shared" si="57"/>
        <v>160000</v>
      </c>
      <c r="AA52" s="2">
        <f t="shared" si="57"/>
        <v>180000</v>
      </c>
      <c r="AB52" s="2">
        <f t="shared" si="57"/>
        <v>200000</v>
      </c>
      <c r="AC52" s="2">
        <f t="shared" si="57"/>
        <v>220000</v>
      </c>
      <c r="AD52" s="2">
        <f t="shared" si="57"/>
        <v>240000</v>
      </c>
      <c r="AE52" s="2">
        <f t="shared" si="57"/>
        <v>180000</v>
      </c>
      <c r="AG52">
        <f t="shared" si="41"/>
        <v>40</v>
      </c>
      <c r="AH52" s="6">
        <f t="shared" si="42"/>
        <v>2.0330405562923228E-2</v>
      </c>
      <c r="AI52" s="6">
        <f t="shared" si="43"/>
        <v>3.4279619281098198E-2</v>
      </c>
      <c r="AJ52" s="6">
        <f t="shared" si="44"/>
        <v>3.9269172718509368E-2</v>
      </c>
      <c r="AK52" s="6">
        <f t="shared" si="45"/>
        <v>4.1377090574436587E-2</v>
      </c>
      <c r="AL52" s="6">
        <f t="shared" si="46"/>
        <v>4.2431320769816615E-2</v>
      </c>
      <c r="AM52" s="6">
        <f t="shared" si="47"/>
        <v>4.30268216741405E-2</v>
      </c>
      <c r="AN52" s="6">
        <f t="shared" si="48"/>
        <v>4.3394036767517727E-2</v>
      </c>
      <c r="AO52" s="6">
        <f t="shared" si="49"/>
        <v>4.363574647912568E-2</v>
      </c>
      <c r="AP52" s="6">
        <f t="shared" si="50"/>
        <v>4.3803023722098121E-2</v>
      </c>
      <c r="AQ52" s="6">
        <f t="shared" si="51"/>
        <v>4.3923465095631636E-2</v>
      </c>
      <c r="AR52" s="6">
        <f t="shared" si="52"/>
        <v>4.4013005278084001E-2</v>
      </c>
      <c r="AS52" s="6">
        <f t="shared" si="53"/>
        <v>4.4081352732415723E-2</v>
      </c>
      <c r="AT52" s="6">
        <f t="shared" si="54"/>
        <v>4.4373887270072361E-2</v>
      </c>
      <c r="AW52" s="3">
        <f t="shared" si="32"/>
        <v>800</v>
      </c>
      <c r="AX52" s="3">
        <f t="shared" si="24"/>
        <v>59</v>
      </c>
      <c r="AY52" s="3">
        <f t="shared" si="25"/>
        <v>47200</v>
      </c>
      <c r="AZ52" s="13">
        <f t="shared" si="26"/>
        <v>3.2790320507840823E-2</v>
      </c>
      <c r="BA52" s="3">
        <f t="shared" si="36"/>
        <v>1547.7031279700868</v>
      </c>
      <c r="BB52" s="3">
        <f t="shared" si="37"/>
        <v>1544.6843578042885</v>
      </c>
      <c r="BC52" s="3">
        <f t="shared" si="21"/>
        <v>1540.9340384524314</v>
      </c>
      <c r="BD52" s="3">
        <f t="shared" si="22"/>
        <v>3094.2222222222222</v>
      </c>
    </row>
    <row r="53" spans="3:56" x14ac:dyDescent="0.45">
      <c r="C53">
        <f t="shared" si="38"/>
        <v>41</v>
      </c>
      <c r="D53" s="2">
        <f t="shared" ref="D53:O62" si="58">$C$7*BL_MBPS*BL_KM^2*D$12^3*$C53^2/((EM_KM*D$12)^2+(2*PI()*AVG_SUN_DIST_KM*$C53)^2)</f>
        <v>415.77245951192896</v>
      </c>
      <c r="E53" s="2">
        <f t="shared" si="58"/>
        <v>1424.1121017963685</v>
      </c>
      <c r="F53" s="2">
        <f t="shared" si="58"/>
        <v>2460.9234350743077</v>
      </c>
      <c r="G53" s="2">
        <f t="shared" si="58"/>
        <v>3465.6358507628947</v>
      </c>
      <c r="H53" s="2">
        <f t="shared" si="58"/>
        <v>4447.7416390658309</v>
      </c>
      <c r="I53" s="2">
        <f t="shared" si="58"/>
        <v>5415.8612214277755</v>
      </c>
      <c r="J53" s="2">
        <f t="shared" si="58"/>
        <v>6375.0927121490977</v>
      </c>
      <c r="K53" s="2">
        <f t="shared" si="58"/>
        <v>7328.418355418371</v>
      </c>
      <c r="L53" s="2">
        <f t="shared" si="58"/>
        <v>8277.6515200336871</v>
      </c>
      <c r="M53" s="2">
        <f t="shared" si="58"/>
        <v>9223.9443560038926</v>
      </c>
      <c r="N53" s="2">
        <f t="shared" si="58"/>
        <v>10168.05905540938</v>
      </c>
      <c r="O53" s="2">
        <f t="shared" si="58"/>
        <v>11110.517957317272</v>
      </c>
      <c r="P53" s="2">
        <f t="shared" si="56"/>
        <v>8391.4962151687632</v>
      </c>
      <c r="R53">
        <f t="shared" si="40"/>
        <v>41</v>
      </c>
      <c r="S53" s="2">
        <f t="shared" si="57"/>
        <v>20500</v>
      </c>
      <c r="T53" s="2">
        <f t="shared" si="57"/>
        <v>41000</v>
      </c>
      <c r="U53" s="2">
        <f t="shared" si="57"/>
        <v>61500</v>
      </c>
      <c r="V53" s="2">
        <f t="shared" si="57"/>
        <v>82000</v>
      </c>
      <c r="W53" s="2">
        <f t="shared" si="57"/>
        <v>102500</v>
      </c>
      <c r="X53" s="2">
        <f t="shared" si="57"/>
        <v>123000</v>
      </c>
      <c r="Y53" s="2">
        <f t="shared" si="57"/>
        <v>143500</v>
      </c>
      <c r="Z53" s="2">
        <f t="shared" si="57"/>
        <v>164000</v>
      </c>
      <c r="AA53" s="2">
        <f t="shared" si="57"/>
        <v>184500</v>
      </c>
      <c r="AB53" s="2">
        <f t="shared" si="57"/>
        <v>205000</v>
      </c>
      <c r="AC53" s="2">
        <f t="shared" si="57"/>
        <v>225500</v>
      </c>
      <c r="AD53" s="2">
        <f t="shared" si="57"/>
        <v>246000</v>
      </c>
      <c r="AE53" s="2">
        <f t="shared" si="57"/>
        <v>184500</v>
      </c>
      <c r="AG53">
        <f t="shared" si="41"/>
        <v>41</v>
      </c>
      <c r="AH53" s="6">
        <f t="shared" si="42"/>
        <v>2.0281583390825801E-2</v>
      </c>
      <c r="AI53" s="6">
        <f t="shared" si="43"/>
        <v>3.47344415072285E-2</v>
      </c>
      <c r="AJ53" s="6">
        <f t="shared" si="44"/>
        <v>4.001501520446029E-2</v>
      </c>
      <c r="AK53" s="6">
        <f t="shared" si="45"/>
        <v>4.2263851838571884E-2</v>
      </c>
      <c r="AL53" s="6">
        <f t="shared" si="46"/>
        <v>4.3392601356739814E-2</v>
      </c>
      <c r="AM53" s="6">
        <f t="shared" si="47"/>
        <v>4.4031392044128259E-2</v>
      </c>
      <c r="AN53" s="6">
        <f t="shared" si="48"/>
        <v>4.4425733185708E-2</v>
      </c>
      <c r="AO53" s="6">
        <f t="shared" si="49"/>
        <v>4.4685477776941283E-2</v>
      </c>
      <c r="AP53" s="6">
        <f t="shared" si="50"/>
        <v>4.4865319891781504E-2</v>
      </c>
      <c r="AQ53" s="6">
        <f t="shared" si="51"/>
        <v>4.4994850517092157E-2</v>
      </c>
      <c r="AR53" s="6">
        <f t="shared" si="52"/>
        <v>4.5091170977425189E-2</v>
      </c>
      <c r="AS53" s="6">
        <f t="shared" si="53"/>
        <v>4.5164707143566143E-2</v>
      </c>
      <c r="AT53" s="6">
        <f t="shared" si="54"/>
        <v>4.5482364309857796E-2</v>
      </c>
      <c r="AW53" s="3">
        <f t="shared" si="32"/>
        <v>820</v>
      </c>
      <c r="AX53" s="3">
        <f t="shared" si="24"/>
        <v>60</v>
      </c>
      <c r="AY53" s="3">
        <f t="shared" si="25"/>
        <v>49200</v>
      </c>
      <c r="AZ53" s="13">
        <f t="shared" si="26"/>
        <v>3.3346078832131712E-2</v>
      </c>
      <c r="BA53" s="3">
        <f t="shared" si="36"/>
        <v>1640.6270785408801</v>
      </c>
      <c r="BB53" s="3">
        <f t="shared" si="37"/>
        <v>1643.8962505129793</v>
      </c>
      <c r="BC53" s="3">
        <f t="shared" si="21"/>
        <v>1646.3841981162907</v>
      </c>
      <c r="BD53" s="3">
        <f t="shared" si="22"/>
        <v>3280</v>
      </c>
    </row>
    <row r="54" spans="3:56" x14ac:dyDescent="0.45">
      <c r="C54">
        <f t="shared" si="38"/>
        <v>42</v>
      </c>
      <c r="D54" s="2">
        <f t="shared" si="58"/>
        <v>424.6683602235961</v>
      </c>
      <c r="E54" s="2">
        <f t="shared" si="58"/>
        <v>1477.1040104142842</v>
      </c>
      <c r="F54" s="2">
        <f t="shared" si="58"/>
        <v>2567.0172172703283</v>
      </c>
      <c r="G54" s="2">
        <f t="shared" si="58"/>
        <v>3623.8241491070016</v>
      </c>
      <c r="H54" s="2">
        <f t="shared" si="58"/>
        <v>4656.4343774534163</v>
      </c>
      <c r="I54" s="2">
        <f t="shared" si="58"/>
        <v>5673.8983068391344</v>
      </c>
      <c r="J54" s="2">
        <f t="shared" si="58"/>
        <v>6681.6831794906784</v>
      </c>
      <c r="K54" s="2">
        <f t="shared" si="58"/>
        <v>7683.0163947997171</v>
      </c>
      <c r="L54" s="2">
        <f t="shared" si="58"/>
        <v>8679.8701293898102</v>
      </c>
      <c r="M54" s="2">
        <f t="shared" si="58"/>
        <v>9673.5012584082669</v>
      </c>
      <c r="N54" s="2">
        <f t="shared" si="58"/>
        <v>10664.742940826674</v>
      </c>
      <c r="O54" s="2">
        <f t="shared" si="58"/>
        <v>11654.166963625023</v>
      </c>
      <c r="P54" s="2">
        <f t="shared" si="56"/>
        <v>8805.665055772497</v>
      </c>
      <c r="R54">
        <f t="shared" si="40"/>
        <v>42</v>
      </c>
      <c r="S54" s="2">
        <f t="shared" si="57"/>
        <v>21000</v>
      </c>
      <c r="T54" s="2">
        <f t="shared" si="57"/>
        <v>42000</v>
      </c>
      <c r="U54" s="2">
        <f t="shared" si="57"/>
        <v>63000</v>
      </c>
      <c r="V54" s="2">
        <f t="shared" si="57"/>
        <v>84000</v>
      </c>
      <c r="W54" s="2">
        <f t="shared" si="57"/>
        <v>105000</v>
      </c>
      <c r="X54" s="2">
        <f t="shared" si="57"/>
        <v>126000</v>
      </c>
      <c r="Y54" s="2">
        <f t="shared" si="57"/>
        <v>147000</v>
      </c>
      <c r="Z54" s="2">
        <f t="shared" si="57"/>
        <v>168000</v>
      </c>
      <c r="AA54" s="2">
        <f t="shared" si="57"/>
        <v>189000</v>
      </c>
      <c r="AB54" s="2">
        <f t="shared" si="57"/>
        <v>210000</v>
      </c>
      <c r="AC54" s="2">
        <f t="shared" si="57"/>
        <v>231000</v>
      </c>
      <c r="AD54" s="2">
        <f t="shared" si="57"/>
        <v>252000</v>
      </c>
      <c r="AE54" s="2">
        <f t="shared" si="57"/>
        <v>189000</v>
      </c>
      <c r="AG54">
        <f t="shared" si="41"/>
        <v>42</v>
      </c>
      <c r="AH54" s="6">
        <f t="shared" si="42"/>
        <v>2.0222302867790289E-2</v>
      </c>
      <c r="AI54" s="6">
        <f t="shared" si="43"/>
        <v>3.5169143105102003E-2</v>
      </c>
      <c r="AJ54" s="6">
        <f t="shared" si="44"/>
        <v>4.0746305036036955E-2</v>
      </c>
      <c r="AK54" s="6">
        <f t="shared" si="45"/>
        <v>4.3140763679845255E-2</v>
      </c>
      <c r="AL54" s="6">
        <f t="shared" si="46"/>
        <v>4.434699407098492E-2</v>
      </c>
      <c r="AM54" s="6">
        <f t="shared" si="47"/>
        <v>4.5030938943167731E-2</v>
      </c>
      <c r="AN54" s="6">
        <f t="shared" si="48"/>
        <v>4.545362707136516E-2</v>
      </c>
      <c r="AO54" s="6">
        <f t="shared" si="49"/>
        <v>4.5732240445236411E-2</v>
      </c>
      <c r="AP54" s="6">
        <f t="shared" si="50"/>
        <v>4.5925238779840269E-2</v>
      </c>
      <c r="AQ54" s="6">
        <f t="shared" si="51"/>
        <v>4.6064291706706034E-2</v>
      </c>
      <c r="AR54" s="6">
        <f t="shared" si="52"/>
        <v>4.6167718358557035E-2</v>
      </c>
      <c r="AS54" s="6">
        <f t="shared" si="53"/>
        <v>4.6246694300099297E-2</v>
      </c>
      <c r="AT54" s="6">
        <f t="shared" si="54"/>
        <v>4.6590820400912683E-2</v>
      </c>
      <c r="AW54" s="3">
        <f t="shared" si="32"/>
        <v>840</v>
      </c>
      <c r="AX54" s="3">
        <f t="shared" si="24"/>
        <v>62</v>
      </c>
      <c r="AY54" s="3">
        <f t="shared" si="25"/>
        <v>52080</v>
      </c>
      <c r="AZ54" s="13">
        <f t="shared" si="26"/>
        <v>3.4457595480713497E-2</v>
      </c>
      <c r="BA54" s="3">
        <f t="shared" si="36"/>
        <v>1794.5515726355588</v>
      </c>
      <c r="BB54" s="3">
        <f t="shared" si="37"/>
        <v>1790.3305154045725</v>
      </c>
      <c r="BC54" s="3">
        <f t="shared" si="21"/>
        <v>1785.2571632548163</v>
      </c>
      <c r="BD54" s="3">
        <f t="shared" si="22"/>
        <v>3587.7333333333331</v>
      </c>
    </row>
    <row r="55" spans="3:56" x14ac:dyDescent="0.45">
      <c r="C55">
        <f t="shared" si="38"/>
        <v>43</v>
      </c>
      <c r="D55" s="2">
        <f t="shared" si="58"/>
        <v>433.3000248510611</v>
      </c>
      <c r="E55" s="2">
        <f t="shared" si="58"/>
        <v>1530.1143907501582</v>
      </c>
      <c r="F55" s="2">
        <f t="shared" si="58"/>
        <v>2674.3626996786447</v>
      </c>
      <c r="G55" s="2">
        <f t="shared" si="58"/>
        <v>3784.6627350954946</v>
      </c>
      <c r="H55" s="2">
        <f t="shared" si="58"/>
        <v>4869.1465111249045</v>
      </c>
      <c r="I55" s="2">
        <f t="shared" si="58"/>
        <v>5937.2724999784641</v>
      </c>
      <c r="J55" s="2">
        <f t="shared" si="58"/>
        <v>6994.8850597049941</v>
      </c>
      <c r="K55" s="2">
        <f t="shared" si="58"/>
        <v>8045.467122691387</v>
      </c>
      <c r="L55" s="2">
        <f t="shared" si="58"/>
        <v>9091.157960782115</v>
      </c>
      <c r="M55" s="2">
        <f t="shared" si="58"/>
        <v>10133.325235256461</v>
      </c>
      <c r="N55" s="2">
        <f t="shared" si="58"/>
        <v>11172.877438238129</v>
      </c>
      <c r="O55" s="2">
        <f t="shared" si="58"/>
        <v>12210.438970810521</v>
      </c>
      <c r="P55" s="2">
        <f t="shared" si="56"/>
        <v>9229.8060442225215</v>
      </c>
      <c r="R55">
        <f t="shared" si="40"/>
        <v>43</v>
      </c>
      <c r="S55" s="2">
        <f t="shared" si="57"/>
        <v>21500</v>
      </c>
      <c r="T55" s="2">
        <f t="shared" si="57"/>
        <v>43000</v>
      </c>
      <c r="U55" s="2">
        <f t="shared" si="57"/>
        <v>64500</v>
      </c>
      <c r="V55" s="2">
        <f t="shared" si="57"/>
        <v>86000</v>
      </c>
      <c r="W55" s="2">
        <f t="shared" si="57"/>
        <v>107500</v>
      </c>
      <c r="X55" s="2">
        <f t="shared" si="57"/>
        <v>129000</v>
      </c>
      <c r="Y55" s="2">
        <f t="shared" si="57"/>
        <v>150500</v>
      </c>
      <c r="Z55" s="2">
        <f t="shared" si="57"/>
        <v>172000</v>
      </c>
      <c r="AA55" s="2">
        <f t="shared" si="57"/>
        <v>193500</v>
      </c>
      <c r="AB55" s="2">
        <f t="shared" si="57"/>
        <v>215000</v>
      </c>
      <c r="AC55" s="2">
        <f t="shared" si="57"/>
        <v>236500</v>
      </c>
      <c r="AD55" s="2">
        <f t="shared" si="57"/>
        <v>258000</v>
      </c>
      <c r="AE55" s="2">
        <f t="shared" si="57"/>
        <v>193500</v>
      </c>
      <c r="AG55">
        <f t="shared" si="41"/>
        <v>43</v>
      </c>
      <c r="AH55" s="6">
        <f t="shared" si="42"/>
        <v>2.0153489527956332E-2</v>
      </c>
      <c r="AI55" s="6">
        <f t="shared" si="43"/>
        <v>3.558405559884089E-2</v>
      </c>
      <c r="AJ55" s="6">
        <f t="shared" si="44"/>
        <v>4.1462987591916974E-2</v>
      </c>
      <c r="AK55" s="6">
        <f t="shared" si="45"/>
        <v>4.4007706222040636E-2</v>
      </c>
      <c r="AL55" s="6">
        <f t="shared" si="46"/>
        <v>4.5294386149999109E-2</v>
      </c>
      <c r="AM55" s="6">
        <f t="shared" si="47"/>
        <v>4.6025368216887318E-2</v>
      </c>
      <c r="AN55" s="6">
        <f t="shared" si="48"/>
        <v>4.647764159272421E-2</v>
      </c>
      <c r="AO55" s="6">
        <f t="shared" si="49"/>
        <v>4.6775971643554577E-2</v>
      </c>
      <c r="AP55" s="6">
        <f t="shared" si="50"/>
        <v>4.6982728479494133E-2</v>
      </c>
      <c r="AQ55" s="6">
        <f t="shared" si="51"/>
        <v>4.7131745280262614E-2</v>
      </c>
      <c r="AR55" s="6">
        <f t="shared" si="52"/>
        <v>4.7242610732507948E-2</v>
      </c>
      <c r="AS55" s="6">
        <f t="shared" si="53"/>
        <v>4.7327282832598919E-2</v>
      </c>
      <c r="AT55" s="6">
        <f t="shared" si="54"/>
        <v>4.769925604249365E-2</v>
      </c>
      <c r="AW55" s="3">
        <f t="shared" si="32"/>
        <v>860</v>
      </c>
      <c r="AX55" s="3">
        <f t="shared" si="24"/>
        <v>63</v>
      </c>
      <c r="AY55" s="3">
        <f t="shared" si="25"/>
        <v>54180</v>
      </c>
      <c r="AZ55" s="13">
        <f t="shared" si="26"/>
        <v>3.5013353805004387E-2</v>
      </c>
      <c r="BA55" s="3">
        <f t="shared" si="36"/>
        <v>1897.0235091551376</v>
      </c>
      <c r="BB55" s="3">
        <f t="shared" si="37"/>
        <v>1899.7010019994677</v>
      </c>
      <c r="BC55" s="3">
        <f t="shared" si="21"/>
        <v>1901.4782291137356</v>
      </c>
      <c r="BD55" s="3">
        <f t="shared" si="22"/>
        <v>3792.6</v>
      </c>
    </row>
    <row r="56" spans="3:56" x14ac:dyDescent="0.45">
      <c r="C56">
        <f t="shared" si="38"/>
        <v>44</v>
      </c>
      <c r="D56" s="2">
        <f t="shared" si="58"/>
        <v>441.67219934495586</v>
      </c>
      <c r="E56" s="2">
        <f t="shared" si="58"/>
        <v>1583.0992191737578</v>
      </c>
      <c r="F56" s="2">
        <f t="shared" si="58"/>
        <v>2782.8914524612592</v>
      </c>
      <c r="G56" s="2">
        <f t="shared" si="58"/>
        <v>3948.0818421496811</v>
      </c>
      <c r="H56" s="2">
        <f t="shared" si="58"/>
        <v>5085.813507448438</v>
      </c>
      <c r="I56" s="2">
        <f t="shared" si="58"/>
        <v>6205.9255570623254</v>
      </c>
      <c r="J56" s="2">
        <f t="shared" si="58"/>
        <v>7314.6459511836902</v>
      </c>
      <c r="K56" s="2">
        <f t="shared" si="58"/>
        <v>8415.7232161671709</v>
      </c>
      <c r="L56" s="2">
        <f t="shared" si="58"/>
        <v>9511.4720255825796</v>
      </c>
      <c r="M56" s="2">
        <f t="shared" si="58"/>
        <v>10603.37698956744</v>
      </c>
      <c r="N56" s="2">
        <f t="shared" si="58"/>
        <v>11692.426408457144</v>
      </c>
      <c r="O56" s="2">
        <f t="shared" si="58"/>
        <v>12779.300558883828</v>
      </c>
      <c r="P56" s="2">
        <f t="shared" si="56"/>
        <v>9663.9189987029404</v>
      </c>
      <c r="R56">
        <f t="shared" si="40"/>
        <v>44</v>
      </c>
      <c r="S56" s="2">
        <f t="shared" si="57"/>
        <v>22000</v>
      </c>
      <c r="T56" s="2">
        <f t="shared" si="57"/>
        <v>44000</v>
      </c>
      <c r="U56" s="2">
        <f t="shared" si="57"/>
        <v>66000</v>
      </c>
      <c r="V56" s="2">
        <f t="shared" si="57"/>
        <v>88000</v>
      </c>
      <c r="W56" s="2">
        <f t="shared" si="57"/>
        <v>110000</v>
      </c>
      <c r="X56" s="2">
        <f t="shared" si="57"/>
        <v>132000</v>
      </c>
      <c r="Y56" s="2">
        <f t="shared" si="57"/>
        <v>154000</v>
      </c>
      <c r="Z56" s="2">
        <f t="shared" si="57"/>
        <v>176000</v>
      </c>
      <c r="AA56" s="2">
        <f t="shared" si="57"/>
        <v>198000</v>
      </c>
      <c r="AB56" s="2">
        <f t="shared" si="57"/>
        <v>220000</v>
      </c>
      <c r="AC56" s="2">
        <f t="shared" si="57"/>
        <v>242000</v>
      </c>
      <c r="AD56" s="2">
        <f t="shared" si="57"/>
        <v>264000</v>
      </c>
      <c r="AE56" s="2">
        <f t="shared" si="57"/>
        <v>198000</v>
      </c>
      <c r="AG56">
        <f t="shared" si="41"/>
        <v>44</v>
      </c>
      <c r="AH56" s="6">
        <f t="shared" si="42"/>
        <v>2.0076009061134357E-2</v>
      </c>
      <c r="AI56" s="6">
        <f t="shared" si="43"/>
        <v>3.5979527708494496E-2</v>
      </c>
      <c r="AJ56" s="6">
        <f t="shared" si="44"/>
        <v>4.2165022006988774E-2</v>
      </c>
      <c r="AK56" s="6">
        <f t="shared" si="45"/>
        <v>4.4864566388064554E-2</v>
      </c>
      <c r="AL56" s="6">
        <f t="shared" si="46"/>
        <v>4.6234668249531256E-2</v>
      </c>
      <c r="AM56" s="6">
        <f t="shared" si="47"/>
        <v>4.7014587553502463E-2</v>
      </c>
      <c r="AN56" s="6">
        <f t="shared" si="48"/>
        <v>4.7497700981712271E-2</v>
      </c>
      <c r="AO56" s="6">
        <f t="shared" si="49"/>
        <v>4.7816609182768019E-2</v>
      </c>
      <c r="AP56" s="6">
        <f t="shared" si="50"/>
        <v>4.8037737502942324E-2</v>
      </c>
      <c r="AQ56" s="6">
        <f t="shared" si="51"/>
        <v>4.819716813439745E-2</v>
      </c>
      <c r="AR56" s="6">
        <f t="shared" si="52"/>
        <v>4.8315811605194811E-2</v>
      </c>
      <c r="AS56" s="6">
        <f t="shared" si="53"/>
        <v>4.840644151092359E-2</v>
      </c>
      <c r="AT56" s="6">
        <f t="shared" si="54"/>
        <v>4.8807671710620913E-2</v>
      </c>
      <c r="AW56" s="3">
        <f t="shared" si="32"/>
        <v>880</v>
      </c>
      <c r="AX56" s="3">
        <f t="shared" si="24"/>
        <v>65</v>
      </c>
      <c r="AY56" s="3">
        <f t="shared" si="25"/>
        <v>57200</v>
      </c>
      <c r="AZ56" s="13">
        <f t="shared" si="26"/>
        <v>3.6124870453586165E-2</v>
      </c>
      <c r="BA56" s="3">
        <f t="shared" si="36"/>
        <v>2066.3425899451286</v>
      </c>
      <c r="BB56" s="3">
        <f t="shared" si="37"/>
        <v>2060.7285782073882</v>
      </c>
      <c r="BC56" s="3">
        <f t="shared" si="21"/>
        <v>2054.1283638863442</v>
      </c>
      <c r="BD56" s="3">
        <f t="shared" si="22"/>
        <v>4131.1111111111113</v>
      </c>
    </row>
    <row r="57" spans="3:56" x14ac:dyDescent="0.45">
      <c r="C57">
        <f t="shared" si="38"/>
        <v>45</v>
      </c>
      <c r="D57" s="2">
        <f t="shared" si="58"/>
        <v>449.79006868858653</v>
      </c>
      <c r="E57" s="2">
        <f t="shared" si="58"/>
        <v>1636.0165541411691</v>
      </c>
      <c r="F57" s="2">
        <f t="shared" si="58"/>
        <v>2892.5357051697333</v>
      </c>
      <c r="G57" s="2">
        <f t="shared" si="58"/>
        <v>4114.0114086007479</v>
      </c>
      <c r="H57" s="2">
        <f t="shared" si="58"/>
        <v>5306.3701272187955</v>
      </c>
      <c r="I57" s="2">
        <f t="shared" si="58"/>
        <v>6479.7983781522516</v>
      </c>
      <c r="J57" s="2">
        <f t="shared" si="58"/>
        <v>7640.9125615551848</v>
      </c>
      <c r="K57" s="2">
        <f t="shared" si="58"/>
        <v>8793.7364764838676</v>
      </c>
      <c r="L57" s="2">
        <f t="shared" si="58"/>
        <v>9940.7684947758207</v>
      </c>
      <c r="M57" s="2">
        <f t="shared" si="58"/>
        <v>11083.616426703764</v>
      </c>
      <c r="N57" s="2">
        <f t="shared" si="58"/>
        <v>12223.35295863128</v>
      </c>
      <c r="O57" s="2">
        <f t="shared" si="58"/>
        <v>13360.717596713588</v>
      </c>
      <c r="P57" s="2">
        <f t="shared" si="56"/>
        <v>10108.003741581846</v>
      </c>
      <c r="R57">
        <f t="shared" si="40"/>
        <v>45</v>
      </c>
      <c r="S57" s="2">
        <f t="shared" si="57"/>
        <v>22500</v>
      </c>
      <c r="T57" s="2">
        <f t="shared" si="57"/>
        <v>45000</v>
      </c>
      <c r="U57" s="2">
        <f t="shared" si="57"/>
        <v>67500</v>
      </c>
      <c r="V57" s="2">
        <f t="shared" si="57"/>
        <v>90000</v>
      </c>
      <c r="W57" s="2">
        <f t="shared" si="57"/>
        <v>112500</v>
      </c>
      <c r="X57" s="2">
        <f t="shared" si="57"/>
        <v>135000</v>
      </c>
      <c r="Y57" s="2">
        <f t="shared" si="57"/>
        <v>157500</v>
      </c>
      <c r="Z57" s="2">
        <f t="shared" si="57"/>
        <v>180000</v>
      </c>
      <c r="AA57" s="2">
        <f t="shared" si="57"/>
        <v>202500</v>
      </c>
      <c r="AB57" s="2">
        <f t="shared" si="57"/>
        <v>225000</v>
      </c>
      <c r="AC57" s="2">
        <f t="shared" si="57"/>
        <v>247500</v>
      </c>
      <c r="AD57" s="2">
        <f t="shared" si="57"/>
        <v>270000</v>
      </c>
      <c r="AE57" s="2">
        <f t="shared" si="57"/>
        <v>202500</v>
      </c>
      <c r="AG57">
        <f t="shared" si="41"/>
        <v>45</v>
      </c>
      <c r="AH57" s="6">
        <f t="shared" si="42"/>
        <v>1.9990669719492735E-2</v>
      </c>
      <c r="AI57" s="6">
        <f t="shared" si="43"/>
        <v>3.6355923425359316E-2</v>
      </c>
      <c r="AJ57" s="6">
        <f t="shared" si="44"/>
        <v>4.285238081732938E-2</v>
      </c>
      <c r="AK57" s="6">
        <f t="shared" si="45"/>
        <v>4.5711237873341644E-2</v>
      </c>
      <c r="AL57" s="6">
        <f t="shared" si="46"/>
        <v>4.7167734464167069E-2</v>
      </c>
      <c r="AM57" s="6">
        <f t="shared" si="47"/>
        <v>4.7998506504831492E-2</v>
      </c>
      <c r="AN57" s="6">
        <f t="shared" si="48"/>
        <v>4.8513730549556731E-2</v>
      </c>
      <c r="AO57" s="6">
        <f t="shared" si="49"/>
        <v>4.8854091536021486E-2</v>
      </c>
      <c r="AP57" s="6">
        <f t="shared" si="50"/>
        <v>4.9090214789016401E-2</v>
      </c>
      <c r="AQ57" s="6">
        <f t="shared" si="51"/>
        <v>4.9260517452016726E-2</v>
      </c>
      <c r="AR57" s="6">
        <f t="shared" si="52"/>
        <v>4.9387284681338503E-2</v>
      </c>
      <c r="AS57" s="6">
        <f t="shared" si="53"/>
        <v>4.9484139247087361E-2</v>
      </c>
      <c r="AT57" s="6">
        <f t="shared" si="54"/>
        <v>4.9916067859663439E-2</v>
      </c>
      <c r="AW57" s="3">
        <f t="shared" si="32"/>
        <v>900</v>
      </c>
      <c r="AX57" s="3">
        <f t="shared" si="24"/>
        <v>66</v>
      </c>
      <c r="AY57" s="3">
        <f t="shared" si="25"/>
        <v>59400</v>
      </c>
      <c r="AZ57" s="13">
        <f t="shared" si="26"/>
        <v>3.6680628777877054E-2</v>
      </c>
      <c r="BA57" s="3">
        <f t="shared" si="36"/>
        <v>2178.8293494058971</v>
      </c>
      <c r="BB57" s="3">
        <f t="shared" si="37"/>
        <v>2180.7526968401958</v>
      </c>
      <c r="BC57" s="3">
        <f t="shared" si="21"/>
        <v>2181.6439357747399</v>
      </c>
      <c r="BD57" s="3">
        <f t="shared" si="22"/>
        <v>4356</v>
      </c>
    </row>
    <row r="58" spans="3:56" x14ac:dyDescent="0.45">
      <c r="C58">
        <f t="shared" si="38"/>
        <v>46</v>
      </c>
      <c r="D58" s="2">
        <f t="shared" si="58"/>
        <v>457.6591718523128</v>
      </c>
      <c r="E58" s="2">
        <f t="shared" si="58"/>
        <v>1688.8265272919211</v>
      </c>
      <c r="F58" s="2">
        <f t="shared" si="58"/>
        <v>3003.228421698393</v>
      </c>
      <c r="G58" s="2">
        <f t="shared" si="58"/>
        <v>4282.3811422318968</v>
      </c>
      <c r="H58" s="2">
        <f t="shared" si="58"/>
        <v>5530.7504696393626</v>
      </c>
      <c r="I58" s="2">
        <f t="shared" si="58"/>
        <v>6758.8310378272308</v>
      </c>
      <c r="J58" s="2">
        <f t="shared" si="58"/>
        <v>7973.6307289899432</v>
      </c>
      <c r="K58" s="2">
        <f t="shared" si="58"/>
        <v>9179.4578442873026</v>
      </c>
      <c r="L58" s="2">
        <f t="shared" si="58"/>
        <v>10379.002710111343</v>
      </c>
      <c r="M58" s="2">
        <f t="shared" si="58"/>
        <v>11574.002662756846</v>
      </c>
      <c r="N58" s="2">
        <f t="shared" si="58"/>
        <v>12765.619448687838</v>
      </c>
      <c r="O58" s="2">
        <f t="shared" si="58"/>
        <v>13954.655247078714</v>
      </c>
      <c r="P58" s="2">
        <f t="shared" si="56"/>
        <v>10562.060099223143</v>
      </c>
      <c r="R58">
        <f t="shared" si="40"/>
        <v>46</v>
      </c>
      <c r="S58" s="2">
        <f t="shared" si="57"/>
        <v>23000</v>
      </c>
      <c r="T58" s="2">
        <f t="shared" si="57"/>
        <v>46000</v>
      </c>
      <c r="U58" s="2">
        <f t="shared" si="57"/>
        <v>69000</v>
      </c>
      <c r="V58" s="2">
        <f t="shared" si="57"/>
        <v>92000</v>
      </c>
      <c r="W58" s="2">
        <f t="shared" si="57"/>
        <v>115000</v>
      </c>
      <c r="X58" s="2">
        <f t="shared" si="57"/>
        <v>138000</v>
      </c>
      <c r="Y58" s="2">
        <f t="shared" si="57"/>
        <v>161000</v>
      </c>
      <c r="Z58" s="2">
        <f t="shared" si="57"/>
        <v>184000</v>
      </c>
      <c r="AA58" s="2">
        <f t="shared" si="57"/>
        <v>207000</v>
      </c>
      <c r="AB58" s="2">
        <f t="shared" si="57"/>
        <v>230000</v>
      </c>
      <c r="AC58" s="2">
        <f t="shared" si="57"/>
        <v>253000</v>
      </c>
      <c r="AD58" s="2">
        <f t="shared" si="57"/>
        <v>276000</v>
      </c>
      <c r="AE58" s="2">
        <f t="shared" si="57"/>
        <v>207000</v>
      </c>
      <c r="AG58">
        <f t="shared" si="41"/>
        <v>46</v>
      </c>
      <c r="AH58" s="6">
        <f t="shared" si="42"/>
        <v>1.9898224863144034E-2</v>
      </c>
      <c r="AI58" s="6">
        <f t="shared" si="43"/>
        <v>3.6713620158520026E-2</v>
      </c>
      <c r="AJ58" s="6">
        <f t="shared" si="44"/>
        <v>4.3525049589831784E-2</v>
      </c>
      <c r="AK58" s="6">
        <f t="shared" si="45"/>
        <v>4.654762111121627E-2</v>
      </c>
      <c r="AL58" s="6">
        <f t="shared" si="46"/>
        <v>4.809348234469011E-2</v>
      </c>
      <c r="AM58" s="6">
        <f t="shared" si="47"/>
        <v>4.8977036505994428E-2</v>
      </c>
      <c r="AN58" s="6">
        <f t="shared" si="48"/>
        <v>4.9525656701800889E-2</v>
      </c>
      <c r="AO58" s="6">
        <f t="shared" si="49"/>
        <v>4.9888357849387513E-2</v>
      </c>
      <c r="AP58" s="6">
        <f t="shared" si="50"/>
        <v>5.0140109710682813E-2</v>
      </c>
      <c r="AQ58" s="6">
        <f t="shared" si="51"/>
        <v>5.032175070763846E-2</v>
      </c>
      <c r="AR58" s="6">
        <f t="shared" si="52"/>
        <v>5.0456993868331371E-2</v>
      </c>
      <c r="AS58" s="6">
        <f t="shared" si="53"/>
        <v>5.0560345098111283E-2</v>
      </c>
      <c r="AT58" s="6">
        <f t="shared" si="54"/>
        <v>5.1024444923783302E-2</v>
      </c>
      <c r="AW58" s="3">
        <f t="shared" si="32"/>
        <v>920</v>
      </c>
      <c r="AX58" s="3">
        <f t="shared" si="24"/>
        <v>68</v>
      </c>
      <c r="AY58" s="3">
        <f t="shared" si="25"/>
        <v>62560</v>
      </c>
      <c r="AZ58" s="13">
        <f t="shared" si="26"/>
        <v>3.779214542645884E-2</v>
      </c>
      <c r="BA58" s="3">
        <f t="shared" si="36"/>
        <v>2364.2766178792649</v>
      </c>
      <c r="BB58" s="3">
        <f t="shared" si="37"/>
        <v>2357.0666376601839</v>
      </c>
      <c r="BC58" s="3">
        <f t="shared" si="21"/>
        <v>2348.722684181389</v>
      </c>
      <c r="BD58" s="3">
        <f t="shared" si="22"/>
        <v>4726.7555555555555</v>
      </c>
    </row>
    <row r="59" spans="3:56" x14ac:dyDescent="0.45">
      <c r="C59">
        <f t="shared" si="38"/>
        <v>47</v>
      </c>
      <c r="D59" s="2">
        <f t="shared" si="58"/>
        <v>465.28532638394626</v>
      </c>
      <c r="E59" s="2">
        <f t="shared" si="58"/>
        <v>1741.4913269857802</v>
      </c>
      <c r="F59" s="2">
        <f t="shared" si="58"/>
        <v>3114.9033709443243</v>
      </c>
      <c r="G59" s="2">
        <f t="shared" si="58"/>
        <v>4453.1205836788477</v>
      </c>
      <c r="H59" s="2">
        <f t="shared" si="58"/>
        <v>5758.8880171954997</v>
      </c>
      <c r="I59" s="2">
        <f t="shared" si="58"/>
        <v>7042.9628160249522</v>
      </c>
      <c r="J59" s="2">
        <f t="shared" si="58"/>
        <v>8312.7454437229026</v>
      </c>
      <c r="K59" s="2">
        <f t="shared" si="58"/>
        <v>9572.8374150192758</v>
      </c>
      <c r="L59" s="2">
        <f t="shared" si="58"/>
        <v>10826.129195426145</v>
      </c>
      <c r="M59" s="2">
        <f t="shared" si="58"/>
        <v>12074.494033072639</v>
      </c>
      <c r="N59" s="2">
        <f t="shared" si="58"/>
        <v>13319.187497894334</v>
      </c>
      <c r="O59" s="2">
        <f t="shared" si="58"/>
        <v>14561.07797181428</v>
      </c>
      <c r="P59" s="2">
        <f t="shared" si="56"/>
        <v>11026.087901810763</v>
      </c>
      <c r="R59">
        <f t="shared" si="40"/>
        <v>47</v>
      </c>
      <c r="S59" s="2">
        <f t="shared" si="57"/>
        <v>23500</v>
      </c>
      <c r="T59" s="2">
        <f t="shared" si="57"/>
        <v>47000</v>
      </c>
      <c r="U59" s="2">
        <f t="shared" si="57"/>
        <v>70500</v>
      </c>
      <c r="V59" s="2">
        <f t="shared" si="57"/>
        <v>94000</v>
      </c>
      <c r="W59" s="2">
        <f t="shared" si="57"/>
        <v>117500</v>
      </c>
      <c r="X59" s="2">
        <f t="shared" si="57"/>
        <v>141000</v>
      </c>
      <c r="Y59" s="2">
        <f t="shared" si="57"/>
        <v>164500</v>
      </c>
      <c r="Z59" s="2">
        <f t="shared" si="57"/>
        <v>188000</v>
      </c>
      <c r="AA59" s="2">
        <f t="shared" si="57"/>
        <v>211500</v>
      </c>
      <c r="AB59" s="2">
        <f t="shared" si="57"/>
        <v>235000</v>
      </c>
      <c r="AC59" s="2">
        <f t="shared" si="57"/>
        <v>258500</v>
      </c>
      <c r="AD59" s="2">
        <f t="shared" si="57"/>
        <v>282000</v>
      </c>
      <c r="AE59" s="2">
        <f t="shared" si="57"/>
        <v>211500</v>
      </c>
      <c r="AG59">
        <f t="shared" si="41"/>
        <v>47</v>
      </c>
      <c r="AH59" s="6">
        <f t="shared" si="42"/>
        <v>1.9799375590806224E-2</v>
      </c>
      <c r="AI59" s="6">
        <f t="shared" si="43"/>
        <v>3.7053006957144259E-2</v>
      </c>
      <c r="AJ59" s="6">
        <f t="shared" si="44"/>
        <v>4.4183026538217367E-2</v>
      </c>
      <c r="AK59" s="6">
        <f t="shared" si="45"/>
        <v>4.7373623230626036E-2</v>
      </c>
      <c r="AL59" s="6">
        <f t="shared" si="46"/>
        <v>4.9011812912302125E-2</v>
      </c>
      <c r="AM59" s="6">
        <f t="shared" si="47"/>
        <v>4.9950090893793986E-2</v>
      </c>
      <c r="AN59" s="6">
        <f t="shared" si="48"/>
        <v>5.0533406952722813E-2</v>
      </c>
      <c r="AO59" s="6">
        <f t="shared" si="49"/>
        <v>5.0919347952230187E-2</v>
      </c>
      <c r="AP59" s="6">
        <f t="shared" si="50"/>
        <v>5.1187372082393122E-2</v>
      </c>
      <c r="AQ59" s="6">
        <f t="shared" si="51"/>
        <v>5.1380825672649524E-2</v>
      </c>
      <c r="AR59" s="6">
        <f t="shared" si="52"/>
        <v>5.1524903280055455E-2</v>
      </c>
      <c r="AS59" s="6">
        <f t="shared" si="53"/>
        <v>5.1635028268844967E-2</v>
      </c>
      <c r="AT59" s="6">
        <f t="shared" si="54"/>
        <v>5.2132803318254199E-2</v>
      </c>
      <c r="AW59" s="3">
        <f t="shared" si="32"/>
        <v>940</v>
      </c>
      <c r="AX59" s="3">
        <f t="shared" si="24"/>
        <v>69</v>
      </c>
      <c r="AY59" s="3">
        <f t="shared" si="25"/>
        <v>64860</v>
      </c>
      <c r="AZ59" s="13">
        <f t="shared" si="26"/>
        <v>3.8347903750749729E-2</v>
      </c>
      <c r="BA59" s="3">
        <f t="shared" si="36"/>
        <v>2487.2450372736275</v>
      </c>
      <c r="BB59" s="3">
        <f t="shared" si="37"/>
        <v>2488.2394264764271</v>
      </c>
      <c r="BC59" s="3">
        <f t="shared" si="21"/>
        <v>2488.056361868224</v>
      </c>
      <c r="BD59" s="3">
        <f t="shared" si="22"/>
        <v>4972.6000000000004</v>
      </c>
    </row>
    <row r="60" spans="3:56" x14ac:dyDescent="0.45">
      <c r="C60">
        <f t="shared" si="38"/>
        <v>48</v>
      </c>
      <c r="D60" s="2">
        <f t="shared" si="58"/>
        <v>472.67456185879581</v>
      </c>
      <c r="E60" s="2">
        <f t="shared" si="58"/>
        <v>1793.9751749807358</v>
      </c>
      <c r="F60" s="2">
        <f t="shared" si="58"/>
        <v>3227.4951931538753</v>
      </c>
      <c r="G60" s="2">
        <f t="shared" si="58"/>
        <v>4626.1591686070151</v>
      </c>
      <c r="H60" s="2">
        <f t="shared" si="58"/>
        <v>5990.7156803688549</v>
      </c>
      <c r="I60" s="2">
        <f t="shared" si="58"/>
        <v>7332.1322290243088</v>
      </c>
      <c r="J60" s="2">
        <f t="shared" si="58"/>
        <v>8658.2008697778892</v>
      </c>
      <c r="K60" s="2">
        <f t="shared" si="58"/>
        <v>9973.8244545166981</v>
      </c>
      <c r="L60" s="2">
        <f t="shared" si="58"/>
        <v>11282.101668132409</v>
      </c>
      <c r="M60" s="2">
        <f t="shared" si="58"/>
        <v>12585.048100914428</v>
      </c>
      <c r="N60" s="2">
        <f t="shared" si="58"/>
        <v>13884.017991531813</v>
      </c>
      <c r="O60" s="2">
        <f t="shared" si="58"/>
        <v>15179.949537050294</v>
      </c>
      <c r="P60" s="2">
        <f t="shared" si="56"/>
        <v>11500.086983184268</v>
      </c>
      <c r="R60">
        <f t="shared" si="40"/>
        <v>48</v>
      </c>
      <c r="S60" s="2">
        <f t="shared" si="57"/>
        <v>24000</v>
      </c>
      <c r="T60" s="2">
        <f t="shared" si="57"/>
        <v>48000</v>
      </c>
      <c r="U60" s="2">
        <f t="shared" si="57"/>
        <v>72000</v>
      </c>
      <c r="V60" s="2">
        <f t="shared" si="57"/>
        <v>96000</v>
      </c>
      <c r="W60" s="2">
        <f t="shared" si="57"/>
        <v>120000</v>
      </c>
      <c r="X60" s="2">
        <f t="shared" si="57"/>
        <v>144000</v>
      </c>
      <c r="Y60" s="2">
        <f t="shared" si="57"/>
        <v>168000</v>
      </c>
      <c r="Z60" s="2">
        <f t="shared" si="57"/>
        <v>192000</v>
      </c>
      <c r="AA60" s="2">
        <f t="shared" si="57"/>
        <v>216000</v>
      </c>
      <c r="AB60" s="2">
        <f t="shared" si="57"/>
        <v>240000</v>
      </c>
      <c r="AC60" s="2">
        <f t="shared" si="57"/>
        <v>264000</v>
      </c>
      <c r="AD60" s="2">
        <f t="shared" si="57"/>
        <v>288000</v>
      </c>
      <c r="AE60" s="2">
        <f t="shared" si="57"/>
        <v>216000</v>
      </c>
      <c r="AG60">
        <f t="shared" si="41"/>
        <v>48</v>
      </c>
      <c r="AH60" s="6">
        <f t="shared" si="42"/>
        <v>1.969477341078316E-2</v>
      </c>
      <c r="AI60" s="6">
        <f t="shared" si="43"/>
        <v>3.737448281209866E-2</v>
      </c>
      <c r="AJ60" s="6">
        <f t="shared" si="44"/>
        <v>4.4826322127137157E-2</v>
      </c>
      <c r="AK60" s="6">
        <f t="shared" si="45"/>
        <v>4.8189158006323077E-2</v>
      </c>
      <c r="AL60" s="6">
        <f t="shared" si="46"/>
        <v>4.992263066974046E-2</v>
      </c>
      <c r="AM60" s="6">
        <f t="shared" si="47"/>
        <v>5.0917584923779922E-2</v>
      </c>
      <c r="AN60" s="6">
        <f t="shared" si="48"/>
        <v>5.1536909939154101E-2</v>
      </c>
      <c r="AO60" s="6">
        <f t="shared" si="49"/>
        <v>5.1947002367274467E-2</v>
      </c>
      <c r="AP60" s="6">
        <f t="shared" si="50"/>
        <v>5.2231952167279674E-2</v>
      </c>
      <c r="AQ60" s="6">
        <f t="shared" si="51"/>
        <v>5.2437700420476782E-2</v>
      </c>
      <c r="AR60" s="6">
        <f t="shared" si="52"/>
        <v>5.2590977240650809E-2</v>
      </c>
      <c r="AS60" s="6">
        <f t="shared" si="53"/>
        <v>5.2708158114757965E-2</v>
      </c>
      <c r="AT60" s="6">
        <f t="shared" si="54"/>
        <v>5.324114344066791E-2</v>
      </c>
      <c r="AW60" s="3">
        <f t="shared" si="32"/>
        <v>960</v>
      </c>
      <c r="AX60" s="3">
        <f t="shared" si="24"/>
        <v>70</v>
      </c>
      <c r="AY60" s="3">
        <f t="shared" si="25"/>
        <v>67200</v>
      </c>
      <c r="AZ60" s="13">
        <f t="shared" si="26"/>
        <v>3.8903662075040618E-2</v>
      </c>
      <c r="BA60" s="3">
        <f t="shared" si="36"/>
        <v>2614.3260914427296</v>
      </c>
      <c r="BB60" s="3">
        <f t="shared" si="37"/>
        <v>2624.101686290775</v>
      </c>
      <c r="BC60" s="3">
        <f t="shared" si="21"/>
        <v>2632.5960938386311</v>
      </c>
      <c r="BD60" s="3">
        <f t="shared" si="22"/>
        <v>5226.666666666667</v>
      </c>
    </row>
    <row r="61" spans="3:56" x14ac:dyDescent="0.45">
      <c r="C61">
        <f t="shared" si="38"/>
        <v>49</v>
      </c>
      <c r="D61" s="2">
        <f t="shared" si="58"/>
        <v>479.83306142975493</v>
      </c>
      <c r="E61" s="2">
        <f t="shared" si="58"/>
        <v>1846.2442969381743</v>
      </c>
      <c r="F61" s="2">
        <f t="shared" si="58"/>
        <v>3340.9394619530008</v>
      </c>
      <c r="G61" s="2">
        <f t="shared" si="58"/>
        <v>4801.4262885889739</v>
      </c>
      <c r="H61" s="2">
        <f t="shared" si="58"/>
        <v>6226.1658421434586</v>
      </c>
      <c r="I61" s="2">
        <f t="shared" si="58"/>
        <v>7626.2770605418618</v>
      </c>
      <c r="J61" s="2">
        <f t="shared" si="58"/>
        <v>9009.9403668788091</v>
      </c>
      <c r="K61" s="2">
        <f t="shared" si="58"/>
        <v>10382.367414794186</v>
      </c>
      <c r="L61" s="2">
        <f t="shared" si="58"/>
        <v>11746.873050865117</v>
      </c>
      <c r="M61" s="2">
        <f t="shared" si="58"/>
        <v>13105.621666259583</v>
      </c>
      <c r="N61" s="2">
        <f t="shared" si="58"/>
        <v>14460.071087678891</v>
      </c>
      <c r="O61" s="2">
        <f t="shared" si="58"/>
        <v>15811.233018541861</v>
      </c>
      <c r="P61" s="2">
        <f t="shared" si="56"/>
        <v>11984.05718068476</v>
      </c>
      <c r="R61">
        <f t="shared" si="40"/>
        <v>49</v>
      </c>
      <c r="S61" s="2">
        <f t="shared" si="57"/>
        <v>24500</v>
      </c>
      <c r="T61" s="2">
        <f t="shared" si="57"/>
        <v>49000</v>
      </c>
      <c r="U61" s="2">
        <f t="shared" si="57"/>
        <v>73500</v>
      </c>
      <c r="V61" s="2">
        <f t="shared" si="57"/>
        <v>98000</v>
      </c>
      <c r="W61" s="2">
        <f t="shared" si="57"/>
        <v>122500</v>
      </c>
      <c r="X61" s="2">
        <f t="shared" si="57"/>
        <v>147000</v>
      </c>
      <c r="Y61" s="2">
        <f t="shared" si="57"/>
        <v>171500</v>
      </c>
      <c r="Z61" s="2">
        <f t="shared" si="57"/>
        <v>196000</v>
      </c>
      <c r="AA61" s="2">
        <f t="shared" si="57"/>
        <v>220500</v>
      </c>
      <c r="AB61" s="2">
        <f t="shared" si="57"/>
        <v>245000</v>
      </c>
      <c r="AC61" s="2">
        <f t="shared" si="57"/>
        <v>269500</v>
      </c>
      <c r="AD61" s="2">
        <f t="shared" si="57"/>
        <v>294000</v>
      </c>
      <c r="AE61" s="2">
        <f t="shared" si="57"/>
        <v>220500</v>
      </c>
      <c r="AG61">
        <f t="shared" si="41"/>
        <v>49</v>
      </c>
      <c r="AH61" s="6">
        <f t="shared" si="42"/>
        <v>1.95850229155002E-2</v>
      </c>
      <c r="AI61" s="6">
        <f t="shared" si="43"/>
        <v>3.7678455039554581E-2</v>
      </c>
      <c r="AJ61" s="6">
        <f t="shared" si="44"/>
        <v>4.5454958666027223E-2</v>
      </c>
      <c r="AK61" s="6">
        <f t="shared" si="45"/>
        <v>4.8994145801928304E-2</v>
      </c>
      <c r="AL61" s="6">
        <f t="shared" si="46"/>
        <v>5.0825843609334356E-2</v>
      </c>
      <c r="AM61" s="6">
        <f t="shared" si="47"/>
        <v>5.1879435785999059E-2</v>
      </c>
      <c r="AN61" s="6">
        <f t="shared" si="48"/>
        <v>5.2536095433695681E-2</v>
      </c>
      <c r="AO61" s="6">
        <f t="shared" si="49"/>
        <v>5.29712623203785E-2</v>
      </c>
      <c r="AP61" s="6">
        <f t="shared" si="50"/>
        <v>5.3273800684195544E-2</v>
      </c>
      <c r="AQ61" s="6">
        <f t="shared" si="51"/>
        <v>5.3492333331671769E-2</v>
      </c>
      <c r="AR61" s="6">
        <f t="shared" si="52"/>
        <v>5.3655180288233358E-2</v>
      </c>
      <c r="AS61" s="6">
        <f t="shared" si="53"/>
        <v>5.3779704144700208E-2</v>
      </c>
      <c r="AT61" s="6">
        <f t="shared" si="54"/>
        <v>5.4349465672039729E-2</v>
      </c>
      <c r="AW61" s="3">
        <f t="shared" si="32"/>
        <v>980</v>
      </c>
      <c r="AX61" s="3">
        <f t="shared" si="24"/>
        <v>72</v>
      </c>
      <c r="AY61" s="3">
        <f t="shared" si="25"/>
        <v>70560</v>
      </c>
      <c r="AZ61" s="13">
        <f t="shared" si="26"/>
        <v>4.0015178723622397E-2</v>
      </c>
      <c r="BA61" s="3">
        <f t="shared" si="36"/>
        <v>2823.4710107387964</v>
      </c>
      <c r="BB61" s="3">
        <f t="shared" si="37"/>
        <v>2823.3492823507795</v>
      </c>
      <c r="BC61" s="3">
        <f t="shared" si="21"/>
        <v>2821.8905511769194</v>
      </c>
      <c r="BD61" s="3">
        <f t="shared" si="22"/>
        <v>5644.8</v>
      </c>
    </row>
    <row r="62" spans="3:56" x14ac:dyDescent="0.45">
      <c r="C62">
        <f t="shared" si="38"/>
        <v>50</v>
      </c>
      <c r="D62" s="2">
        <f t="shared" si="58"/>
        <v>486.76711074522035</v>
      </c>
      <c r="E62" s="2">
        <f t="shared" si="58"/>
        <v>1898.2668874210774</v>
      </c>
      <c r="F62" s="2">
        <f t="shared" si="58"/>
        <v>3455.1727420754046</v>
      </c>
      <c r="G62" s="2">
        <f t="shared" si="58"/>
        <v>4978.8513506111713</v>
      </c>
      <c r="H62" s="2">
        <f t="shared" si="58"/>
        <v>6465.1704022557178</v>
      </c>
      <c r="I62" s="2">
        <f t="shared" si="58"/>
        <v>7925.3343929152124</v>
      </c>
      <c r="J62" s="2">
        <f t="shared" si="58"/>
        <v>9367.9065125324432</v>
      </c>
      <c r="K62" s="2">
        <f t="shared" si="58"/>
        <v>10798.413950001281</v>
      </c>
      <c r="L62" s="2">
        <f t="shared" si="58"/>
        <v>12220.395483284174</v>
      </c>
      <c r="M62" s="2">
        <f t="shared" si="58"/>
        <v>13636.170774726777</v>
      </c>
      <c r="N62" s="2">
        <f t="shared" si="58"/>
        <v>15047.306224104326</v>
      </c>
      <c r="O62" s="2">
        <f t="shared" si="58"/>
        <v>16454.890807089378</v>
      </c>
      <c r="P62" s="2">
        <f t="shared" si="56"/>
        <v>12477.99833501049</v>
      </c>
      <c r="R62">
        <f t="shared" si="40"/>
        <v>50</v>
      </c>
      <c r="S62" s="2">
        <f t="shared" si="57"/>
        <v>25000</v>
      </c>
      <c r="T62" s="2">
        <f t="shared" si="57"/>
        <v>50000</v>
      </c>
      <c r="U62" s="2">
        <f t="shared" si="57"/>
        <v>75000</v>
      </c>
      <c r="V62" s="2">
        <f t="shared" si="57"/>
        <v>100000</v>
      </c>
      <c r="W62" s="2">
        <f t="shared" si="57"/>
        <v>125000</v>
      </c>
      <c r="X62" s="2">
        <f t="shared" si="57"/>
        <v>150000</v>
      </c>
      <c r="Y62" s="2">
        <f t="shared" si="57"/>
        <v>175000</v>
      </c>
      <c r="Z62" s="2">
        <f t="shared" si="57"/>
        <v>200000</v>
      </c>
      <c r="AA62" s="2">
        <f t="shared" si="57"/>
        <v>225000</v>
      </c>
      <c r="AB62" s="2">
        <f t="shared" si="57"/>
        <v>250000</v>
      </c>
      <c r="AC62" s="2">
        <f t="shared" si="57"/>
        <v>275000</v>
      </c>
      <c r="AD62" s="2">
        <f t="shared" si="57"/>
        <v>300000</v>
      </c>
      <c r="AE62" s="2">
        <f t="shared" si="57"/>
        <v>225000</v>
      </c>
      <c r="AG62">
        <f t="shared" si="41"/>
        <v>50</v>
      </c>
      <c r="AH62" s="6">
        <f t="shared" si="42"/>
        <v>1.9470684429808816E-2</v>
      </c>
      <c r="AI62" s="6">
        <f t="shared" si="43"/>
        <v>3.7965337748421549E-2</v>
      </c>
      <c r="AJ62" s="6">
        <f t="shared" si="44"/>
        <v>4.6068969894338729E-2</v>
      </c>
      <c r="AK62" s="6">
        <f t="shared" si="45"/>
        <v>4.9788513506111715E-2</v>
      </c>
      <c r="AL62" s="6">
        <f t="shared" si="46"/>
        <v>5.1721363218045741E-2</v>
      </c>
      <c r="AM62" s="6">
        <f t="shared" si="47"/>
        <v>5.2835562619434749E-2</v>
      </c>
      <c r="AN62" s="6">
        <f t="shared" si="48"/>
        <v>5.3530894357328246E-2</v>
      </c>
      <c r="AO62" s="6">
        <f t="shared" si="49"/>
        <v>5.3992069750006401E-2</v>
      </c>
      <c r="AP62" s="6">
        <f t="shared" si="50"/>
        <v>5.4312868814596328E-2</v>
      </c>
      <c r="AQ62" s="6">
        <f t="shared" si="51"/>
        <v>5.4544683098907108E-2</v>
      </c>
      <c r="AR62" s="6">
        <f t="shared" si="52"/>
        <v>5.4717477178561187E-2</v>
      </c>
      <c r="AS62" s="6">
        <f t="shared" si="53"/>
        <v>5.4849636023631257E-2</v>
      </c>
      <c r="AT62" s="6">
        <f t="shared" si="54"/>
        <v>5.54577703778244E-2</v>
      </c>
      <c r="AW62" s="3">
        <f t="shared" si="32"/>
        <v>1000</v>
      </c>
      <c r="AX62" s="3">
        <f t="shared" si="24"/>
        <v>73</v>
      </c>
      <c r="AY62" s="3">
        <f t="shared" si="25"/>
        <v>73000</v>
      </c>
      <c r="AZ62" s="13">
        <f t="shared" si="26"/>
        <v>4.0570937047913293E-2</v>
      </c>
      <c r="BA62" s="3">
        <f t="shared" si="36"/>
        <v>2961.6784044976703</v>
      </c>
      <c r="BB62" s="3">
        <f t="shared" si="37"/>
        <v>2971.0573904011953</v>
      </c>
      <c r="BC62" s="3">
        <f t="shared" si="21"/>
        <v>2978.9962717982576</v>
      </c>
      <c r="BD62" s="3">
        <f t="shared" si="22"/>
        <v>5921.1111111111113</v>
      </c>
    </row>
    <row r="63" spans="3:56" x14ac:dyDescent="0.45">
      <c r="C63">
        <f t="shared" si="38"/>
        <v>51</v>
      </c>
      <c r="D63" s="2">
        <f t="shared" ref="D63:O72" si="59">$C$7*BL_MBPS*BL_KM^2*D$12^3*$C63^2/((EM_KM*D$12)^2+(2*PI()*AVG_SUN_DIST_KM*$C63)^2)</f>
        <v>493.48305353757848</v>
      </c>
      <c r="E63" s="2">
        <f t="shared" si="59"/>
        <v>1950.0130700270192</v>
      </c>
      <c r="F63" s="2">
        <f t="shared" si="59"/>
        <v>3570.1326428180964</v>
      </c>
      <c r="G63" s="2">
        <f t="shared" si="59"/>
        <v>5158.3638351442314</v>
      </c>
      <c r="H63" s="2">
        <f t="shared" si="59"/>
        <v>6707.6608211418561</v>
      </c>
      <c r="I63" s="2">
        <f t="shared" si="59"/>
        <v>8229.2406383465859</v>
      </c>
      <c r="J63" s="2">
        <f t="shared" si="59"/>
        <v>9732.0411242676619</v>
      </c>
      <c r="K63" s="2">
        <f t="shared" si="59"/>
        <v>11221.910932545459</v>
      </c>
      <c r="L63" s="2">
        <f t="shared" si="59"/>
        <v>12702.620334025765</v>
      </c>
      <c r="M63" s="2">
        <f t="shared" si="59"/>
        <v>14176.650726630465</v>
      </c>
      <c r="N63" s="2">
        <f t="shared" si="59"/>
        <v>15645.682125265977</v>
      </c>
      <c r="O63" s="2">
        <f t="shared" si="59"/>
        <v>17110.884614047209</v>
      </c>
      <c r="P63" s="2">
        <f t="shared" si="56"/>
        <v>12981.910290081008</v>
      </c>
      <c r="R63">
        <f t="shared" si="40"/>
        <v>51</v>
      </c>
      <c r="S63" s="2">
        <f t="shared" si="57"/>
        <v>25500</v>
      </c>
      <c r="T63" s="2">
        <f t="shared" si="57"/>
        <v>51000</v>
      </c>
      <c r="U63" s="2">
        <f t="shared" si="57"/>
        <v>76500</v>
      </c>
      <c r="V63" s="2">
        <f t="shared" si="57"/>
        <v>102000</v>
      </c>
      <c r="W63" s="2">
        <f t="shared" si="57"/>
        <v>127500</v>
      </c>
      <c r="X63" s="2">
        <f t="shared" si="57"/>
        <v>153000</v>
      </c>
      <c r="Y63" s="2">
        <f t="shared" si="57"/>
        <v>178500</v>
      </c>
      <c r="Z63" s="2">
        <f t="shared" si="57"/>
        <v>204000</v>
      </c>
      <c r="AA63" s="2">
        <f t="shared" si="57"/>
        <v>229500</v>
      </c>
      <c r="AB63" s="2">
        <f t="shared" si="57"/>
        <v>255000</v>
      </c>
      <c r="AC63" s="2">
        <f t="shared" si="57"/>
        <v>280500</v>
      </c>
      <c r="AD63" s="2">
        <f t="shared" si="57"/>
        <v>306000</v>
      </c>
      <c r="AE63" s="2">
        <f t="shared" si="57"/>
        <v>229500</v>
      </c>
      <c r="AG63">
        <f t="shared" si="41"/>
        <v>51</v>
      </c>
      <c r="AH63" s="6">
        <f t="shared" si="42"/>
        <v>1.9352276609316803E-2</v>
      </c>
      <c r="AI63" s="6">
        <f t="shared" si="43"/>
        <v>3.8235550392686654E-2</v>
      </c>
      <c r="AJ63" s="6">
        <f t="shared" si="44"/>
        <v>4.6668400559713677E-2</v>
      </c>
      <c r="AK63" s="6">
        <f t="shared" si="45"/>
        <v>5.057219446219835E-2</v>
      </c>
      <c r="AL63" s="6">
        <f t="shared" si="46"/>
        <v>5.2609104479543971E-2</v>
      </c>
      <c r="AM63" s="6">
        <f t="shared" si="47"/>
        <v>5.3785886525141081E-2</v>
      </c>
      <c r="AN63" s="6">
        <f t="shared" si="48"/>
        <v>5.4521238791415474E-2</v>
      </c>
      <c r="AO63" s="6">
        <f t="shared" si="49"/>
        <v>5.5009367316399313E-2</v>
      </c>
      <c r="AP63" s="6">
        <f t="shared" si="50"/>
        <v>5.5349108209262594E-2</v>
      </c>
      <c r="AQ63" s="6">
        <f t="shared" si="51"/>
        <v>5.5594708731884178E-2</v>
      </c>
      <c r="AR63" s="6">
        <f t="shared" si="52"/>
        <v>5.5777832888648758E-2</v>
      </c>
      <c r="AS63" s="6">
        <f t="shared" si="53"/>
        <v>5.5917923575317677E-2</v>
      </c>
      <c r="AT63" s="6">
        <f t="shared" si="54"/>
        <v>5.6566057908849714E-2</v>
      </c>
      <c r="AW63" s="3">
        <f t="shared" si="32"/>
        <v>1020</v>
      </c>
      <c r="AX63" s="3">
        <f t="shared" si="24"/>
        <v>75</v>
      </c>
      <c r="AY63" s="3">
        <f t="shared" si="25"/>
        <v>76500</v>
      </c>
      <c r="AZ63" s="13">
        <f t="shared" si="26"/>
        <v>4.1682453696495071E-2</v>
      </c>
      <c r="BA63" s="3">
        <f t="shared" si="36"/>
        <v>3188.7077077818731</v>
      </c>
      <c r="BB63" s="3">
        <f t="shared" si="37"/>
        <v>3187.2703559068336</v>
      </c>
      <c r="BC63" s="3">
        <f t="shared" si="21"/>
        <v>3184.3215474946123</v>
      </c>
      <c r="BD63" s="3">
        <f t="shared" si="22"/>
        <v>6375</v>
      </c>
    </row>
    <row r="64" spans="3:56" x14ac:dyDescent="0.45">
      <c r="C64">
        <f t="shared" si="38"/>
        <v>52</v>
      </c>
      <c r="D64" s="2">
        <f t="shared" si="59"/>
        <v>499.98725322495318</v>
      </c>
      <c r="E64" s="2">
        <f t="shared" si="59"/>
        <v>2001.4548532705412</v>
      </c>
      <c r="F64" s="2">
        <f t="shared" si="59"/>
        <v>3685.7578672685481</v>
      </c>
      <c r="G64" s="2">
        <f t="shared" si="59"/>
        <v>5339.8933527165955</v>
      </c>
      <c r="H64" s="2">
        <f t="shared" si="59"/>
        <v>6953.5681635377559</v>
      </c>
      <c r="I64" s="2">
        <f t="shared" si="59"/>
        <v>8537.9315701802061</v>
      </c>
      <c r="J64" s="2">
        <f t="shared" si="59"/>
        <v>10102.285282015957</v>
      </c>
      <c r="K64" s="2">
        <f t="shared" si="59"/>
        <v>11652.804469372069</v>
      </c>
      <c r="L64" s="2">
        <f t="shared" si="59"/>
        <v>13193.498212797527</v>
      </c>
      <c r="M64" s="2">
        <f t="shared" si="59"/>
        <v>14727.016086159127</v>
      </c>
      <c r="N64" s="2">
        <f t="shared" si="59"/>
        <v>16255.156809413927</v>
      </c>
      <c r="O64" s="2">
        <f t="shared" si="59"/>
        <v>17779.175476919467</v>
      </c>
      <c r="P64" s="2">
        <f t="shared" si="56"/>
        <v>13495.792892909561</v>
      </c>
      <c r="R64">
        <f t="shared" si="40"/>
        <v>52</v>
      </c>
      <c r="S64" s="2">
        <f t="shared" si="57"/>
        <v>26000</v>
      </c>
      <c r="T64" s="2">
        <f t="shared" si="57"/>
        <v>52000</v>
      </c>
      <c r="U64" s="2">
        <f t="shared" si="57"/>
        <v>78000</v>
      </c>
      <c r="V64" s="2">
        <f t="shared" si="57"/>
        <v>104000</v>
      </c>
      <c r="W64" s="2">
        <f t="shared" si="57"/>
        <v>130000</v>
      </c>
      <c r="X64" s="2">
        <f t="shared" si="57"/>
        <v>156000</v>
      </c>
      <c r="Y64" s="2">
        <f t="shared" si="57"/>
        <v>182000</v>
      </c>
      <c r="Z64" s="2">
        <f t="shared" si="57"/>
        <v>208000</v>
      </c>
      <c r="AA64" s="2">
        <f t="shared" si="57"/>
        <v>234000</v>
      </c>
      <c r="AB64" s="2">
        <f t="shared" si="57"/>
        <v>260000</v>
      </c>
      <c r="AC64" s="2">
        <f t="shared" si="57"/>
        <v>286000</v>
      </c>
      <c r="AD64" s="2">
        <f t="shared" si="57"/>
        <v>312000</v>
      </c>
      <c r="AE64" s="2">
        <f t="shared" si="57"/>
        <v>234000</v>
      </c>
      <c r="AG64">
        <f t="shared" si="41"/>
        <v>52</v>
      </c>
      <c r="AH64" s="6">
        <f t="shared" si="42"/>
        <v>1.9230278970190508E-2</v>
      </c>
      <c r="AI64" s="6">
        <f t="shared" si="43"/>
        <v>3.8489516409048873E-2</v>
      </c>
      <c r="AJ64" s="6">
        <f t="shared" si="44"/>
        <v>4.7253305990622413E-2</v>
      </c>
      <c r="AK64" s="6">
        <f t="shared" si="45"/>
        <v>5.1345128391505727E-2</v>
      </c>
      <c r="AL64" s="6">
        <f t="shared" si="46"/>
        <v>5.3488985873367353E-2</v>
      </c>
      <c r="AM64" s="6">
        <f t="shared" si="47"/>
        <v>5.4730330578078246E-2</v>
      </c>
      <c r="AN64" s="6">
        <f t="shared" si="48"/>
        <v>5.5507061989098667E-2</v>
      </c>
      <c r="AO64" s="6">
        <f t="shared" si="49"/>
        <v>5.6023098410442639E-2</v>
      </c>
      <c r="AP64" s="6">
        <f t="shared" si="50"/>
        <v>5.6382470994861225E-2</v>
      </c>
      <c r="AQ64" s="6">
        <f t="shared" si="51"/>
        <v>5.6642369562150484E-2</v>
      </c>
      <c r="AR64" s="6">
        <f t="shared" si="52"/>
        <v>5.6836212620328418E-2</v>
      </c>
      <c r="AS64" s="6">
        <f t="shared" si="53"/>
        <v>5.6984536784998291E-2</v>
      </c>
      <c r="AT64" s="6">
        <f t="shared" si="54"/>
        <v>5.767432860217761E-2</v>
      </c>
      <c r="AW64" s="3">
        <f t="shared" si="32"/>
        <v>1040</v>
      </c>
      <c r="AX64" s="3">
        <f t="shared" si="24"/>
        <v>76</v>
      </c>
      <c r="AY64" s="3">
        <f t="shared" si="25"/>
        <v>79040</v>
      </c>
      <c r="AZ64" s="13">
        <f t="shared" si="26"/>
        <v>4.223821202078596E-2</v>
      </c>
      <c r="BA64" s="3">
        <f t="shared" si="36"/>
        <v>3338.5082781229221</v>
      </c>
      <c r="BB64" s="3">
        <f t="shared" si="37"/>
        <v>3347.319350378772</v>
      </c>
      <c r="BC64" s="3">
        <f t="shared" si="21"/>
        <v>3354.516856962221</v>
      </c>
      <c r="BD64" s="3">
        <f t="shared" si="22"/>
        <v>6674.4888888888891</v>
      </c>
    </row>
    <row r="65" spans="3:56" x14ac:dyDescent="0.45">
      <c r="C65">
        <f>C64+1</f>
        <v>53</v>
      </c>
      <c r="D65" s="2">
        <f t="shared" si="59"/>
        <v>506.28605991185816</v>
      </c>
      <c r="E65" s="2">
        <f t="shared" si="59"/>
        <v>2052.5660827997513</v>
      </c>
      <c r="F65" s="2">
        <f t="shared" si="59"/>
        <v>3801.9882573611476</v>
      </c>
      <c r="G65" s="2">
        <f t="shared" si="59"/>
        <v>5523.3696989366035</v>
      </c>
      <c r="H65" s="2">
        <f t="shared" si="59"/>
        <v>7202.8231416876715</v>
      </c>
      <c r="I65" s="2">
        <f t="shared" si="59"/>
        <v>8851.3423541874363</v>
      </c>
      <c r="J65" s="2">
        <f t="shared" si="59"/>
        <v>10478.579350618231</v>
      </c>
      <c r="K65" s="2">
        <f t="shared" si="59"/>
        <v>12091.039918392311</v>
      </c>
      <c r="L65" s="2">
        <f t="shared" si="59"/>
        <v>13692.978982612098</v>
      </c>
      <c r="M65" s="2">
        <f t="shared" si="59"/>
        <v>15287.220690673901</v>
      </c>
      <c r="N65" s="2">
        <f t="shared" si="59"/>
        <v>16875.687595795534</v>
      </c>
      <c r="O65" s="2">
        <f t="shared" si="59"/>
        <v>18459.723765041268</v>
      </c>
      <c r="P65" s="2">
        <f t="shared" si="56"/>
        <v>14019.645993482854</v>
      </c>
      <c r="R65">
        <f>R64+1</f>
        <v>53</v>
      </c>
      <c r="S65" s="2">
        <f t="shared" si="57"/>
        <v>26500</v>
      </c>
      <c r="T65" s="2">
        <f t="shared" si="57"/>
        <v>53000</v>
      </c>
      <c r="U65" s="2">
        <f t="shared" si="57"/>
        <v>79500</v>
      </c>
      <c r="V65" s="2">
        <f t="shared" si="57"/>
        <v>106000</v>
      </c>
      <c r="W65" s="2">
        <f t="shared" si="57"/>
        <v>132500</v>
      </c>
      <c r="X65" s="2">
        <f t="shared" si="57"/>
        <v>159000</v>
      </c>
      <c r="Y65" s="2">
        <f t="shared" si="57"/>
        <v>185500</v>
      </c>
      <c r="Z65" s="2">
        <f t="shared" si="57"/>
        <v>212000</v>
      </c>
      <c r="AA65" s="2">
        <f t="shared" ref="AA65:AE74" si="60">$R65*AA$12</f>
        <v>238500</v>
      </c>
      <c r="AB65" s="2">
        <f t="shared" si="60"/>
        <v>265000</v>
      </c>
      <c r="AC65" s="2">
        <f t="shared" si="60"/>
        <v>291500</v>
      </c>
      <c r="AD65" s="2">
        <f t="shared" si="60"/>
        <v>318000</v>
      </c>
      <c r="AE65" s="2">
        <f t="shared" si="60"/>
        <v>238500</v>
      </c>
      <c r="AG65">
        <f>AG64+1</f>
        <v>53</v>
      </c>
      <c r="AH65" s="6">
        <f t="shared" ref="AH65:AT65" si="61">D65/S65</f>
        <v>1.9105134336296535E-2</v>
      </c>
      <c r="AI65" s="6">
        <f t="shared" si="61"/>
        <v>3.8727661939617949E-2</v>
      </c>
      <c r="AJ65" s="6">
        <f t="shared" si="61"/>
        <v>4.7823751664920096E-2</v>
      </c>
      <c r="AK65" s="6">
        <f t="shared" si="61"/>
        <v>5.2107261310722672E-2</v>
      </c>
      <c r="AL65" s="6">
        <f t="shared" si="61"/>
        <v>5.4360929371227711E-2</v>
      </c>
      <c r="AM65" s="6">
        <f t="shared" si="61"/>
        <v>5.5668819837656834E-2</v>
      </c>
      <c r="AN65" s="6">
        <f t="shared" si="61"/>
        <v>5.648829838608211E-2</v>
      </c>
      <c r="AO65" s="6">
        <f t="shared" si="61"/>
        <v>5.7033207162227879E-2</v>
      </c>
      <c r="AP65" s="6">
        <f t="shared" si="61"/>
        <v>5.7412909780344225E-2</v>
      </c>
      <c r="AQ65" s="6">
        <f t="shared" si="61"/>
        <v>5.7687625247826044E-2</v>
      </c>
      <c r="AR65" s="6">
        <f t="shared" si="61"/>
        <v>5.7892581803758267E-2</v>
      </c>
      <c r="AS65" s="6">
        <f t="shared" si="61"/>
        <v>5.8049445802016569E-2</v>
      </c>
      <c r="AT65" s="6">
        <f t="shared" si="61"/>
        <v>5.8782582781898761E-2</v>
      </c>
      <c r="AW65" s="3">
        <f t="shared" si="32"/>
        <v>1060</v>
      </c>
      <c r="AX65" s="3">
        <f t="shared" si="24"/>
        <v>78</v>
      </c>
      <c r="AY65" s="3">
        <f t="shared" si="25"/>
        <v>82680</v>
      </c>
      <c r="AZ65" s="13">
        <f t="shared" si="26"/>
        <v>4.3349728669367739E-2</v>
      </c>
      <c r="BA65" s="3">
        <f t="shared" si="36"/>
        <v>3584.1555663833246</v>
      </c>
      <c r="BB65" s="3">
        <f t="shared" si="37"/>
        <v>3581.1907385890659</v>
      </c>
      <c r="BC65" s="3">
        <f t="shared" si="21"/>
        <v>3576.5243946240139</v>
      </c>
      <c r="BD65" s="3">
        <f t="shared" si="22"/>
        <v>7165.6</v>
      </c>
    </row>
    <row r="66" spans="3:56" x14ac:dyDescent="0.45">
      <c r="C66">
        <f t="shared" ref="C66:C129" si="62">C65+1</f>
        <v>54</v>
      </c>
      <c r="D66" s="2">
        <f t="shared" si="59"/>
        <v>512.38578221874627</v>
      </c>
      <c r="E66" s="2">
        <f t="shared" si="59"/>
        <v>2103.3223905004165</v>
      </c>
      <c r="F66" s="2">
        <f t="shared" si="59"/>
        <v>3918.7648348331259</v>
      </c>
      <c r="G66" s="2">
        <f t="shared" si="59"/>
        <v>5708.7229079134704</v>
      </c>
      <c r="H66" s="2">
        <f t="shared" si="59"/>
        <v>7455.3561581198419</v>
      </c>
      <c r="I66" s="2">
        <f t="shared" si="59"/>
        <v>9169.4075798340782</v>
      </c>
      <c r="J66" s="2">
        <f t="shared" si="59"/>
        <v>10860.863002442838</v>
      </c>
      <c r="K66" s="2">
        <f t="shared" si="59"/>
        <v>12536.561905050317</v>
      </c>
      <c r="L66" s="2">
        <f t="shared" si="59"/>
        <v>14201.011772153655</v>
      </c>
      <c r="M66" s="2">
        <f t="shared" si="59"/>
        <v>15857.217660124157</v>
      </c>
      <c r="N66" s="2">
        <f t="shared" si="59"/>
        <v>17507.231111960165</v>
      </c>
      <c r="O66" s="2">
        <f t="shared" si="59"/>
        <v>19152.4891853441</v>
      </c>
      <c r="P66" s="2">
        <f t="shared" ref="P66:P129" si="63">P$279*$C66^P$280</f>
        <v>14553.469444647715</v>
      </c>
      <c r="R66">
        <f t="shared" ref="R66:R129" si="64">R65+1</f>
        <v>54</v>
      </c>
      <c r="S66" s="2">
        <f t="shared" ref="S66:Z75" si="65">$R66*S$12</f>
        <v>27000</v>
      </c>
      <c r="T66" s="2">
        <f t="shared" si="65"/>
        <v>54000</v>
      </c>
      <c r="U66" s="2">
        <f t="shared" si="65"/>
        <v>81000</v>
      </c>
      <c r="V66" s="2">
        <f t="shared" si="65"/>
        <v>108000</v>
      </c>
      <c r="W66" s="2">
        <f t="shared" si="65"/>
        <v>135000</v>
      </c>
      <c r="X66" s="2">
        <f t="shared" si="65"/>
        <v>162000</v>
      </c>
      <c r="Y66" s="2">
        <f t="shared" si="65"/>
        <v>189000</v>
      </c>
      <c r="Z66" s="2">
        <f t="shared" si="65"/>
        <v>216000</v>
      </c>
      <c r="AA66" s="2">
        <f t="shared" si="60"/>
        <v>243000</v>
      </c>
      <c r="AB66" s="2">
        <f t="shared" si="60"/>
        <v>270000</v>
      </c>
      <c r="AC66" s="2">
        <f t="shared" si="60"/>
        <v>297000</v>
      </c>
      <c r="AD66" s="2">
        <f t="shared" si="60"/>
        <v>324000</v>
      </c>
      <c r="AE66" s="2">
        <f t="shared" si="60"/>
        <v>243000</v>
      </c>
      <c r="AG66">
        <f t="shared" ref="AG66:AG129" si="66">AG65+1</f>
        <v>54</v>
      </c>
      <c r="AH66" s="6">
        <f t="shared" ref="AH66:AH129" si="67">D66/S66</f>
        <v>1.8977251193286897E-2</v>
      </c>
      <c r="AI66" s="6">
        <f t="shared" ref="AI66:AI129" si="68">E66/T66</f>
        <v>3.8950414638896605E-2</v>
      </c>
      <c r="AJ66" s="6">
        <f t="shared" ref="AJ66:AJ129" si="69">F66/U66</f>
        <v>4.8379812775717602E-2</v>
      </c>
      <c r="AK66" s="6">
        <f t="shared" ref="AK66:AK129" si="70">G66/V66</f>
        <v>5.2858545443643247E-2</v>
      </c>
      <c r="AL66" s="6">
        <f t="shared" ref="AL66:AL129" si="71">H66/W66</f>
        <v>5.5224860430517345E-2</v>
      </c>
      <c r="AM66" s="6">
        <f t="shared" ref="AM66:AM129" si="72">I66/X66</f>
        <v>5.6601281357000481E-2</v>
      </c>
      <c r="AN66" s="6">
        <f t="shared" ref="AN66:AN129" si="73">J66/Y66</f>
        <v>5.7464883610808669E-2</v>
      </c>
      <c r="AO66" s="6">
        <f t="shared" ref="AO66:AO129" si="74">K66/Z66</f>
        <v>5.8039638449307027E-2</v>
      </c>
      <c r="AP66" s="6">
        <f t="shared" ref="AP66:AP129" si="75">L66/AA66</f>
        <v>5.8440377663183767E-2</v>
      </c>
      <c r="AQ66" s="6">
        <f t="shared" ref="AQ66:AQ129" si="76">M66/AB66</f>
        <v>5.8730435778237618E-2</v>
      </c>
      <c r="AR66" s="6">
        <f t="shared" ref="AR66:AR129" si="77">N66/AC66</f>
        <v>5.8946906100875975E-2</v>
      </c>
      <c r="AS66" s="6">
        <f t="shared" ref="AS66:AS129" si="78">O66/AD66</f>
        <v>5.9112620942420063E-2</v>
      </c>
      <c r="AT66" s="6">
        <f t="shared" ref="AT66:AT129" si="79">P66/AE66</f>
        <v>5.9890820759867139E-2</v>
      </c>
      <c r="AW66" s="3">
        <f t="shared" si="32"/>
        <v>1080</v>
      </c>
      <c r="AX66" s="3">
        <f t="shared" si="24"/>
        <v>79</v>
      </c>
      <c r="AY66" s="3">
        <f t="shared" si="25"/>
        <v>85320</v>
      </c>
      <c r="AZ66" s="13">
        <f t="shared" si="26"/>
        <v>4.3905486993658635E-2</v>
      </c>
      <c r="BA66" s="3">
        <f t="shared" si="36"/>
        <v>3746.0161502989549</v>
      </c>
      <c r="BB66" s="3">
        <f t="shared" si="37"/>
        <v>3754.0756576588551</v>
      </c>
      <c r="BC66" s="3">
        <f t="shared" si="21"/>
        <v>3760.3328930353514</v>
      </c>
      <c r="BD66" s="3">
        <f t="shared" si="22"/>
        <v>7489.2</v>
      </c>
    </row>
    <row r="67" spans="3:56" x14ac:dyDescent="0.45">
      <c r="C67">
        <f t="shared" si="62"/>
        <v>55</v>
      </c>
      <c r="D67" s="2">
        <f t="shared" si="59"/>
        <v>518.2926634149652</v>
      </c>
      <c r="E67" s="2">
        <f t="shared" si="59"/>
        <v>2153.7011410078926</v>
      </c>
      <c r="F67" s="2">
        <f t="shared" si="59"/>
        <v>4036.0298381614639</v>
      </c>
      <c r="G67" s="2">
        <f t="shared" si="59"/>
        <v>5895.8833040328855</v>
      </c>
      <c r="H67" s="2">
        <f t="shared" si="59"/>
        <v>7711.0973479485956</v>
      </c>
      <c r="I67" s="2">
        <f t="shared" si="59"/>
        <v>9492.0612915046004</v>
      </c>
      <c r="J67" s="2">
        <f t="shared" si="59"/>
        <v>11249.075240099985</v>
      </c>
      <c r="K67" s="2">
        <f t="shared" si="59"/>
        <v>12989.314339020484</v>
      </c>
      <c r="L67" s="2">
        <f t="shared" si="59"/>
        <v>14717.544988271873</v>
      </c>
      <c r="M67" s="2">
        <f t="shared" si="59"/>
        <v>16436.959406576505</v>
      </c>
      <c r="N67" s="2">
        <f t="shared" si="59"/>
        <v>18149.743301161339</v>
      </c>
      <c r="O67" s="2">
        <f t="shared" si="59"/>
        <v>19857.430788203623</v>
      </c>
      <c r="P67" s="2">
        <f t="shared" si="63"/>
        <v>15097.263102004104</v>
      </c>
      <c r="R67">
        <f t="shared" si="64"/>
        <v>55</v>
      </c>
      <c r="S67" s="2">
        <f t="shared" si="65"/>
        <v>27500</v>
      </c>
      <c r="T67" s="2">
        <f t="shared" si="65"/>
        <v>55000</v>
      </c>
      <c r="U67" s="2">
        <f t="shared" si="65"/>
        <v>82500</v>
      </c>
      <c r="V67" s="2">
        <f t="shared" si="65"/>
        <v>110000</v>
      </c>
      <c r="W67" s="2">
        <f t="shared" si="65"/>
        <v>137500</v>
      </c>
      <c r="X67" s="2">
        <f t="shared" si="65"/>
        <v>165000</v>
      </c>
      <c r="Y67" s="2">
        <f t="shared" si="65"/>
        <v>192500</v>
      </c>
      <c r="Z67" s="2">
        <f t="shared" si="65"/>
        <v>220000</v>
      </c>
      <c r="AA67" s="2">
        <f t="shared" si="60"/>
        <v>247500</v>
      </c>
      <c r="AB67" s="2">
        <f t="shared" si="60"/>
        <v>275000</v>
      </c>
      <c r="AC67" s="2">
        <f t="shared" si="60"/>
        <v>302500</v>
      </c>
      <c r="AD67" s="2">
        <f t="shared" si="60"/>
        <v>330000</v>
      </c>
      <c r="AE67" s="2">
        <f t="shared" si="60"/>
        <v>247500</v>
      </c>
      <c r="AG67">
        <f t="shared" si="66"/>
        <v>55</v>
      </c>
      <c r="AH67" s="6">
        <f t="shared" si="67"/>
        <v>1.8847005942362372E-2</v>
      </c>
      <c r="AI67" s="6">
        <f t="shared" si="68"/>
        <v>3.9158202563779866E-2</v>
      </c>
      <c r="AJ67" s="6">
        <f t="shared" si="69"/>
        <v>4.8921573795896532E-2</v>
      </c>
      <c r="AK67" s="6">
        <f t="shared" si="70"/>
        <v>5.3598939127571688E-2</v>
      </c>
      <c r="AL67" s="6">
        <f t="shared" si="71"/>
        <v>5.6080707985080698E-2</v>
      </c>
      <c r="AM67" s="6">
        <f t="shared" si="72"/>
        <v>5.752764419093697E-2</v>
      </c>
      <c r="AN67" s="6">
        <f t="shared" si="73"/>
        <v>5.843675449402589E-2</v>
      </c>
      <c r="AO67" s="6">
        <f t="shared" si="74"/>
        <v>5.9042337904638566E-2</v>
      </c>
      <c r="AP67" s="6">
        <f t="shared" si="75"/>
        <v>5.9464828235441913E-2</v>
      </c>
      <c r="AQ67" s="6">
        <f t="shared" si="76"/>
        <v>5.977076147846002E-2</v>
      </c>
      <c r="AR67" s="6">
        <f t="shared" si="77"/>
        <v>5.9999151408797816E-2</v>
      </c>
      <c r="AS67" s="6">
        <f t="shared" si="78"/>
        <v>6.017403269152613E-2</v>
      </c>
      <c r="AT67" s="6">
        <f t="shared" si="79"/>
        <v>6.0999042836380218E-2</v>
      </c>
      <c r="AW67" s="3">
        <f t="shared" si="32"/>
        <v>1100</v>
      </c>
      <c r="AX67" s="3">
        <f t="shared" si="24"/>
        <v>81</v>
      </c>
      <c r="AY67" s="3">
        <f t="shared" si="25"/>
        <v>89100</v>
      </c>
      <c r="AZ67" s="13">
        <f t="shared" si="26"/>
        <v>4.5017003642240414E-2</v>
      </c>
      <c r="BA67" s="3">
        <f t="shared" si="36"/>
        <v>4011.0150245236209</v>
      </c>
      <c r="BB67" s="3">
        <f t="shared" si="37"/>
        <v>4006.2985218425988</v>
      </c>
      <c r="BC67" s="3">
        <f t="shared" si="21"/>
        <v>3999.6741363751094</v>
      </c>
      <c r="BD67" s="3">
        <f t="shared" si="22"/>
        <v>8019</v>
      </c>
    </row>
    <row r="68" spans="3:56" x14ac:dyDescent="0.45">
      <c r="C68">
        <f t="shared" si="62"/>
        <v>56</v>
      </c>
      <c r="D68" s="2">
        <f t="shared" si="59"/>
        <v>524.01286137337559</v>
      </c>
      <c r="E68" s="2">
        <f t="shared" si="59"/>
        <v>2203.6813761135109</v>
      </c>
      <c r="F68" s="2">
        <f t="shared" si="59"/>
        <v>4153.726755572603</v>
      </c>
      <c r="G68" s="2">
        <f t="shared" si="59"/>
        <v>6084.7815520481845</v>
      </c>
      <c r="H68" s="2">
        <f t="shared" si="59"/>
        <v>7969.9766206642016</v>
      </c>
      <c r="I68" s="2">
        <f t="shared" si="59"/>
        <v>9819.2370196585289</v>
      </c>
      <c r="J68" s="2">
        <f t="shared" si="59"/>
        <v>11643.154419237677</v>
      </c>
      <c r="K68" s="2">
        <f t="shared" si="59"/>
        <v>13449.240431026095</v>
      </c>
      <c r="L68" s="2">
        <f t="shared" si="59"/>
        <v>15242.526328597862</v>
      </c>
      <c r="M68" s="2">
        <f t="shared" si="59"/>
        <v>17026.397643853747</v>
      </c>
      <c r="N68" s="2">
        <f t="shared" si="59"/>
        <v>18803.179429853953</v>
      </c>
      <c r="O68" s="2">
        <f t="shared" si="59"/>
        <v>20574.50697336844</v>
      </c>
      <c r="P68" s="2">
        <f t="shared" si="63"/>
        <v>15651.026823804004</v>
      </c>
      <c r="R68">
        <f t="shared" si="64"/>
        <v>56</v>
      </c>
      <c r="S68" s="2">
        <f t="shared" si="65"/>
        <v>28000</v>
      </c>
      <c r="T68" s="2">
        <f t="shared" si="65"/>
        <v>56000</v>
      </c>
      <c r="U68" s="2">
        <f t="shared" si="65"/>
        <v>84000</v>
      </c>
      <c r="V68" s="2">
        <f t="shared" si="65"/>
        <v>112000</v>
      </c>
      <c r="W68" s="2">
        <f t="shared" si="65"/>
        <v>140000</v>
      </c>
      <c r="X68" s="2">
        <f t="shared" si="65"/>
        <v>168000</v>
      </c>
      <c r="Y68" s="2">
        <f t="shared" si="65"/>
        <v>196000</v>
      </c>
      <c r="Z68" s="2">
        <f t="shared" si="65"/>
        <v>224000</v>
      </c>
      <c r="AA68" s="2">
        <f t="shared" si="60"/>
        <v>252000</v>
      </c>
      <c r="AB68" s="2">
        <f t="shared" si="60"/>
        <v>280000</v>
      </c>
      <c r="AC68" s="2">
        <f t="shared" si="60"/>
        <v>308000</v>
      </c>
      <c r="AD68" s="2">
        <f t="shared" si="60"/>
        <v>336000</v>
      </c>
      <c r="AE68" s="2">
        <f t="shared" si="60"/>
        <v>252000</v>
      </c>
      <c r="AG68">
        <f t="shared" si="66"/>
        <v>56</v>
      </c>
      <c r="AH68" s="6">
        <f t="shared" si="67"/>
        <v>1.8714745049049127E-2</v>
      </c>
      <c r="AI68" s="6">
        <f t="shared" si="68"/>
        <v>3.935145314488412E-2</v>
      </c>
      <c r="AJ68" s="6">
        <f t="shared" si="69"/>
        <v>4.9449128042530988E-2</v>
      </c>
      <c r="AK68" s="6">
        <f t="shared" si="70"/>
        <v>5.4328406714715935E-2</v>
      </c>
      <c r="AL68" s="6">
        <f t="shared" si="71"/>
        <v>5.6928404433315725E-2</v>
      </c>
      <c r="AM68" s="6">
        <f t="shared" si="72"/>
        <v>5.8447839402729337E-2</v>
      </c>
      <c r="AN68" s="6">
        <f t="shared" si="73"/>
        <v>5.9403849077743251E-2</v>
      </c>
      <c r="AO68" s="6">
        <f t="shared" si="74"/>
        <v>6.0041251924223639E-2</v>
      </c>
      <c r="AP68" s="6">
        <f t="shared" si="75"/>
        <v>6.0486215589674056E-2</v>
      </c>
      <c r="AQ68" s="6">
        <f t="shared" si="76"/>
        <v>6.0808563013763382E-2</v>
      </c>
      <c r="AR68" s="6">
        <f t="shared" si="77"/>
        <v>6.1049283863162183E-2</v>
      </c>
      <c r="AS68" s="6">
        <f t="shared" si="78"/>
        <v>6.1233651706453687E-2</v>
      </c>
      <c r="AT68" s="6">
        <f t="shared" si="79"/>
        <v>6.210724930080954E-2</v>
      </c>
      <c r="AW68" s="3">
        <f t="shared" si="32"/>
        <v>1120</v>
      </c>
      <c r="AX68" s="3">
        <f t="shared" si="24"/>
        <v>82</v>
      </c>
      <c r="AY68" s="3">
        <f t="shared" si="25"/>
        <v>91840</v>
      </c>
      <c r="AZ68" s="13">
        <f t="shared" si="26"/>
        <v>4.5572761966531303E-2</v>
      </c>
      <c r="BA68" s="3">
        <f t="shared" si="36"/>
        <v>4185.4024590062345</v>
      </c>
      <c r="BB68" s="3">
        <f t="shared" si="37"/>
        <v>4192.5144036787287</v>
      </c>
      <c r="BC68" s="3">
        <f t="shared" si="21"/>
        <v>4197.619423743985</v>
      </c>
      <c r="BD68" s="3">
        <f t="shared" si="22"/>
        <v>8367.6444444444442</v>
      </c>
    </row>
    <row r="69" spans="3:56" x14ac:dyDescent="0.45">
      <c r="C69">
        <f t="shared" si="62"/>
        <v>57</v>
      </c>
      <c r="D69" s="2">
        <f t="shared" si="59"/>
        <v>529.55243190719489</v>
      </c>
      <c r="E69" s="2">
        <f t="shared" si="59"/>
        <v>2253.2437575179461</v>
      </c>
      <c r="F69" s="2">
        <f t="shared" si="59"/>
        <v>4271.8003542260085</v>
      </c>
      <c r="G69" s="2">
        <f t="shared" si="59"/>
        <v>6275.3487054531988</v>
      </c>
      <c r="H69" s="2">
        <f t="shared" si="59"/>
        <v>8231.9237013733728</v>
      </c>
      <c r="I69" s="2">
        <f t="shared" si="59"/>
        <v>10150.867811894776</v>
      </c>
      <c r="J69" s="2">
        <f t="shared" si="59"/>
        <v>12043.038271404554</v>
      </c>
      <c r="K69" s="2">
        <f t="shared" si="59"/>
        <v>13916.28270977037</v>
      </c>
      <c r="L69" s="2">
        <f t="shared" si="59"/>
        <v>15775.90279427657</v>
      </c>
      <c r="M69" s="2">
        <f t="shared" si="59"/>
        <v>17625.48339728027</v>
      </c>
      <c r="N69" s="2">
        <f t="shared" si="59"/>
        <v>19467.494095284314</v>
      </c>
      <c r="O69" s="2">
        <f t="shared" si="59"/>
        <v>21303.675495968262</v>
      </c>
      <c r="P69" s="2">
        <f t="shared" si="63"/>
        <v>16214.760470855772</v>
      </c>
      <c r="R69">
        <f t="shared" si="64"/>
        <v>57</v>
      </c>
      <c r="S69" s="2">
        <f t="shared" si="65"/>
        <v>28500</v>
      </c>
      <c r="T69" s="2">
        <f t="shared" si="65"/>
        <v>57000</v>
      </c>
      <c r="U69" s="2">
        <f t="shared" si="65"/>
        <v>85500</v>
      </c>
      <c r="V69" s="2">
        <f t="shared" si="65"/>
        <v>114000</v>
      </c>
      <c r="W69" s="2">
        <f t="shared" si="65"/>
        <v>142500</v>
      </c>
      <c r="X69" s="2">
        <f t="shared" si="65"/>
        <v>171000</v>
      </c>
      <c r="Y69" s="2">
        <f t="shared" si="65"/>
        <v>199500</v>
      </c>
      <c r="Z69" s="2">
        <f t="shared" si="65"/>
        <v>228000</v>
      </c>
      <c r="AA69" s="2">
        <f t="shared" si="60"/>
        <v>256500</v>
      </c>
      <c r="AB69" s="2">
        <f t="shared" si="60"/>
        <v>285000</v>
      </c>
      <c r="AC69" s="2">
        <f t="shared" si="60"/>
        <v>313500</v>
      </c>
      <c r="AD69" s="2">
        <f t="shared" si="60"/>
        <v>342000</v>
      </c>
      <c r="AE69" s="2">
        <f t="shared" si="60"/>
        <v>256500</v>
      </c>
      <c r="AG69">
        <f t="shared" si="66"/>
        <v>57</v>
      </c>
      <c r="AH69" s="6">
        <f t="shared" si="67"/>
        <v>1.858078708446298E-2</v>
      </c>
      <c r="AI69" s="6">
        <f t="shared" si="68"/>
        <v>3.953059223715695E-2</v>
      </c>
      <c r="AJ69" s="6">
        <f t="shared" si="69"/>
        <v>4.9962577242409455E-2</v>
      </c>
      <c r="AK69" s="6">
        <f t="shared" si="70"/>
        <v>5.5046918468887707E-2</v>
      </c>
      <c r="AL69" s="6">
        <f t="shared" si="71"/>
        <v>5.7767885623672792E-2</v>
      </c>
      <c r="AM69" s="6">
        <f t="shared" si="72"/>
        <v>5.9361800069560093E-2</v>
      </c>
      <c r="AN69" s="6">
        <f t="shared" si="73"/>
        <v>6.0366106623581724E-2</v>
      </c>
      <c r="AO69" s="6">
        <f t="shared" si="74"/>
        <v>6.103632767443145E-2</v>
      </c>
      <c r="AP69" s="6">
        <f t="shared" si="75"/>
        <v>6.1504494324664989E-2</v>
      </c>
      <c r="AQ69" s="6">
        <f t="shared" si="76"/>
        <v>6.1843801393965857E-2</v>
      </c>
      <c r="AR69" s="6">
        <f t="shared" si="77"/>
        <v>6.2097269841417266E-2</v>
      </c>
      <c r="AS69" s="6">
        <f t="shared" si="78"/>
        <v>6.229144881862065E-2</v>
      </c>
      <c r="AT69" s="6">
        <f t="shared" si="79"/>
        <v>6.3215440432186243E-2</v>
      </c>
      <c r="AW69" s="3">
        <f t="shared" si="32"/>
        <v>1140</v>
      </c>
      <c r="AX69" s="3">
        <f t="shared" si="24"/>
        <v>84</v>
      </c>
      <c r="AY69" s="3">
        <f t="shared" si="25"/>
        <v>95760</v>
      </c>
      <c r="AZ69" s="13">
        <f t="shared" si="26"/>
        <v>4.6684278615113081E-2</v>
      </c>
      <c r="BA69" s="3">
        <f t="shared" si="36"/>
        <v>4470.486520183229</v>
      </c>
      <c r="BB69" s="3">
        <f t="shared" si="37"/>
        <v>4463.7817971131508</v>
      </c>
      <c r="BC69" s="3">
        <f t="shared" si="21"/>
        <v>4454.9458165638598</v>
      </c>
      <c r="BD69" s="3">
        <f t="shared" si="22"/>
        <v>8937.6</v>
      </c>
    </row>
    <row r="70" spans="3:56" x14ac:dyDescent="0.45">
      <c r="C70">
        <f t="shared" si="62"/>
        <v>58</v>
      </c>
      <c r="D70" s="2">
        <f t="shared" si="59"/>
        <v>534.91731508999817</v>
      </c>
      <c r="E70" s="2">
        <f t="shared" si="59"/>
        <v>2302.3705083500254</v>
      </c>
      <c r="F70" s="2">
        <f t="shared" si="59"/>
        <v>4390.1967056808044</v>
      </c>
      <c r="G70" s="2">
        <f t="shared" si="59"/>
        <v>6467.5162531078659</v>
      </c>
      <c r="H70" s="2">
        <f t="shared" si="59"/>
        <v>8496.8681714550003</v>
      </c>
      <c r="I70" s="2">
        <f t="shared" si="59"/>
        <v>10486.886263900064</v>
      </c>
      <c r="J70" s="2">
        <f t="shared" si="59"/>
        <v>12448.663926965015</v>
      </c>
      <c r="K70" s="2">
        <f t="shared" si="59"/>
        <v>14390.383038971024</v>
      </c>
      <c r="L70" s="2">
        <f t="shared" si="59"/>
        <v>16317.620702810065</v>
      </c>
      <c r="M70" s="2">
        <f t="shared" si="59"/>
        <v>18234.167013530292</v>
      </c>
      <c r="N70" s="2">
        <f t="shared" si="59"/>
        <v>20142.641233170587</v>
      </c>
      <c r="O70" s="2">
        <f t="shared" si="59"/>
        <v>22044.893472599837</v>
      </c>
      <c r="P70" s="2">
        <f t="shared" si="63"/>
        <v>16788.463906433615</v>
      </c>
      <c r="R70">
        <f t="shared" si="64"/>
        <v>58</v>
      </c>
      <c r="S70" s="2">
        <f t="shared" si="65"/>
        <v>29000</v>
      </c>
      <c r="T70" s="2">
        <f t="shared" si="65"/>
        <v>58000</v>
      </c>
      <c r="U70" s="2">
        <f t="shared" si="65"/>
        <v>87000</v>
      </c>
      <c r="V70" s="2">
        <f t="shared" si="65"/>
        <v>116000</v>
      </c>
      <c r="W70" s="2">
        <f t="shared" si="65"/>
        <v>145000</v>
      </c>
      <c r="X70" s="2">
        <f t="shared" si="65"/>
        <v>174000</v>
      </c>
      <c r="Y70" s="2">
        <f t="shared" si="65"/>
        <v>203000</v>
      </c>
      <c r="Z70" s="2">
        <f t="shared" si="65"/>
        <v>232000</v>
      </c>
      <c r="AA70" s="2">
        <f t="shared" si="60"/>
        <v>261000</v>
      </c>
      <c r="AB70" s="2">
        <f t="shared" si="60"/>
        <v>290000</v>
      </c>
      <c r="AC70" s="2">
        <f t="shared" si="60"/>
        <v>319000</v>
      </c>
      <c r="AD70" s="2">
        <f t="shared" si="60"/>
        <v>348000</v>
      </c>
      <c r="AE70" s="2">
        <f t="shared" si="60"/>
        <v>261000</v>
      </c>
      <c r="AG70">
        <f t="shared" si="66"/>
        <v>58</v>
      </c>
      <c r="AH70" s="6">
        <f t="shared" si="67"/>
        <v>1.84454246582758E-2</v>
      </c>
      <c r="AI70" s="6">
        <f t="shared" si="68"/>
        <v>3.9696043247414228E-2</v>
      </c>
      <c r="AJ70" s="6">
        <f t="shared" si="69"/>
        <v>5.0462031099779363E-2</v>
      </c>
      <c r="AK70" s="6">
        <f t="shared" si="70"/>
        <v>5.5754450457826427E-2</v>
      </c>
      <c r="AL70" s="6">
        <f t="shared" si="71"/>
        <v>5.8599090837620695E-2</v>
      </c>
      <c r="AM70" s="6">
        <f t="shared" si="72"/>
        <v>6.0269461286781977E-2</v>
      </c>
      <c r="AN70" s="6">
        <f t="shared" si="73"/>
        <v>6.1323467620517318E-2</v>
      </c>
      <c r="AO70" s="6">
        <f t="shared" si="74"/>
        <v>6.2027513099013033E-2</v>
      </c>
      <c r="AP70" s="6">
        <f t="shared" si="75"/>
        <v>6.2519619550996414E-2</v>
      </c>
      <c r="AQ70" s="6">
        <f t="shared" si="76"/>
        <v>6.2876437977690658E-2</v>
      </c>
      <c r="AR70" s="6">
        <f t="shared" si="77"/>
        <v>6.3143075966051995E-2</v>
      </c>
      <c r="AS70" s="6">
        <f t="shared" si="78"/>
        <v>6.3347395036206428E-2</v>
      </c>
      <c r="AT70" s="6">
        <f t="shared" si="79"/>
        <v>6.4323616499745648E-2</v>
      </c>
      <c r="AW70" s="3">
        <f t="shared" si="32"/>
        <v>1160</v>
      </c>
      <c r="AX70" s="3">
        <f t="shared" si="24"/>
        <v>85</v>
      </c>
      <c r="AY70" s="3">
        <f t="shared" si="25"/>
        <v>98600</v>
      </c>
      <c r="AZ70" s="13">
        <f t="shared" si="26"/>
        <v>4.7240036939403977E-2</v>
      </c>
      <c r="BA70" s="3">
        <f t="shared" si="36"/>
        <v>4657.867642225232</v>
      </c>
      <c r="BB70" s="3">
        <f t="shared" si="37"/>
        <v>4663.823679877436</v>
      </c>
      <c r="BC70" s="3">
        <f t="shared" si="21"/>
        <v>4667.5514928321682</v>
      </c>
      <c r="BD70" s="3">
        <f t="shared" si="22"/>
        <v>9312.2222222222226</v>
      </c>
    </row>
    <row r="71" spans="3:56" x14ac:dyDescent="0.45">
      <c r="C71">
        <f t="shared" si="62"/>
        <v>59</v>
      </c>
      <c r="D71" s="2">
        <f t="shared" si="59"/>
        <v>540.11332419792905</v>
      </c>
      <c r="E71" s="2">
        <f t="shared" si="59"/>
        <v>2351.0453538357401</v>
      </c>
      <c r="F71" s="2">
        <f t="shared" si="59"/>
        <v>4508.8632077619122</v>
      </c>
      <c r="G71" s="2">
        <f t="shared" si="59"/>
        <v>6661.2161640926679</v>
      </c>
      <c r="H71" s="2">
        <f t="shared" si="59"/>
        <v>8764.7395085974695</v>
      </c>
      <c r="I71" s="2">
        <f t="shared" si="59"/>
        <v>10827.224550258257</v>
      </c>
      <c r="J71" s="2">
        <f t="shared" si="59"/>
        <v>12859.967938052243</v>
      </c>
      <c r="K71" s="2">
        <f t="shared" si="59"/>
        <v>14871.482634489508</v>
      </c>
      <c r="L71" s="2">
        <f t="shared" si="59"/>
        <v>16867.625701006164</v>
      </c>
      <c r="M71" s="2">
        <f t="shared" si="59"/>
        <v>18852.398170575419</v>
      </c>
      <c r="N71" s="2">
        <f t="shared" si="59"/>
        <v>20828.574125471383</v>
      </c>
      <c r="O71" s="2">
        <f t="shared" si="59"/>
        <v>22798.117387489096</v>
      </c>
      <c r="P71" s="2">
        <f t="shared" si="63"/>
        <v>17372.136996191832</v>
      </c>
      <c r="R71">
        <f t="shared" si="64"/>
        <v>59</v>
      </c>
      <c r="S71" s="2">
        <f t="shared" si="65"/>
        <v>29500</v>
      </c>
      <c r="T71" s="2">
        <f t="shared" si="65"/>
        <v>59000</v>
      </c>
      <c r="U71" s="2">
        <f t="shared" si="65"/>
        <v>88500</v>
      </c>
      <c r="V71" s="2">
        <f t="shared" si="65"/>
        <v>118000</v>
      </c>
      <c r="W71" s="2">
        <f t="shared" si="65"/>
        <v>147500</v>
      </c>
      <c r="X71" s="2">
        <f t="shared" si="65"/>
        <v>177000</v>
      </c>
      <c r="Y71" s="2">
        <f t="shared" si="65"/>
        <v>206500</v>
      </c>
      <c r="Z71" s="2">
        <f t="shared" si="65"/>
        <v>236000</v>
      </c>
      <c r="AA71" s="2">
        <f t="shared" si="60"/>
        <v>265500</v>
      </c>
      <c r="AB71" s="2">
        <f t="shared" si="60"/>
        <v>295000</v>
      </c>
      <c r="AC71" s="2">
        <f t="shared" si="60"/>
        <v>324500</v>
      </c>
      <c r="AD71" s="2">
        <f t="shared" si="60"/>
        <v>354000</v>
      </c>
      <c r="AE71" s="2">
        <f t="shared" si="60"/>
        <v>265500</v>
      </c>
      <c r="AG71">
        <f t="shared" si="66"/>
        <v>59</v>
      </c>
      <c r="AH71" s="6">
        <f t="shared" si="67"/>
        <v>1.8308926243997596E-2</v>
      </c>
      <c r="AI71" s="6">
        <f t="shared" si="68"/>
        <v>3.9848226336198986E-2</v>
      </c>
      <c r="AJ71" s="6">
        <f t="shared" si="69"/>
        <v>5.0947606867366241E-2</v>
      </c>
      <c r="AK71" s="6">
        <f t="shared" si="70"/>
        <v>5.6450984441463285E-2</v>
      </c>
      <c r="AL71" s="6">
        <f t="shared" si="71"/>
        <v>5.9421962770152333E-2</v>
      </c>
      <c r="AM71" s="6">
        <f t="shared" si="72"/>
        <v>6.1170760170950605E-2</v>
      </c>
      <c r="AN71" s="6">
        <f t="shared" si="73"/>
        <v>6.2275873792020549E-2</v>
      </c>
      <c r="AO71" s="6">
        <f t="shared" si="74"/>
        <v>6.3014756925802995E-2</v>
      </c>
      <c r="AP71" s="6">
        <f t="shared" si="75"/>
        <v>6.3531546896445065E-2</v>
      </c>
      <c r="AQ71" s="6">
        <f t="shared" si="76"/>
        <v>6.3906434476526844E-2</v>
      </c>
      <c r="AR71" s="6">
        <f t="shared" si="77"/>
        <v>6.4186669107770059E-2</v>
      </c>
      <c r="AS71" s="6">
        <f t="shared" si="78"/>
        <v>6.4401461546579372E-2</v>
      </c>
      <c r="AT71" s="6">
        <f t="shared" si="79"/>
        <v>6.5431777763434396E-2</v>
      </c>
      <c r="AW71" s="3">
        <f t="shared" si="32"/>
        <v>1180</v>
      </c>
      <c r="AX71" s="3">
        <f t="shared" si="24"/>
        <v>87</v>
      </c>
      <c r="AY71" s="3">
        <f t="shared" si="25"/>
        <v>102660</v>
      </c>
      <c r="AZ71" s="13">
        <f t="shared" si="26"/>
        <v>4.8351553587985756E-2</v>
      </c>
      <c r="BA71" s="3">
        <f t="shared" si="36"/>
        <v>4963.7704913426178</v>
      </c>
      <c r="BB71" s="3">
        <f t="shared" si="37"/>
        <v>4954.8286558468953</v>
      </c>
      <c r="BC71" s="3">
        <f t="shared" si="21"/>
        <v>4943.5144790111663</v>
      </c>
      <c r="BD71" s="3">
        <f t="shared" si="22"/>
        <v>9923.7999999999993</v>
      </c>
    </row>
    <row r="72" spans="3:56" x14ac:dyDescent="0.45">
      <c r="C72">
        <f t="shared" si="62"/>
        <v>60</v>
      </c>
      <c r="D72" s="2">
        <f t="shared" si="59"/>
        <v>545.14613694885281</v>
      </c>
      <c r="E72" s="2">
        <f t="shared" si="59"/>
        <v>2399.2534614691867</v>
      </c>
      <c r="F72" s="2">
        <f t="shared" si="59"/>
        <v>4627.7486029482561</v>
      </c>
      <c r="G72" s="2">
        <f t="shared" si="59"/>
        <v>6856.3809307727006</v>
      </c>
      <c r="H72" s="2">
        <f t="shared" si="59"/>
        <v>9035.4671261855747</v>
      </c>
      <c r="I72" s="2">
        <f t="shared" si="59"/>
        <v>11171.814455097878</v>
      </c>
      <c r="J72" s="2">
        <f t="shared" si="59"/>
        <v>13276.886301544855</v>
      </c>
      <c r="K72" s="2">
        <f t="shared" si="59"/>
        <v>15359.522081546078</v>
      </c>
      <c r="L72" s="2">
        <f t="shared" si="59"/>
        <v>17425.862778026902</v>
      </c>
      <c r="M72" s="2">
        <f t="shared" si="59"/>
        <v>19480.125887727925</v>
      </c>
      <c r="N72" s="2">
        <f t="shared" si="59"/>
        <v>21525.245408239974</v>
      </c>
      <c r="O72" s="2">
        <f t="shared" si="59"/>
        <v>23563.303098727869</v>
      </c>
      <c r="P72" s="2">
        <f t="shared" si="63"/>
        <v>17965.779608083245</v>
      </c>
      <c r="R72">
        <f t="shared" si="64"/>
        <v>60</v>
      </c>
      <c r="S72" s="2">
        <f t="shared" si="65"/>
        <v>30000</v>
      </c>
      <c r="T72" s="2">
        <f t="shared" si="65"/>
        <v>60000</v>
      </c>
      <c r="U72" s="2">
        <f t="shared" si="65"/>
        <v>90000</v>
      </c>
      <c r="V72" s="2">
        <f t="shared" si="65"/>
        <v>120000</v>
      </c>
      <c r="W72" s="2">
        <f t="shared" si="65"/>
        <v>150000</v>
      </c>
      <c r="X72" s="2">
        <f t="shared" si="65"/>
        <v>180000</v>
      </c>
      <c r="Y72" s="2">
        <f t="shared" si="65"/>
        <v>210000</v>
      </c>
      <c r="Z72" s="2">
        <f t="shared" si="65"/>
        <v>240000</v>
      </c>
      <c r="AA72" s="2">
        <f t="shared" si="60"/>
        <v>270000</v>
      </c>
      <c r="AB72" s="2">
        <f t="shared" si="60"/>
        <v>300000</v>
      </c>
      <c r="AC72" s="2">
        <f t="shared" si="60"/>
        <v>330000</v>
      </c>
      <c r="AD72" s="2">
        <f t="shared" si="60"/>
        <v>360000</v>
      </c>
      <c r="AE72" s="2">
        <f t="shared" si="60"/>
        <v>270000</v>
      </c>
      <c r="AG72">
        <f t="shared" si="66"/>
        <v>60</v>
      </c>
      <c r="AH72" s="6">
        <f t="shared" si="67"/>
        <v>1.8171537898295093E-2</v>
      </c>
      <c r="AI72" s="6">
        <f t="shared" si="68"/>
        <v>3.9987557691153114E-2</v>
      </c>
      <c r="AJ72" s="6">
        <f t="shared" si="69"/>
        <v>5.1419428921647289E-2</v>
      </c>
      <c r="AK72" s="6">
        <f t="shared" si="70"/>
        <v>5.7136507756439171E-2</v>
      </c>
      <c r="AL72" s="6">
        <f t="shared" si="71"/>
        <v>6.0236447507903829E-2</v>
      </c>
      <c r="AM72" s="6">
        <f t="shared" si="72"/>
        <v>6.2065635861654873E-2</v>
      </c>
      <c r="AN72" s="6">
        <f t="shared" si="73"/>
        <v>6.3223268102594543E-2</v>
      </c>
      <c r="AO72" s="6">
        <f t="shared" si="74"/>
        <v>6.3998008673108661E-2</v>
      </c>
      <c r="AP72" s="6">
        <f t="shared" si="75"/>
        <v>6.4540232511210743E-2</v>
      </c>
      <c r="AQ72" s="6">
        <f t="shared" si="76"/>
        <v>6.493375295909308E-2</v>
      </c>
      <c r="AR72" s="6">
        <f t="shared" si="77"/>
        <v>6.5228016388605981E-2</v>
      </c>
      <c r="AS72" s="6">
        <f t="shared" si="78"/>
        <v>6.545361971868853E-2</v>
      </c>
      <c r="AT72" s="6">
        <f t="shared" si="79"/>
        <v>6.6539924474382395E-2</v>
      </c>
      <c r="AW72" s="3">
        <f t="shared" si="32"/>
        <v>1200</v>
      </c>
      <c r="AX72" s="3">
        <f t="shared" si="24"/>
        <v>88</v>
      </c>
      <c r="AY72" s="3">
        <f t="shared" si="25"/>
        <v>105600</v>
      </c>
      <c r="AZ72" s="13">
        <f t="shared" si="26"/>
        <v>4.8907311912276645E-2</v>
      </c>
      <c r="BA72" s="3">
        <f t="shared" si="36"/>
        <v>5164.612137936414</v>
      </c>
      <c r="BB72" s="3">
        <f t="shared" si="37"/>
        <v>5169.191577695281</v>
      </c>
      <c r="BC72" s="3">
        <f t="shared" si="21"/>
        <v>5171.3041440586439</v>
      </c>
      <c r="BD72" s="3">
        <f t="shared" si="22"/>
        <v>10325.333333333334</v>
      </c>
    </row>
    <row r="73" spans="3:56" x14ac:dyDescent="0.45">
      <c r="C73">
        <f t="shared" si="62"/>
        <v>61</v>
      </c>
      <c r="D73" s="2">
        <f t="shared" ref="D73:O82" si="80">$C$7*BL_MBPS*BL_KM^2*D$12^3*$C73^2/((EM_KM*D$12)^2+(2*PI()*AVG_SUN_DIST_KM*$C73)^2)</f>
        <v>550.02128874632149</v>
      </c>
      <c r="E73" s="2">
        <f t="shared" si="80"/>
        <v>2446.9813810050487</v>
      </c>
      <c r="F73" s="2">
        <f t="shared" si="80"/>
        <v>4746.8029934108808</v>
      </c>
      <c r="G73" s="2">
        <f t="shared" si="80"/>
        <v>7052.943610056861</v>
      </c>
      <c r="H73" s="2">
        <f t="shared" si="80"/>
        <v>9308.9804120068657</v>
      </c>
      <c r="I73" s="2">
        <f t="shared" si="80"/>
        <v>11520.587402555684</v>
      </c>
      <c r="J73" s="2">
        <f t="shared" si="80"/>
        <v>13699.35448205309</v>
      </c>
      <c r="K73" s="2">
        <f t="shared" si="80"/>
        <v>15854.4413520119</v>
      </c>
      <c r="L73" s="2">
        <f t="shared" si="80"/>
        <v>17992.276278531219</v>
      </c>
      <c r="M73" s="2">
        <f t="shared" si="80"/>
        <v>20117.29853577615</v>
      </c>
      <c r="N73" s="2">
        <f t="shared" si="80"/>
        <v>22232.607079561931</v>
      </c>
      <c r="O73" s="2">
        <f t="shared" si="80"/>
        <v>24340.40584458358</v>
      </c>
      <c r="P73" s="2">
        <f t="shared" si="63"/>
        <v>18569.391612282037</v>
      </c>
      <c r="R73">
        <f t="shared" si="64"/>
        <v>61</v>
      </c>
      <c r="S73" s="2">
        <f t="shared" si="65"/>
        <v>30500</v>
      </c>
      <c r="T73" s="2">
        <f t="shared" si="65"/>
        <v>61000</v>
      </c>
      <c r="U73" s="2">
        <f t="shared" si="65"/>
        <v>91500</v>
      </c>
      <c r="V73" s="2">
        <f t="shared" si="65"/>
        <v>122000</v>
      </c>
      <c r="W73" s="2">
        <f t="shared" si="65"/>
        <v>152500</v>
      </c>
      <c r="X73" s="2">
        <f t="shared" si="65"/>
        <v>183000</v>
      </c>
      <c r="Y73" s="2">
        <f t="shared" si="65"/>
        <v>213500</v>
      </c>
      <c r="Z73" s="2">
        <f t="shared" si="65"/>
        <v>244000</v>
      </c>
      <c r="AA73" s="2">
        <f t="shared" si="60"/>
        <v>274500</v>
      </c>
      <c r="AB73" s="2">
        <f t="shared" si="60"/>
        <v>305000</v>
      </c>
      <c r="AC73" s="2">
        <f t="shared" si="60"/>
        <v>335500</v>
      </c>
      <c r="AD73" s="2">
        <f t="shared" si="60"/>
        <v>366000</v>
      </c>
      <c r="AE73" s="2">
        <f t="shared" si="60"/>
        <v>274500</v>
      </c>
      <c r="AG73">
        <f t="shared" si="66"/>
        <v>61</v>
      </c>
      <c r="AH73" s="6">
        <f t="shared" si="67"/>
        <v>1.8033484876928574E-2</v>
      </c>
      <c r="AI73" s="6">
        <f t="shared" si="68"/>
        <v>4.0114448868935226E-2</v>
      </c>
      <c r="AJ73" s="6">
        <f t="shared" si="69"/>
        <v>5.1877628343288316E-2</v>
      </c>
      <c r="AK73" s="6">
        <f t="shared" si="70"/>
        <v>5.7811013197187386E-2</v>
      </c>
      <c r="AL73" s="6">
        <f t="shared" si="71"/>
        <v>6.1042494504963053E-2</v>
      </c>
      <c r="AM73" s="6">
        <f t="shared" si="72"/>
        <v>6.2954029522162211E-2</v>
      </c>
      <c r="AN73" s="6">
        <f t="shared" si="73"/>
        <v>6.4165594763714709E-2</v>
      </c>
      <c r="AO73" s="6">
        <f t="shared" si="74"/>
        <v>6.497721865578647E-2</v>
      </c>
      <c r="AP73" s="6">
        <f t="shared" si="75"/>
        <v>6.554563307297348E-2</v>
      </c>
      <c r="AQ73" s="6">
        <f t="shared" si="76"/>
        <v>6.5958355855003772E-2</v>
      </c>
      <c r="AR73" s="6">
        <f t="shared" si="77"/>
        <v>6.6267085184983407E-2</v>
      </c>
      <c r="AS73" s="6">
        <f t="shared" si="78"/>
        <v>6.6503841105419612E-2</v>
      </c>
      <c r="AT73" s="6">
        <f t="shared" si="79"/>
        <v>6.7648056875344392E-2</v>
      </c>
      <c r="AW73" s="3">
        <f t="shared" si="32"/>
        <v>1220</v>
      </c>
      <c r="AX73" s="3">
        <f t="shared" si="24"/>
        <v>90</v>
      </c>
      <c r="AY73" s="3">
        <f t="shared" si="25"/>
        <v>109800</v>
      </c>
      <c r="AZ73" s="13">
        <f t="shared" si="26"/>
        <v>5.0018828560858423E-2</v>
      </c>
      <c r="BA73" s="3">
        <f t="shared" si="36"/>
        <v>5492.0673759822548</v>
      </c>
      <c r="BB73" s="3">
        <f t="shared" si="37"/>
        <v>5480.6271894903439</v>
      </c>
      <c r="BC73" s="3">
        <f t="shared" si="21"/>
        <v>5466.5551675420556</v>
      </c>
      <c r="BD73" s="3">
        <f t="shared" si="22"/>
        <v>10980</v>
      </c>
    </row>
    <row r="74" spans="3:56" x14ac:dyDescent="0.45">
      <c r="C74">
        <f t="shared" si="62"/>
        <v>62</v>
      </c>
      <c r="D74" s="2">
        <f t="shared" si="80"/>
        <v>554.74416766680622</v>
      </c>
      <c r="E74" s="2">
        <f t="shared" si="80"/>
        <v>2494.2169845611961</v>
      </c>
      <c r="F74" s="2">
        <f t="shared" si="80"/>
        <v>4865.9778528330908</v>
      </c>
      <c r="G74" s="2">
        <f t="shared" si="80"/>
        <v>7250.8378628421397</v>
      </c>
      <c r="H74" s="2">
        <f t="shared" si="80"/>
        <v>9585.208766248963</v>
      </c>
      <c r="I74" s="2">
        <f t="shared" si="80"/>
        <v>11873.474487034746</v>
      </c>
      <c r="J74" s="2">
        <f t="shared" si="80"/>
        <v>14127.307434900646</v>
      </c>
      <c r="K74" s="2">
        <f t="shared" si="80"/>
        <v>16356.17982176945</v>
      </c>
      <c r="L74" s="2">
        <f t="shared" si="80"/>
        <v>18566.809915906299</v>
      </c>
      <c r="M74" s="2">
        <f t="shared" si="80"/>
        <v>20763.863847208417</v>
      </c>
      <c r="N74" s="2">
        <f t="shared" si="80"/>
        <v>22950.610507573601</v>
      </c>
      <c r="O74" s="2">
        <f t="shared" si="80"/>
        <v>25129.380249880225</v>
      </c>
      <c r="P74" s="2">
        <f t="shared" si="63"/>
        <v>19182.972881110218</v>
      </c>
      <c r="R74">
        <f t="shared" si="64"/>
        <v>62</v>
      </c>
      <c r="S74" s="2">
        <f t="shared" si="65"/>
        <v>31000</v>
      </c>
      <c r="T74" s="2">
        <f t="shared" si="65"/>
        <v>62000</v>
      </c>
      <c r="U74" s="2">
        <f t="shared" si="65"/>
        <v>93000</v>
      </c>
      <c r="V74" s="2">
        <f t="shared" si="65"/>
        <v>124000</v>
      </c>
      <c r="W74" s="2">
        <f t="shared" si="65"/>
        <v>155000</v>
      </c>
      <c r="X74" s="2">
        <f t="shared" si="65"/>
        <v>186000</v>
      </c>
      <c r="Y74" s="2">
        <f t="shared" si="65"/>
        <v>217000</v>
      </c>
      <c r="Z74" s="2">
        <f t="shared" si="65"/>
        <v>248000</v>
      </c>
      <c r="AA74" s="2">
        <f t="shared" si="60"/>
        <v>279000</v>
      </c>
      <c r="AB74" s="2">
        <f t="shared" si="60"/>
        <v>310000</v>
      </c>
      <c r="AC74" s="2">
        <f t="shared" si="60"/>
        <v>341000</v>
      </c>
      <c r="AD74" s="2">
        <f t="shared" si="60"/>
        <v>372000</v>
      </c>
      <c r="AE74" s="2">
        <f t="shared" si="60"/>
        <v>279000</v>
      </c>
      <c r="AG74">
        <f t="shared" si="66"/>
        <v>62</v>
      </c>
      <c r="AH74" s="6">
        <f t="shared" si="67"/>
        <v>1.7894973150542136E-2</v>
      </c>
      <c r="AI74" s="6">
        <f t="shared" si="68"/>
        <v>4.0229306202599936E-2</v>
      </c>
      <c r="AJ74" s="6">
        <f t="shared" si="69"/>
        <v>5.2322342503581622E-2</v>
      </c>
      <c r="AK74" s="6">
        <f t="shared" si="70"/>
        <v>5.847449889388822E-2</v>
      </c>
      <c r="AL74" s="6">
        <f t="shared" si="71"/>
        <v>6.1840056556444922E-2</v>
      </c>
      <c r="AM74" s="6">
        <f t="shared" si="72"/>
        <v>6.383588433889649E-2</v>
      </c>
      <c r="AN74" s="6">
        <f t="shared" si="73"/>
        <v>6.5102799239173476E-2</v>
      </c>
      <c r="AO74" s="6">
        <f t="shared" si="74"/>
        <v>6.5952337991005847E-2</v>
      </c>
      <c r="AP74" s="6">
        <f t="shared" si="75"/>
        <v>6.6547705791778849E-2</v>
      </c>
      <c r="AQ74" s="6">
        <f t="shared" si="76"/>
        <v>6.6980205958736827E-2</v>
      </c>
      <c r="AR74" s="6">
        <f t="shared" si="77"/>
        <v>6.7303843130714372E-2</v>
      </c>
      <c r="AS74" s="6">
        <f t="shared" si="78"/>
        <v>6.7552097445914588E-2</v>
      </c>
      <c r="AT74" s="6">
        <f t="shared" si="79"/>
        <v>6.8756175201111894E-2</v>
      </c>
      <c r="AW74" s="3">
        <f t="shared" si="32"/>
        <v>1240</v>
      </c>
      <c r="AX74" s="3">
        <f t="shared" si="24"/>
        <v>91</v>
      </c>
      <c r="AY74" s="3">
        <f t="shared" si="25"/>
        <v>112840</v>
      </c>
      <c r="AZ74" s="13">
        <f t="shared" si="26"/>
        <v>5.057458688514932E-2</v>
      </c>
      <c r="BA74" s="3">
        <f t="shared" si="36"/>
        <v>5706.836384120249</v>
      </c>
      <c r="BB74" s="3">
        <f t="shared" si="37"/>
        <v>5709.8061885737416</v>
      </c>
      <c r="BC74" s="3">
        <f t="shared" si="21"/>
        <v>5710.0524211944239</v>
      </c>
      <c r="BD74" s="3">
        <f t="shared" si="22"/>
        <v>11409.377777777778</v>
      </c>
    </row>
    <row r="75" spans="3:56" x14ac:dyDescent="0.45">
      <c r="C75">
        <f t="shared" si="62"/>
        <v>63</v>
      </c>
      <c r="D75" s="2">
        <f t="shared" si="80"/>
        <v>559.32001095672263</v>
      </c>
      <c r="E75" s="2">
        <f t="shared" si="80"/>
        <v>2540.9494070902492</v>
      </c>
      <c r="F75" s="2">
        <f t="shared" si="80"/>
        <v>4985.2260351482091</v>
      </c>
      <c r="G75" s="2">
        <f t="shared" si="80"/>
        <v>7449.9979916373377</v>
      </c>
      <c r="H75" s="2">
        <f t="shared" si="80"/>
        <v>9864.0816387612085</v>
      </c>
      <c r="I75" s="2">
        <f t="shared" si="80"/>
        <v>12230.406503236132</v>
      </c>
      <c r="J75" s="2">
        <f t="shared" si="80"/>
        <v>14560.679629088376</v>
      </c>
      <c r="K75" s="2">
        <f t="shared" si="80"/>
        <v>16864.676288132472</v>
      </c>
      <c r="L75" s="2">
        <f t="shared" si="80"/>
        <v>19149.406785582076</v>
      </c>
      <c r="M75" s="2">
        <f t="shared" si="80"/>
        <v>21419.768926521825</v>
      </c>
      <c r="N75" s="2">
        <f t="shared" si="80"/>
        <v>23679.206438559169</v>
      </c>
      <c r="O75" s="2">
        <f t="shared" si="80"/>
        <v>25930.180332449043</v>
      </c>
      <c r="P75" s="2">
        <f t="shared" si="63"/>
        <v>19806.52328896767</v>
      </c>
      <c r="R75">
        <f t="shared" si="64"/>
        <v>63</v>
      </c>
      <c r="S75" s="2">
        <f t="shared" si="65"/>
        <v>31500</v>
      </c>
      <c r="T75" s="2">
        <f t="shared" si="65"/>
        <v>63000</v>
      </c>
      <c r="U75" s="2">
        <f t="shared" si="65"/>
        <v>94500</v>
      </c>
      <c r="V75" s="2">
        <f t="shared" si="65"/>
        <v>126000</v>
      </c>
      <c r="W75" s="2">
        <f t="shared" si="65"/>
        <v>157500</v>
      </c>
      <c r="X75" s="2">
        <f t="shared" si="65"/>
        <v>189000</v>
      </c>
      <c r="Y75" s="2">
        <f t="shared" si="65"/>
        <v>220500</v>
      </c>
      <c r="Z75" s="2">
        <f t="shared" si="65"/>
        <v>252000</v>
      </c>
      <c r="AA75" s="2">
        <f t="shared" ref="AA75:AE84" si="81">$R75*AA$12</f>
        <v>283500</v>
      </c>
      <c r="AB75" s="2">
        <f t="shared" si="81"/>
        <v>315000</v>
      </c>
      <c r="AC75" s="2">
        <f t="shared" si="81"/>
        <v>346500</v>
      </c>
      <c r="AD75" s="2">
        <f t="shared" si="81"/>
        <v>378000</v>
      </c>
      <c r="AE75" s="2">
        <f t="shared" si="81"/>
        <v>283500</v>
      </c>
      <c r="AG75">
        <f t="shared" si="66"/>
        <v>63</v>
      </c>
      <c r="AH75" s="6">
        <f t="shared" si="67"/>
        <v>1.7756190824022942E-2</v>
      </c>
      <c r="AI75" s="6">
        <f t="shared" si="68"/>
        <v>4.03325302712738E-2</v>
      </c>
      <c r="AJ75" s="6">
        <f t="shared" si="69"/>
        <v>5.2753714657653009E-2</v>
      </c>
      <c r="AK75" s="6">
        <f t="shared" si="70"/>
        <v>5.9126968187597918E-2</v>
      </c>
      <c r="AL75" s="6">
        <f t="shared" si="71"/>
        <v>6.2629089769912438E-2</v>
      </c>
      <c r="AM75" s="6">
        <f t="shared" si="72"/>
        <v>6.4711145519767893E-2</v>
      </c>
      <c r="AN75" s="6">
        <f t="shared" si="73"/>
        <v>6.6034828249833907E-2</v>
      </c>
      <c r="AO75" s="6">
        <f t="shared" si="74"/>
        <v>6.692331860370028E-2</v>
      </c>
      <c r="AP75" s="6">
        <f t="shared" si="75"/>
        <v>6.7546408414751596E-2</v>
      </c>
      <c r="AQ75" s="6">
        <f t="shared" si="76"/>
        <v>6.7999266433402622E-2</v>
      </c>
      <c r="AR75" s="6">
        <f t="shared" si="77"/>
        <v>6.8338258119939876E-2</v>
      </c>
      <c r="AS75" s="6">
        <f t="shared" si="78"/>
        <v>6.8598360667854616E-2</v>
      </c>
      <c r="AT75" s="6">
        <f t="shared" si="79"/>
        <v>6.98642796788983E-2</v>
      </c>
      <c r="AW75" s="3">
        <f t="shared" si="32"/>
        <v>1260</v>
      </c>
      <c r="AX75" s="3">
        <f t="shared" si="24"/>
        <v>93</v>
      </c>
      <c r="AY75" s="3">
        <f t="shared" si="25"/>
        <v>117180</v>
      </c>
      <c r="AZ75" s="13">
        <f t="shared" si="26"/>
        <v>5.1686103533731098E-2</v>
      </c>
      <c r="BA75" s="3">
        <f t="shared" si="36"/>
        <v>6056.5776120826104</v>
      </c>
      <c r="BB75" s="3">
        <f t="shared" si="37"/>
        <v>6042.3654894904412</v>
      </c>
      <c r="BC75" s="3">
        <f t="shared" si="21"/>
        <v>6025.242925985006</v>
      </c>
      <c r="BD75" s="3">
        <f t="shared" si="22"/>
        <v>12108.6</v>
      </c>
    </row>
    <row r="76" spans="3:56" x14ac:dyDescent="0.45">
      <c r="C76">
        <f t="shared" si="62"/>
        <v>64</v>
      </c>
      <c r="D76" s="2">
        <f t="shared" si="80"/>
        <v>563.7539028314111</v>
      </c>
      <c r="E76" s="2">
        <f t="shared" si="80"/>
        <v>2587.1689874505755</v>
      </c>
      <c r="F76" s="2">
        <f t="shared" si="80"/>
        <v>5104.5017803331466</v>
      </c>
      <c r="G76" s="2">
        <f t="shared" si="80"/>
        <v>7650.3589763647424</v>
      </c>
      <c r="H76" s="2">
        <f t="shared" si="80"/>
        <v>10145.528565555696</v>
      </c>
      <c r="I76" s="2">
        <f t="shared" si="80"/>
        <v>12591.313975943875</v>
      </c>
      <c r="J76" s="2">
        <f t="shared" si="80"/>
        <v>14999.405070226365</v>
      </c>
      <c r="K76" s="2">
        <f t="shared" si="80"/>
        <v>17379.868987316881</v>
      </c>
      <c r="L76" s="2">
        <f t="shared" si="80"/>
        <v>19740.009378423256</v>
      </c>
      <c r="M76" s="2">
        <f t="shared" si="80"/>
        <v>22084.960260612315</v>
      </c>
      <c r="N76" s="2">
        <f t="shared" si="80"/>
        <v>24418.34500512369</v>
      </c>
      <c r="O76" s="2">
        <f t="shared" si="80"/>
        <v>26742.759509647192</v>
      </c>
      <c r="P76" s="2">
        <f t="shared" si="63"/>
        <v>20440.042712265767</v>
      </c>
      <c r="R76">
        <f t="shared" si="64"/>
        <v>64</v>
      </c>
      <c r="S76" s="2">
        <f t="shared" ref="S76:Z85" si="82">$R76*S$12</f>
        <v>32000</v>
      </c>
      <c r="T76" s="2">
        <f t="shared" si="82"/>
        <v>64000</v>
      </c>
      <c r="U76" s="2">
        <f t="shared" si="82"/>
        <v>96000</v>
      </c>
      <c r="V76" s="2">
        <f t="shared" si="82"/>
        <v>128000</v>
      </c>
      <c r="W76" s="2">
        <f t="shared" si="82"/>
        <v>160000</v>
      </c>
      <c r="X76" s="2">
        <f t="shared" si="82"/>
        <v>192000</v>
      </c>
      <c r="Y76" s="2">
        <f t="shared" si="82"/>
        <v>224000</v>
      </c>
      <c r="Z76" s="2">
        <f t="shared" si="82"/>
        <v>256000</v>
      </c>
      <c r="AA76" s="2">
        <f t="shared" si="81"/>
        <v>288000</v>
      </c>
      <c r="AB76" s="2">
        <f t="shared" si="81"/>
        <v>320000</v>
      </c>
      <c r="AC76" s="2">
        <f t="shared" si="81"/>
        <v>352000</v>
      </c>
      <c r="AD76" s="2">
        <f t="shared" si="81"/>
        <v>384000</v>
      </c>
      <c r="AE76" s="2">
        <f t="shared" si="81"/>
        <v>288000</v>
      </c>
      <c r="AG76">
        <f t="shared" si="66"/>
        <v>64</v>
      </c>
      <c r="AH76" s="6">
        <f t="shared" si="67"/>
        <v>1.7617309463481598E-2</v>
      </c>
      <c r="AI76" s="6">
        <f t="shared" si="68"/>
        <v>4.0424515428915245E-2</v>
      </c>
      <c r="AJ76" s="6">
        <f t="shared" si="69"/>
        <v>5.317189354513694E-2</v>
      </c>
      <c r="AK76" s="6">
        <f t="shared" si="70"/>
        <v>5.9768429502849552E-2</v>
      </c>
      <c r="AL76" s="6">
        <f t="shared" si="71"/>
        <v>6.3409553534723107E-2</v>
      </c>
      <c r="AM76" s="6">
        <f t="shared" si="72"/>
        <v>6.5579760291374342E-2</v>
      </c>
      <c r="AN76" s="6">
        <f t="shared" si="73"/>
        <v>6.6961629777796267E-2</v>
      </c>
      <c r="AO76" s="6">
        <f t="shared" si="74"/>
        <v>6.7890113231706559E-2</v>
      </c>
      <c r="AP76" s="6">
        <f t="shared" si="75"/>
        <v>6.8541699230636299E-2</v>
      </c>
      <c r="AQ76" s="6">
        <f t="shared" si="76"/>
        <v>6.9015500814413488E-2</v>
      </c>
      <c r="AR76" s="6">
        <f t="shared" si="77"/>
        <v>6.9370298310010486E-2</v>
      </c>
      <c r="AS76" s="6">
        <f t="shared" si="78"/>
        <v>6.9642602889706223E-2</v>
      </c>
      <c r="AT76" s="6">
        <f t="shared" si="79"/>
        <v>7.0972370528700576E-2</v>
      </c>
      <c r="AW76" s="3">
        <f t="shared" si="32"/>
        <v>1280</v>
      </c>
      <c r="AX76" s="3">
        <f t="shared" si="24"/>
        <v>94</v>
      </c>
      <c r="AY76" s="3">
        <f t="shared" si="25"/>
        <v>120320</v>
      </c>
      <c r="AZ76" s="13">
        <f t="shared" si="26"/>
        <v>5.2241861858021987E-2</v>
      </c>
      <c r="BA76" s="3">
        <f t="shared" si="36"/>
        <v>6285.7408187572055</v>
      </c>
      <c r="BB76" s="3">
        <f t="shared" si="37"/>
        <v>6286.8556039552832</v>
      </c>
      <c r="BC76" s="3">
        <f t="shared" si="21"/>
        <v>6284.9713680208361</v>
      </c>
      <c r="BD76" s="3">
        <f t="shared" si="22"/>
        <v>12566.755555555555</v>
      </c>
    </row>
    <row r="77" spans="3:56" x14ac:dyDescent="0.45">
      <c r="C77">
        <f t="shared" si="62"/>
        <v>65</v>
      </c>
      <c r="D77" s="2">
        <f t="shared" si="80"/>
        <v>568.05077339154582</v>
      </c>
      <c r="E77" s="2">
        <f t="shared" si="80"/>
        <v>2632.8672102803498</v>
      </c>
      <c r="F77" s="2">
        <f t="shared" si="80"/>
        <v>5223.7607173978049</v>
      </c>
      <c r="G77" s="2">
        <f t="shared" si="80"/>
        <v>7851.8565083422527</v>
      </c>
      <c r="H77" s="2">
        <f t="shared" si="80"/>
        <v>10429.479204524599</v>
      </c>
      <c r="I77" s="2">
        <f t="shared" si="80"/>
        <v>12956.127189543498</v>
      </c>
      <c r="J77" s="2">
        <f t="shared" si="80"/>
        <v>15443.417323421125</v>
      </c>
      <c r="K77" s="2">
        <f t="shared" si="80"/>
        <v>17901.695611954034</v>
      </c>
      <c r="L77" s="2">
        <f t="shared" si="80"/>
        <v>20338.559594193372</v>
      </c>
      <c r="M77" s="2">
        <f t="shared" si="80"/>
        <v>22759.383729242327</v>
      </c>
      <c r="N77" s="2">
        <f t="shared" si="80"/>
        <v>25167.975734439853</v>
      </c>
      <c r="O77" s="2">
        <f t="shared" si="80"/>
        <v>27567.070604942717</v>
      </c>
      <c r="P77" s="2">
        <f t="shared" si="63"/>
        <v>21083.531029363858</v>
      </c>
      <c r="R77">
        <f t="shared" si="64"/>
        <v>65</v>
      </c>
      <c r="S77" s="2">
        <f t="shared" si="82"/>
        <v>32500</v>
      </c>
      <c r="T77" s="2">
        <f t="shared" si="82"/>
        <v>65000</v>
      </c>
      <c r="U77" s="2">
        <f t="shared" si="82"/>
        <v>97500</v>
      </c>
      <c r="V77" s="2">
        <f t="shared" si="82"/>
        <v>130000</v>
      </c>
      <c r="W77" s="2">
        <f t="shared" si="82"/>
        <v>162500</v>
      </c>
      <c r="X77" s="2">
        <f t="shared" si="82"/>
        <v>195000</v>
      </c>
      <c r="Y77" s="2">
        <f t="shared" si="82"/>
        <v>227500</v>
      </c>
      <c r="Z77" s="2">
        <f t="shared" si="82"/>
        <v>260000</v>
      </c>
      <c r="AA77" s="2">
        <f t="shared" si="81"/>
        <v>292500</v>
      </c>
      <c r="AB77" s="2">
        <f t="shared" si="81"/>
        <v>325000</v>
      </c>
      <c r="AC77" s="2">
        <f t="shared" si="81"/>
        <v>357500</v>
      </c>
      <c r="AD77" s="2">
        <f t="shared" si="81"/>
        <v>390000</v>
      </c>
      <c r="AE77" s="2">
        <f t="shared" si="81"/>
        <v>292500</v>
      </c>
      <c r="AG77">
        <f t="shared" si="66"/>
        <v>65</v>
      </c>
      <c r="AH77" s="6">
        <f t="shared" si="67"/>
        <v>1.7478485335124486E-2</v>
      </c>
      <c r="AI77" s="6">
        <f t="shared" si="68"/>
        <v>4.0505649388928457E-2</v>
      </c>
      <c r="AJ77" s="6">
        <f t="shared" si="69"/>
        <v>5.3577032998951848E-2</v>
      </c>
      <c r="AK77" s="6">
        <f t="shared" si="70"/>
        <v>6.0398896218017327E-2</v>
      </c>
      <c r="AL77" s="6">
        <f t="shared" si="71"/>
        <v>6.4181410489382154E-2</v>
      </c>
      <c r="AM77" s="6">
        <f t="shared" si="72"/>
        <v>6.6441677895094864E-2</v>
      </c>
      <c r="AN77" s="6">
        <f t="shared" si="73"/>
        <v>6.7883153069982965E-2</v>
      </c>
      <c r="AO77" s="6">
        <f t="shared" si="74"/>
        <v>6.8852675430592439E-2</v>
      </c>
      <c r="AP77" s="6">
        <f t="shared" si="75"/>
        <v>6.9533537074165375E-2</v>
      </c>
      <c r="AQ77" s="6">
        <f t="shared" si="76"/>
        <v>7.0028873013053314E-2</v>
      </c>
      <c r="AR77" s="6">
        <f t="shared" si="77"/>
        <v>7.0399932124307285E-2</v>
      </c>
      <c r="AS77" s="6">
        <f t="shared" si="78"/>
        <v>7.0684796422930046E-2</v>
      </c>
      <c r="AT77" s="6">
        <f t="shared" si="79"/>
        <v>7.208044796363712E-2</v>
      </c>
      <c r="AW77" s="3">
        <f t="shared" si="32"/>
        <v>1300</v>
      </c>
      <c r="AX77" s="3">
        <f t="shared" si="24"/>
        <v>95</v>
      </c>
      <c r="AY77" s="3">
        <f t="shared" si="25"/>
        <v>123500</v>
      </c>
      <c r="AZ77" s="13">
        <f t="shared" si="26"/>
        <v>5.2797620182312877E-2</v>
      </c>
      <c r="BA77" s="3">
        <f t="shared" si="36"/>
        <v>6520.5060925156404</v>
      </c>
      <c r="BB77" s="3">
        <f t="shared" si="37"/>
        <v>6537.7331062085677</v>
      </c>
      <c r="BC77" s="3">
        <f t="shared" ref="BC77:BC140" si="83">IMPROVEMENT_V2*BL_MBPS*BL_KM^2*AW77^3*AX77^2/((EM_KM*AW77)^2+(2*PI()*AVG_SUN_DIST_KM*AX77)^2)</f>
        <v>6551.7907362543365</v>
      </c>
      <c r="BD77" s="3">
        <f t="shared" ref="BD77:BD140" si="84">IMPROVEMENT_V2*BL_MBPS*BL_KM^2*AW77*AX77^2/EM_KM^2</f>
        <v>13036.111111111111</v>
      </c>
    </row>
    <row r="78" spans="3:56" x14ac:dyDescent="0.45">
      <c r="C78">
        <f t="shared" si="62"/>
        <v>66</v>
      </c>
      <c r="D78" s="2">
        <f t="shared" si="80"/>
        <v>572.21539849356225</v>
      </c>
      <c r="E78" s="2">
        <f t="shared" si="80"/>
        <v>2678.0366488529407</v>
      </c>
      <c r="F78" s="2">
        <f t="shared" si="80"/>
        <v>5342.9598647114326</v>
      </c>
      <c r="G78" s="2">
        <f t="shared" si="80"/>
        <v>8054.4270224523416</v>
      </c>
      <c r="H78" s="2">
        <f t="shared" si="80"/>
        <v>10715.863370352363</v>
      </c>
      <c r="I78" s="2">
        <f t="shared" si="80"/>
        <v>13324.776217255174</v>
      </c>
      <c r="J78" s="2">
        <f t="shared" si="80"/>
        <v>15892.649536104709</v>
      </c>
      <c r="K78" s="2">
        <f t="shared" si="80"/>
        <v>18430.093328637759</v>
      </c>
      <c r="L78" s="2">
        <f t="shared" si="80"/>
        <v>20944.998755085348</v>
      </c>
      <c r="M78" s="2">
        <f t="shared" si="80"/>
        <v>23442.984615582434</v>
      </c>
      <c r="N78" s="2">
        <f t="shared" si="80"/>
        <v>25928.047556565871</v>
      </c>
      <c r="O78" s="2">
        <f t="shared" si="80"/>
        <v>28403.065854564204</v>
      </c>
      <c r="P78" s="2">
        <f t="shared" si="63"/>
        <v>21736.988120508882</v>
      </c>
      <c r="R78">
        <f t="shared" si="64"/>
        <v>66</v>
      </c>
      <c r="S78" s="2">
        <f t="shared" si="82"/>
        <v>33000</v>
      </c>
      <c r="T78" s="2">
        <f t="shared" si="82"/>
        <v>66000</v>
      </c>
      <c r="U78" s="2">
        <f t="shared" si="82"/>
        <v>99000</v>
      </c>
      <c r="V78" s="2">
        <f t="shared" si="82"/>
        <v>132000</v>
      </c>
      <c r="W78" s="2">
        <f t="shared" si="82"/>
        <v>165000</v>
      </c>
      <c r="X78" s="2">
        <f t="shared" si="82"/>
        <v>198000</v>
      </c>
      <c r="Y78" s="2">
        <f t="shared" si="82"/>
        <v>231000</v>
      </c>
      <c r="Z78" s="2">
        <f t="shared" si="82"/>
        <v>264000</v>
      </c>
      <c r="AA78" s="2">
        <f t="shared" si="81"/>
        <v>297000</v>
      </c>
      <c r="AB78" s="2">
        <f t="shared" si="81"/>
        <v>330000</v>
      </c>
      <c r="AC78" s="2">
        <f t="shared" si="81"/>
        <v>363000</v>
      </c>
      <c r="AD78" s="2">
        <f t="shared" si="81"/>
        <v>396000</v>
      </c>
      <c r="AE78" s="2">
        <f t="shared" si="81"/>
        <v>297000</v>
      </c>
      <c r="AG78">
        <f t="shared" si="66"/>
        <v>66</v>
      </c>
      <c r="AH78" s="6">
        <f t="shared" si="67"/>
        <v>1.7339860560410977E-2</v>
      </c>
      <c r="AI78" s="6">
        <f t="shared" si="68"/>
        <v>4.0576312861408191E-2</v>
      </c>
      <c r="AJ78" s="6">
        <f t="shared" si="69"/>
        <v>5.3969291562741745E-2</v>
      </c>
      <c r="AK78" s="6">
        <f t="shared" si="70"/>
        <v>6.101838653372986E-2</v>
      </c>
      <c r="AL78" s="6">
        <f t="shared" si="71"/>
        <v>6.4944626486984014E-2</v>
      </c>
      <c r="AM78" s="6">
        <f t="shared" si="72"/>
        <v>6.7296849582096835E-2</v>
      </c>
      <c r="AN78" s="6">
        <f t="shared" si="73"/>
        <v>6.8799348641145924E-2</v>
      </c>
      <c r="AO78" s="6">
        <f t="shared" si="74"/>
        <v>6.9810959578173334E-2</v>
      </c>
      <c r="AP78" s="6">
        <f t="shared" si="75"/>
        <v>7.0521881330253694E-2</v>
      </c>
      <c r="AQ78" s="6">
        <f t="shared" si="76"/>
        <v>7.1039347319946766E-2</v>
      </c>
      <c r="AR78" s="6">
        <f t="shared" si="77"/>
        <v>7.1427128255002401E-2</v>
      </c>
      <c r="AS78" s="6">
        <f t="shared" si="78"/>
        <v>7.1724913774152035E-2</v>
      </c>
      <c r="AT78" s="6">
        <f t="shared" si="79"/>
        <v>7.3188512190265592E-2</v>
      </c>
      <c r="AW78" s="3">
        <f t="shared" si="32"/>
        <v>1320</v>
      </c>
      <c r="AX78" s="3">
        <f t="shared" ref="AX78:AX141" si="85">ROUND($BB$7*AW78,0)</f>
        <v>97</v>
      </c>
      <c r="AY78" s="3">
        <f t="shared" ref="AY78:AY141" si="86">AW78*AX78</f>
        <v>128040</v>
      </c>
      <c r="AZ78" s="13">
        <f t="shared" ref="AZ78:AZ141" si="87">$AX$7*AX78+$AY$7</f>
        <v>5.3909136830894662E-2</v>
      </c>
      <c r="BA78" s="3">
        <f t="shared" si="36"/>
        <v>6902.5258798277528</v>
      </c>
      <c r="BB78" s="3">
        <f t="shared" si="37"/>
        <v>6901.5279152831827</v>
      </c>
      <c r="BC78" s="3">
        <f t="shared" si="83"/>
        <v>6897.2360283279268</v>
      </c>
      <c r="BD78" s="3">
        <f t="shared" si="84"/>
        <v>13799.866666666667</v>
      </c>
    </row>
    <row r="79" spans="3:56" x14ac:dyDescent="0.45">
      <c r="C79">
        <f t="shared" si="62"/>
        <v>67</v>
      </c>
      <c r="D79" s="2">
        <f t="shared" si="80"/>
        <v>576.25240042976043</v>
      </c>
      <c r="E79" s="2">
        <f t="shared" si="80"/>
        <v>2722.6709090681911</v>
      </c>
      <c r="F79" s="2">
        <f t="shared" si="80"/>
        <v>5462.0576278074941</v>
      </c>
      <c r="G79" s="2">
        <f t="shared" si="80"/>
        <v>8258.0077275078584</v>
      </c>
      <c r="H79" s="2">
        <f t="shared" si="80"/>
        <v>11004.611068603135</v>
      </c>
      <c r="I79" s="2">
        <f t="shared" si="80"/>
        <v>13697.190950063045</v>
      </c>
      <c r="J79" s="2">
        <f t="shared" si="80"/>
        <v>16347.034460792991</v>
      </c>
      <c r="K79" s="2">
        <f t="shared" si="80"/>
        <v>18964.998795496853</v>
      </c>
      <c r="L79" s="2">
        <f t="shared" si="80"/>
        <v>21559.267619312988</v>
      </c>
      <c r="M79" s="2">
        <f t="shared" si="80"/>
        <v>24135.707616823318</v>
      </c>
      <c r="N79" s="2">
        <f t="shared" si="80"/>
        <v>26698.508812832093</v>
      </c>
      <c r="O79" s="2">
        <f t="shared" si="80"/>
        <v>29250.696914213364</v>
      </c>
      <c r="P79" s="2">
        <f t="shared" si="63"/>
        <v>22400.413867777668</v>
      </c>
      <c r="R79">
        <f t="shared" si="64"/>
        <v>67</v>
      </c>
      <c r="S79" s="2">
        <f t="shared" si="82"/>
        <v>33500</v>
      </c>
      <c r="T79" s="2">
        <f t="shared" si="82"/>
        <v>67000</v>
      </c>
      <c r="U79" s="2">
        <f t="shared" si="82"/>
        <v>100500</v>
      </c>
      <c r="V79" s="2">
        <f t="shared" si="82"/>
        <v>134000</v>
      </c>
      <c r="W79" s="2">
        <f t="shared" si="82"/>
        <v>167500</v>
      </c>
      <c r="X79" s="2">
        <f t="shared" si="82"/>
        <v>201000</v>
      </c>
      <c r="Y79" s="2">
        <f t="shared" si="82"/>
        <v>234500</v>
      </c>
      <c r="Z79" s="2">
        <f t="shared" si="82"/>
        <v>268000</v>
      </c>
      <c r="AA79" s="2">
        <f t="shared" si="81"/>
        <v>301500</v>
      </c>
      <c r="AB79" s="2">
        <f t="shared" si="81"/>
        <v>335000</v>
      </c>
      <c r="AC79" s="2">
        <f t="shared" si="81"/>
        <v>368500</v>
      </c>
      <c r="AD79" s="2">
        <f t="shared" si="81"/>
        <v>402000</v>
      </c>
      <c r="AE79" s="2">
        <f t="shared" si="81"/>
        <v>301500</v>
      </c>
      <c r="AG79">
        <f t="shared" si="66"/>
        <v>67</v>
      </c>
      <c r="AH79" s="6">
        <f t="shared" si="67"/>
        <v>1.7201564191933146E-2</v>
      </c>
      <c r="AI79" s="6">
        <f t="shared" si="68"/>
        <v>4.0636879239823745E-2</v>
      </c>
      <c r="AJ79" s="6">
        <f t="shared" si="69"/>
        <v>5.4348832117487506E-2</v>
      </c>
      <c r="AK79" s="6">
        <f t="shared" si="70"/>
        <v>6.1626923339610881E-2</v>
      </c>
      <c r="AL79" s="6">
        <f t="shared" si="71"/>
        <v>6.5699170558824682E-2</v>
      </c>
      <c r="AM79" s="6">
        <f t="shared" si="72"/>
        <v>6.8145228607278827E-2</v>
      </c>
      <c r="AN79" s="6">
        <f t="shared" si="73"/>
        <v>6.9710168276302734E-2</v>
      </c>
      <c r="AO79" s="6">
        <f t="shared" si="74"/>
        <v>7.0764920878719606E-2</v>
      </c>
      <c r="AP79" s="6">
        <f t="shared" si="75"/>
        <v>7.1506691938019867E-2</v>
      </c>
      <c r="AQ79" s="6">
        <f t="shared" si="76"/>
        <v>7.2046888408427809E-2</v>
      </c>
      <c r="AR79" s="6">
        <f t="shared" si="77"/>
        <v>7.2451855665758735E-2</v>
      </c>
      <c r="AS79" s="6">
        <f t="shared" si="78"/>
        <v>7.2762927647296929E-2</v>
      </c>
      <c r="AT79" s="6">
        <f t="shared" si="79"/>
        <v>7.4296563408881161E-2</v>
      </c>
      <c r="AW79" s="3">
        <f t="shared" ref="AW79:AW142" si="88">AW78+$AW$13</f>
        <v>1340</v>
      </c>
      <c r="AX79" s="3">
        <f t="shared" si="85"/>
        <v>98</v>
      </c>
      <c r="AY79" s="3">
        <f t="shared" si="86"/>
        <v>131320</v>
      </c>
      <c r="AZ79" s="13">
        <f t="shared" si="87"/>
        <v>5.4464895155185551E-2</v>
      </c>
      <c r="BA79" s="3">
        <f t="shared" si="36"/>
        <v>7152.3300317789663</v>
      </c>
      <c r="BB79" s="3">
        <f t="shared" si="37"/>
        <v>7168.4137109954518</v>
      </c>
      <c r="BC79" s="3">
        <f t="shared" si="83"/>
        <v>7181.0344680652433</v>
      </c>
      <c r="BD79" s="3">
        <f t="shared" si="84"/>
        <v>14299.288888888888</v>
      </c>
    </row>
    <row r="80" spans="3:56" x14ac:dyDescent="0.45">
      <c r="C80">
        <f t="shared" si="62"/>
        <v>68</v>
      </c>
      <c r="D80" s="2">
        <f t="shared" si="80"/>
        <v>580.16624929089119</v>
      </c>
      <c r="E80" s="2">
        <f t="shared" si="80"/>
        <v>2766.7645747119855</v>
      </c>
      <c r="F80" s="2">
        <f t="shared" si="80"/>
        <v>5581.0137948083438</v>
      </c>
      <c r="G80" s="2">
        <f t="shared" si="80"/>
        <v>8462.5366348280804</v>
      </c>
      <c r="H80" s="2">
        <f t="shared" si="80"/>
        <v>11295.652528965547</v>
      </c>
      <c r="I80" s="2">
        <f t="shared" si="80"/>
        <v>14073.301125323116</v>
      </c>
      <c r="J80" s="2">
        <f t="shared" si="80"/>
        <v>16806.504477760456</v>
      </c>
      <c r="K80" s="2">
        <f t="shared" si="80"/>
        <v>19506.348179784502</v>
      </c>
      <c r="L80" s="2">
        <f t="shared" si="80"/>
        <v>22181.306394757983</v>
      </c>
      <c r="M80" s="2">
        <f t="shared" si="80"/>
        <v>24837.496854854406</v>
      </c>
      <c r="N80" s="2">
        <f t="shared" si="80"/>
        <v>27479.307264293901</v>
      </c>
      <c r="O80" s="2">
        <f t="shared" si="80"/>
        <v>30109.914865838855</v>
      </c>
      <c r="P80" s="2">
        <f t="shared" si="63"/>
        <v>23073.808155021936</v>
      </c>
      <c r="R80">
        <f t="shared" si="64"/>
        <v>68</v>
      </c>
      <c r="S80" s="2">
        <f t="shared" si="82"/>
        <v>34000</v>
      </c>
      <c r="T80" s="2">
        <f t="shared" si="82"/>
        <v>68000</v>
      </c>
      <c r="U80" s="2">
        <f t="shared" si="82"/>
        <v>102000</v>
      </c>
      <c r="V80" s="2">
        <f t="shared" si="82"/>
        <v>136000</v>
      </c>
      <c r="W80" s="2">
        <f t="shared" si="82"/>
        <v>170000</v>
      </c>
      <c r="X80" s="2">
        <f t="shared" si="82"/>
        <v>204000</v>
      </c>
      <c r="Y80" s="2">
        <f t="shared" si="82"/>
        <v>238000</v>
      </c>
      <c r="Z80" s="2">
        <f t="shared" si="82"/>
        <v>272000</v>
      </c>
      <c r="AA80" s="2">
        <f t="shared" si="81"/>
        <v>306000</v>
      </c>
      <c r="AB80" s="2">
        <f t="shared" si="81"/>
        <v>340000</v>
      </c>
      <c r="AC80" s="2">
        <f t="shared" si="81"/>
        <v>374000</v>
      </c>
      <c r="AD80" s="2">
        <f t="shared" si="81"/>
        <v>408000</v>
      </c>
      <c r="AE80" s="2">
        <f t="shared" si="81"/>
        <v>306000</v>
      </c>
      <c r="AG80">
        <f t="shared" si="66"/>
        <v>68</v>
      </c>
      <c r="AH80" s="6">
        <f t="shared" si="67"/>
        <v>1.7063713214437976E-2</v>
      </c>
      <c r="AI80" s="6">
        <f t="shared" si="68"/>
        <v>4.0687714333999786E-2</v>
      </c>
      <c r="AJ80" s="6">
        <f t="shared" si="69"/>
        <v>5.4715821517728865E-2</v>
      </c>
      <c r="AK80" s="6">
        <f t="shared" si="70"/>
        <v>6.2224534079618241E-2</v>
      </c>
      <c r="AL80" s="6">
        <f t="shared" si="71"/>
        <v>6.644501487626793E-2</v>
      </c>
      <c r="AM80" s="6">
        <f t="shared" si="72"/>
        <v>6.8986770222172145E-2</v>
      </c>
      <c r="AN80" s="6">
        <f t="shared" si="73"/>
        <v>7.0615565032606964E-2</v>
      </c>
      <c r="AO80" s="6">
        <f t="shared" si="74"/>
        <v>7.1714515366854789E-2</v>
      </c>
      <c r="AP80" s="6">
        <f t="shared" si="75"/>
        <v>7.2487929394633929E-2</v>
      </c>
      <c r="AQ80" s="6">
        <f t="shared" si="76"/>
        <v>7.3051461337807072E-2</v>
      </c>
      <c r="AR80" s="6">
        <f t="shared" si="77"/>
        <v>7.3474083594368716E-2</v>
      </c>
      <c r="AS80" s="6">
        <f t="shared" si="78"/>
        <v>7.3798810945683468E-2</v>
      </c>
      <c r="AT80" s="6">
        <f t="shared" si="79"/>
        <v>7.540460181379717E-2</v>
      </c>
      <c r="AW80" s="3">
        <f t="shared" si="88"/>
        <v>1360</v>
      </c>
      <c r="AX80" s="3">
        <f t="shared" si="85"/>
        <v>100</v>
      </c>
      <c r="AY80" s="3">
        <f t="shared" si="86"/>
        <v>136000</v>
      </c>
      <c r="AZ80" s="13">
        <f t="shared" si="87"/>
        <v>5.557641180376733E-2</v>
      </c>
      <c r="BA80" s="3">
        <f t="shared" si="36"/>
        <v>7558.3920053123566</v>
      </c>
      <c r="BB80" s="3">
        <f t="shared" si="37"/>
        <v>7555.0112140013616</v>
      </c>
      <c r="BC80" s="3">
        <f t="shared" si="83"/>
        <v>7548.0214459131539</v>
      </c>
      <c r="BD80" s="3">
        <f t="shared" si="84"/>
        <v>15111.111111111111</v>
      </c>
    </row>
    <row r="81" spans="3:56" x14ac:dyDescent="0.45">
      <c r="C81">
        <f t="shared" si="62"/>
        <v>69</v>
      </c>
      <c r="D81" s="2">
        <f t="shared" si="80"/>
        <v>583.9612648994314</v>
      </c>
      <c r="E81" s="2">
        <f t="shared" si="80"/>
        <v>2810.313154095958</v>
      </c>
      <c r="F81" s="2">
        <f t="shared" si="80"/>
        <v>5699.7895296102351</v>
      </c>
      <c r="G81" s="2">
        <f t="shared" si="80"/>
        <v>8667.952585041854</v>
      </c>
      <c r="H81" s="2">
        <f t="shared" si="80"/>
        <v>11588.918237638585</v>
      </c>
      <c r="I81" s="2">
        <f t="shared" si="80"/>
        <v>14453.036355032655</v>
      </c>
      <c r="J81" s="2">
        <f t="shared" si="80"/>
        <v>17270.991617619147</v>
      </c>
      <c r="K81" s="2">
        <f t="shared" si="80"/>
        <v>20054.077175476501</v>
      </c>
      <c r="L81" s="2">
        <f t="shared" si="80"/>
        <v>22811.054752666903</v>
      </c>
      <c r="M81" s="2">
        <f t="shared" si="80"/>
        <v>25548.295887005497</v>
      </c>
      <c r="N81" s="2">
        <f t="shared" si="80"/>
        <v>28270.390100248354</v>
      </c>
      <c r="O81" s="2">
        <f t="shared" si="80"/>
        <v>30980.67022446965</v>
      </c>
      <c r="P81" s="2">
        <f t="shared" si="63"/>
        <v>23757.17086781553</v>
      </c>
      <c r="R81">
        <f t="shared" si="64"/>
        <v>69</v>
      </c>
      <c r="S81" s="2">
        <f t="shared" si="82"/>
        <v>34500</v>
      </c>
      <c r="T81" s="2">
        <f t="shared" si="82"/>
        <v>69000</v>
      </c>
      <c r="U81" s="2">
        <f t="shared" si="82"/>
        <v>103500</v>
      </c>
      <c r="V81" s="2">
        <f t="shared" si="82"/>
        <v>138000</v>
      </c>
      <c r="W81" s="2">
        <f t="shared" si="82"/>
        <v>172500</v>
      </c>
      <c r="X81" s="2">
        <f t="shared" si="82"/>
        <v>207000</v>
      </c>
      <c r="Y81" s="2">
        <f t="shared" si="82"/>
        <v>241500</v>
      </c>
      <c r="Z81" s="2">
        <f t="shared" si="82"/>
        <v>276000</v>
      </c>
      <c r="AA81" s="2">
        <f t="shared" si="81"/>
        <v>310500</v>
      </c>
      <c r="AB81" s="2">
        <f t="shared" si="81"/>
        <v>345000</v>
      </c>
      <c r="AC81" s="2">
        <f t="shared" si="81"/>
        <v>379500</v>
      </c>
      <c r="AD81" s="2">
        <f t="shared" si="81"/>
        <v>414000</v>
      </c>
      <c r="AE81" s="2">
        <f t="shared" si="81"/>
        <v>310500</v>
      </c>
      <c r="AG81">
        <f t="shared" si="66"/>
        <v>69</v>
      </c>
      <c r="AH81" s="6">
        <f t="shared" si="67"/>
        <v>1.6926413475345837E-2</v>
      </c>
      <c r="AI81" s="6">
        <f t="shared" si="68"/>
        <v>4.0729176146318234E-2</v>
      </c>
      <c r="AJ81" s="6">
        <f t="shared" si="69"/>
        <v>5.5070430237780049E-2</v>
      </c>
      <c r="AK81" s="6">
        <f t="shared" si="70"/>
        <v>6.2811250616245318E-2</v>
      </c>
      <c r="AL81" s="6">
        <f t="shared" si="71"/>
        <v>6.7182134710948319E-2</v>
      </c>
      <c r="AM81" s="6">
        <f t="shared" si="72"/>
        <v>6.9821431666824418E-2</v>
      </c>
      <c r="AN81" s="6">
        <f t="shared" si="73"/>
        <v>7.1515493240658992E-2</v>
      </c>
      <c r="AO81" s="6">
        <f t="shared" si="74"/>
        <v>7.265969991114675E-2</v>
      </c>
      <c r="AP81" s="6">
        <f t="shared" si="75"/>
        <v>7.3465554758991636E-2</v>
      </c>
      <c r="AQ81" s="6">
        <f t="shared" si="76"/>
        <v>7.4053031556537668E-2</v>
      </c>
      <c r="AR81" s="6">
        <f t="shared" si="77"/>
        <v>7.4493781555331637E-2</v>
      </c>
      <c r="AS81" s="6">
        <f t="shared" si="78"/>
        <v>7.4832536774081276E-2</v>
      </c>
      <c r="AT81" s="6">
        <f t="shared" si="79"/>
        <v>7.6512627593608787E-2</v>
      </c>
      <c r="AW81" s="3">
        <f t="shared" si="88"/>
        <v>1380</v>
      </c>
      <c r="AX81" s="3">
        <f t="shared" si="85"/>
        <v>101</v>
      </c>
      <c r="AY81" s="3">
        <f t="shared" si="86"/>
        <v>139380</v>
      </c>
      <c r="AZ81" s="13">
        <f t="shared" si="87"/>
        <v>5.6132170128058219E-2</v>
      </c>
      <c r="BA81" s="3">
        <f t="shared" si="36"/>
        <v>7823.7018724487543</v>
      </c>
      <c r="BB81" s="3">
        <f t="shared" si="37"/>
        <v>7838.4003413475612</v>
      </c>
      <c r="BC81" s="3">
        <f t="shared" si="83"/>
        <v>7849.3225572363481</v>
      </c>
      <c r="BD81" s="3">
        <f t="shared" si="84"/>
        <v>15641.533333333333</v>
      </c>
    </row>
    <row r="82" spans="3:56" x14ac:dyDescent="0.45">
      <c r="C82">
        <f t="shared" si="62"/>
        <v>70</v>
      </c>
      <c r="D82" s="2">
        <f t="shared" si="80"/>
        <v>587.6416192155292</v>
      </c>
      <c r="E82" s="2">
        <f t="shared" si="80"/>
        <v>2853.313028170222</v>
      </c>
      <c r="F82" s="2">
        <f t="shared" si="80"/>
        <v>5818.3473629677947</v>
      </c>
      <c r="G82" s="2">
        <f t="shared" si="80"/>
        <v>8874.1952731375313</v>
      </c>
      <c r="H82" s="2">
        <f t="shared" si="80"/>
        <v>11884.338968844111</v>
      </c>
      <c r="I82" s="2">
        <f t="shared" si="80"/>
        <v>14836.326153744794</v>
      </c>
      <c r="J82" s="2">
        <f t="shared" si="80"/>
        <v>17740.427583789686</v>
      </c>
      <c r="K82" s="2">
        <f t="shared" si="80"/>
        <v>20608.121020869981</v>
      </c>
      <c r="L82" s="2">
        <f t="shared" si="80"/>
        <v>23448.451841392736</v>
      </c>
      <c r="M82" s="2">
        <f t="shared" si="80"/>
        <v>26268.047716847843</v>
      </c>
      <c r="N82" s="2">
        <f t="shared" si="80"/>
        <v>29071.703946812129</v>
      </c>
      <c r="O82" s="2">
        <f t="shared" si="80"/>
        <v>31862.912945106207</v>
      </c>
      <c r="P82" s="2">
        <f t="shared" si="63"/>
        <v>24450.501893404366</v>
      </c>
      <c r="R82">
        <f t="shared" si="64"/>
        <v>70</v>
      </c>
      <c r="S82" s="2">
        <f t="shared" si="82"/>
        <v>35000</v>
      </c>
      <c r="T82" s="2">
        <f t="shared" si="82"/>
        <v>70000</v>
      </c>
      <c r="U82" s="2">
        <f t="shared" si="82"/>
        <v>105000</v>
      </c>
      <c r="V82" s="2">
        <f t="shared" si="82"/>
        <v>140000</v>
      </c>
      <c r="W82" s="2">
        <f t="shared" si="82"/>
        <v>175000</v>
      </c>
      <c r="X82" s="2">
        <f t="shared" si="82"/>
        <v>210000</v>
      </c>
      <c r="Y82" s="2">
        <f t="shared" si="82"/>
        <v>245000</v>
      </c>
      <c r="Z82" s="2">
        <f t="shared" si="82"/>
        <v>280000</v>
      </c>
      <c r="AA82" s="2">
        <f t="shared" si="81"/>
        <v>315000</v>
      </c>
      <c r="AB82" s="2">
        <f t="shared" si="81"/>
        <v>350000</v>
      </c>
      <c r="AC82" s="2">
        <f t="shared" si="81"/>
        <v>385000</v>
      </c>
      <c r="AD82" s="2">
        <f t="shared" si="81"/>
        <v>420000</v>
      </c>
      <c r="AE82" s="2">
        <f t="shared" si="81"/>
        <v>315000</v>
      </c>
      <c r="AG82">
        <f t="shared" si="66"/>
        <v>70</v>
      </c>
      <c r="AH82" s="6">
        <f t="shared" si="67"/>
        <v>1.6789760549015119E-2</v>
      </c>
      <c r="AI82" s="6">
        <f t="shared" si="68"/>
        <v>4.0761614688146028E-2</v>
      </c>
      <c r="AJ82" s="6">
        <f t="shared" si="69"/>
        <v>5.5412832028264712E-2</v>
      </c>
      <c r="AK82" s="6">
        <f t="shared" si="70"/>
        <v>6.3387109093839503E-2</v>
      </c>
      <c r="AL82" s="6">
        <f t="shared" si="71"/>
        <v>6.7910508393394922E-2</v>
      </c>
      <c r="AM82" s="6">
        <f t="shared" si="72"/>
        <v>7.06491721606895E-2</v>
      </c>
      <c r="AN82" s="6">
        <f t="shared" si="73"/>
        <v>7.240990850526402E-2</v>
      </c>
      <c r="AO82" s="6">
        <f t="shared" si="74"/>
        <v>7.3600432217392792E-2</v>
      </c>
      <c r="AP82" s="6">
        <f t="shared" si="75"/>
        <v>7.4439529655215039E-2</v>
      </c>
      <c r="AQ82" s="6">
        <f t="shared" si="76"/>
        <v>7.5051564905279547E-2</v>
      </c>
      <c r="AR82" s="6">
        <f t="shared" si="77"/>
        <v>7.551091934236917E-2</v>
      </c>
      <c r="AS82" s="6">
        <f t="shared" si="78"/>
        <v>7.5864078440729066E-2</v>
      </c>
      <c r="AT82" s="6">
        <f t="shared" si="79"/>
        <v>7.7620640931442428E-2</v>
      </c>
      <c r="AW82" s="3">
        <f t="shared" si="88"/>
        <v>1400</v>
      </c>
      <c r="AX82" s="3">
        <f t="shared" si="85"/>
        <v>103</v>
      </c>
      <c r="AY82" s="3">
        <f t="shared" si="86"/>
        <v>144200</v>
      </c>
      <c r="AZ82" s="13">
        <f t="shared" si="87"/>
        <v>5.7243686776640004E-2</v>
      </c>
      <c r="BA82" s="3">
        <f t="shared" si="36"/>
        <v>8254.539633191489</v>
      </c>
      <c r="BB82" s="3">
        <f t="shared" si="37"/>
        <v>8248.4935915544429</v>
      </c>
      <c r="BC82" s="3">
        <f t="shared" si="83"/>
        <v>8238.50266458031</v>
      </c>
      <c r="BD82" s="3">
        <f t="shared" si="84"/>
        <v>16502.888888888891</v>
      </c>
    </row>
    <row r="83" spans="3:56" x14ac:dyDescent="0.45">
      <c r="C83">
        <f t="shared" si="62"/>
        <v>71</v>
      </c>
      <c r="D83" s="2">
        <f t="shared" ref="D83:O92" si="89">$C$7*BL_MBPS*BL_KM^2*D$12^3*$C83^2/((EM_KM*D$12)^2+(2*PI()*AVG_SUN_DIST_KM*$C83)^2)</f>
        <v>591.21133912990456</v>
      </c>
      <c r="E83" s="2">
        <f t="shared" si="89"/>
        <v>2895.7614001845477</v>
      </c>
      <c r="F83" s="2">
        <f t="shared" si="89"/>
        <v>5936.6511816153343</v>
      </c>
      <c r="G83" s="2">
        <f t="shared" si="89"/>
        <v>9081.2052717825281</v>
      </c>
      <c r="H83" s="2">
        <f t="shared" si="89"/>
        <v>12181.845815453107</v>
      </c>
      <c r="I83" s="2">
        <f t="shared" si="89"/>
        <v>15223.099966112746</v>
      </c>
      <c r="J83" s="2">
        <f t="shared" si="89"/>
        <v>18214.743774852501</v>
      </c>
      <c r="K83" s="2">
        <f t="shared" si="89"/>
        <v>21168.414516174609</v>
      </c>
      <c r="L83" s="2">
        <f t="shared" si="89"/>
        <v>24093.436300175574</v>
      </c>
      <c r="M83" s="2">
        <f t="shared" si="89"/>
        <v>26996.694805050873</v>
      </c>
      <c r="N83" s="2">
        <f t="shared" si="89"/>
        <v>29883.194875558296</v>
      </c>
      <c r="O83" s="2">
        <f t="shared" si="89"/>
        <v>32756.592429667748</v>
      </c>
      <c r="P83" s="2">
        <f t="shared" si="63"/>
        <v>25153.801120658012</v>
      </c>
      <c r="R83">
        <f t="shared" si="64"/>
        <v>71</v>
      </c>
      <c r="S83" s="2">
        <f t="shared" si="82"/>
        <v>35500</v>
      </c>
      <c r="T83" s="2">
        <f t="shared" si="82"/>
        <v>71000</v>
      </c>
      <c r="U83" s="2">
        <f t="shared" si="82"/>
        <v>106500</v>
      </c>
      <c r="V83" s="2">
        <f t="shared" si="82"/>
        <v>142000</v>
      </c>
      <c r="W83" s="2">
        <f t="shared" si="82"/>
        <v>177500</v>
      </c>
      <c r="X83" s="2">
        <f t="shared" si="82"/>
        <v>213000</v>
      </c>
      <c r="Y83" s="2">
        <f t="shared" si="82"/>
        <v>248500</v>
      </c>
      <c r="Z83" s="2">
        <f t="shared" si="82"/>
        <v>284000</v>
      </c>
      <c r="AA83" s="2">
        <f t="shared" si="81"/>
        <v>319500</v>
      </c>
      <c r="AB83" s="2">
        <f t="shared" si="81"/>
        <v>355000</v>
      </c>
      <c r="AC83" s="2">
        <f t="shared" si="81"/>
        <v>390500</v>
      </c>
      <c r="AD83" s="2">
        <f t="shared" si="81"/>
        <v>426000</v>
      </c>
      <c r="AE83" s="2">
        <f t="shared" si="81"/>
        <v>319500</v>
      </c>
      <c r="AG83">
        <f t="shared" si="66"/>
        <v>71</v>
      </c>
      <c r="AH83" s="6">
        <f t="shared" si="67"/>
        <v>1.6653840538870552E-2</v>
      </c>
      <c r="AI83" s="6">
        <f t="shared" si="68"/>
        <v>4.0785371833585181E-2</v>
      </c>
      <c r="AJ83" s="6">
        <f t="shared" si="69"/>
        <v>5.5743203583242577E-2</v>
      </c>
      <c r="AK83" s="6">
        <f t="shared" si="70"/>
        <v>6.3952149801285413E-2</v>
      </c>
      <c r="AL83" s="6">
        <f t="shared" si="71"/>
        <v>6.8630117270158345E-2</v>
      </c>
      <c r="AM83" s="6">
        <f t="shared" si="72"/>
        <v>7.1469952892548108E-2</v>
      </c>
      <c r="AN83" s="6">
        <f t="shared" si="73"/>
        <v>7.3298767705643864E-2</v>
      </c>
      <c r="AO83" s="6">
        <f t="shared" si="74"/>
        <v>7.4536670831600732E-2</v>
      </c>
      <c r="AP83" s="6">
        <f t="shared" si="75"/>
        <v>7.5409816275979882E-2</v>
      </c>
      <c r="AQ83" s="6">
        <f t="shared" si="76"/>
        <v>7.604702761986161E-2</v>
      </c>
      <c r="AR83" s="6">
        <f t="shared" si="77"/>
        <v>7.6525467030879119E-2</v>
      </c>
      <c r="AS83" s="6">
        <f t="shared" si="78"/>
        <v>7.6893409459313958E-2</v>
      </c>
      <c r="AT83" s="6">
        <f t="shared" si="79"/>
        <v>7.8728642005189392E-2</v>
      </c>
      <c r="AW83" s="3">
        <f t="shared" si="88"/>
        <v>1420</v>
      </c>
      <c r="AX83" s="3">
        <f t="shared" si="85"/>
        <v>104</v>
      </c>
      <c r="AY83" s="3">
        <f t="shared" si="86"/>
        <v>147680</v>
      </c>
      <c r="AZ83" s="13">
        <f t="shared" si="87"/>
        <v>5.7799445100930893E-2</v>
      </c>
      <c r="BA83" s="3">
        <f t="shared" si="36"/>
        <v>8535.8220525054749</v>
      </c>
      <c r="BB83" s="3">
        <f t="shared" si="37"/>
        <v>8548.8810887033978</v>
      </c>
      <c r="BC83" s="3">
        <f t="shared" si="83"/>
        <v>8557.8300475068809</v>
      </c>
      <c r="BD83" s="3">
        <f t="shared" si="84"/>
        <v>17065.244444444445</v>
      </c>
    </row>
    <row r="84" spans="3:56" x14ac:dyDescent="0.45">
      <c r="C84">
        <f t="shared" si="62"/>
        <v>72</v>
      </c>
      <c r="D84" s="2">
        <f t="shared" si="89"/>
        <v>594.67430956894452</v>
      </c>
      <c r="E84" s="2">
        <f t="shared" si="89"/>
        <v>2937.6562469574651</v>
      </c>
      <c r="F84" s="2">
        <f t="shared" si="89"/>
        <v>6054.6662155599834</v>
      </c>
      <c r="G84" s="2">
        <f t="shared" si="89"/>
        <v>9288.9240529377803</v>
      </c>
      <c r="H84" s="2">
        <f t="shared" si="89"/>
        <v>12481.370218714497</v>
      </c>
      <c r="I84" s="2">
        <f t="shared" si="89"/>
        <v>15613.287194048673</v>
      </c>
      <c r="J84" s="2">
        <f t="shared" si="89"/>
        <v>18693.871306767745</v>
      </c>
      <c r="K84" s="2">
        <f t="shared" si="89"/>
        <v>21734.892041088187</v>
      </c>
      <c r="L84" s="2">
        <f t="shared" si="89"/>
        <v>24745.946272957048</v>
      </c>
      <c r="M84" s="2">
        <f t="shared" si="89"/>
        <v>27734.179080291069</v>
      </c>
      <c r="N84" s="2">
        <f t="shared" si="89"/>
        <v>30704.808412209393</v>
      </c>
      <c r="O84" s="2">
        <f t="shared" si="89"/>
        <v>33661.657533993857</v>
      </c>
      <c r="P84" s="2">
        <f t="shared" si="63"/>
        <v>25867.068440023802</v>
      </c>
      <c r="R84">
        <f t="shared" si="64"/>
        <v>72</v>
      </c>
      <c r="S84" s="2">
        <f t="shared" si="82"/>
        <v>36000</v>
      </c>
      <c r="T84" s="2">
        <f t="shared" si="82"/>
        <v>72000</v>
      </c>
      <c r="U84" s="2">
        <f t="shared" si="82"/>
        <v>108000</v>
      </c>
      <c r="V84" s="2">
        <f t="shared" si="82"/>
        <v>144000</v>
      </c>
      <c r="W84" s="2">
        <f t="shared" si="82"/>
        <v>180000</v>
      </c>
      <c r="X84" s="2">
        <f t="shared" si="82"/>
        <v>216000</v>
      </c>
      <c r="Y84" s="2">
        <f t="shared" si="82"/>
        <v>252000</v>
      </c>
      <c r="Z84" s="2">
        <f t="shared" si="82"/>
        <v>288000</v>
      </c>
      <c r="AA84" s="2">
        <f t="shared" si="81"/>
        <v>324000</v>
      </c>
      <c r="AB84" s="2">
        <f t="shared" si="81"/>
        <v>360000</v>
      </c>
      <c r="AC84" s="2">
        <f t="shared" si="81"/>
        <v>396000</v>
      </c>
      <c r="AD84" s="2">
        <f t="shared" si="81"/>
        <v>432000</v>
      </c>
      <c r="AE84" s="2">
        <f t="shared" si="81"/>
        <v>324000</v>
      </c>
      <c r="AG84">
        <f t="shared" si="66"/>
        <v>72</v>
      </c>
      <c r="AH84" s="6">
        <f t="shared" si="67"/>
        <v>1.6518730821359569E-2</v>
      </c>
      <c r="AI84" s="6">
        <f t="shared" si="68"/>
        <v>4.0800781207742567E-2</v>
      </c>
      <c r="AJ84" s="6">
        <f t="shared" si="69"/>
        <v>5.6061724218147993E-2</v>
      </c>
      <c r="AK84" s="6">
        <f t="shared" si="70"/>
        <v>6.4506417034290137E-2</v>
      </c>
      <c r="AL84" s="6">
        <f t="shared" si="71"/>
        <v>6.9340945659524991E-2</v>
      </c>
      <c r="AM84" s="6">
        <f t="shared" si="72"/>
        <v>7.2283737009484594E-2</v>
      </c>
      <c r="AN84" s="6">
        <f t="shared" si="73"/>
        <v>7.4182028995110103E-2</v>
      </c>
      <c r="AO84" s="6">
        <f t="shared" si="74"/>
        <v>7.5468375142667313E-2</v>
      </c>
      <c r="AP84" s="6">
        <f t="shared" si="75"/>
        <v>7.6376377385669894E-2</v>
      </c>
      <c r="AQ84" s="6">
        <f t="shared" si="76"/>
        <v>7.7039386334141854E-2</v>
      </c>
      <c r="AR84" s="6">
        <f t="shared" si="77"/>
        <v>7.7537394980326746E-2</v>
      </c>
      <c r="AS84" s="6">
        <f t="shared" si="78"/>
        <v>7.7920503550911707E-2</v>
      </c>
      <c r="AT84" s="6">
        <f t="shared" si="79"/>
        <v>7.983663098772778E-2</v>
      </c>
      <c r="AW84" s="3">
        <f t="shared" si="88"/>
        <v>1440</v>
      </c>
      <c r="AX84" s="3">
        <f t="shared" si="85"/>
        <v>106</v>
      </c>
      <c r="AY84" s="3">
        <f t="shared" si="86"/>
        <v>152640</v>
      </c>
      <c r="AZ84" s="13">
        <f t="shared" si="87"/>
        <v>5.8910961749512672E-2</v>
      </c>
      <c r="BA84" s="3">
        <f t="shared" si="36"/>
        <v>8992.1692014456148</v>
      </c>
      <c r="BB84" s="3">
        <f t="shared" si="37"/>
        <v>8983.1631393874304</v>
      </c>
      <c r="BC84" s="3">
        <f t="shared" si="83"/>
        <v>8969.8547281386182</v>
      </c>
      <c r="BD84" s="3">
        <f t="shared" si="84"/>
        <v>17977.599999999999</v>
      </c>
    </row>
    <row r="85" spans="3:56" x14ac:dyDescent="0.45">
      <c r="C85">
        <f t="shared" si="62"/>
        <v>73</v>
      </c>
      <c r="D85" s="2">
        <f t="shared" si="89"/>
        <v>598.03427684697817</v>
      </c>
      <c r="E85" s="2">
        <f t="shared" si="89"/>
        <v>2978.9962717982576</v>
      </c>
      <c r="F85" s="2">
        <f t="shared" si="89"/>
        <v>6172.3590236790706</v>
      </c>
      <c r="G85" s="2">
        <f t="shared" si="89"/>
        <v>9497.2940077951516</v>
      </c>
      <c r="H85" s="2">
        <f t="shared" si="89"/>
        <v>12782.843997076867</v>
      </c>
      <c r="I85" s="2">
        <f t="shared" si="89"/>
        <v>16006.817223483053</v>
      </c>
      <c r="J85" s="2">
        <f t="shared" si="89"/>
        <v>19177.741034952578</v>
      </c>
      <c r="K85" s="2">
        <f t="shared" si="89"/>
        <v>22307.487572348884</v>
      </c>
      <c r="L85" s="2">
        <f t="shared" si="89"/>
        <v>25405.919422223178</v>
      </c>
      <c r="M85" s="2">
        <f t="shared" si="89"/>
        <v>28480.441950209311</v>
      </c>
      <c r="N85" s="2">
        <f t="shared" si="89"/>
        <v>31536.489545384342</v>
      </c>
      <c r="O85" s="2">
        <f t="shared" si="89"/>
        <v>34578.056574898721</v>
      </c>
      <c r="P85" s="2">
        <f t="shared" si="63"/>
        <v>26590.303743482604</v>
      </c>
      <c r="R85">
        <f t="shared" si="64"/>
        <v>73</v>
      </c>
      <c r="S85" s="2">
        <f t="shared" si="82"/>
        <v>36500</v>
      </c>
      <c r="T85" s="2">
        <f t="shared" si="82"/>
        <v>73000</v>
      </c>
      <c r="U85" s="2">
        <f t="shared" si="82"/>
        <v>109500</v>
      </c>
      <c r="V85" s="2">
        <f t="shared" si="82"/>
        <v>146000</v>
      </c>
      <c r="W85" s="2">
        <f t="shared" si="82"/>
        <v>182500</v>
      </c>
      <c r="X85" s="2">
        <f t="shared" si="82"/>
        <v>219000</v>
      </c>
      <c r="Y85" s="2">
        <f t="shared" si="82"/>
        <v>255500</v>
      </c>
      <c r="Z85" s="2">
        <f t="shared" si="82"/>
        <v>292000</v>
      </c>
      <c r="AA85" s="2">
        <f t="shared" ref="AA85:AE94" si="90">$R85*AA$12</f>
        <v>328500</v>
      </c>
      <c r="AB85" s="2">
        <f t="shared" si="90"/>
        <v>365000</v>
      </c>
      <c r="AC85" s="2">
        <f t="shared" si="90"/>
        <v>401500</v>
      </c>
      <c r="AD85" s="2">
        <f t="shared" si="90"/>
        <v>438000</v>
      </c>
      <c r="AE85" s="2">
        <f t="shared" si="90"/>
        <v>328500</v>
      </c>
      <c r="AG85">
        <f t="shared" si="66"/>
        <v>73</v>
      </c>
      <c r="AH85" s="6">
        <f t="shared" si="67"/>
        <v>1.6384500735533648E-2</v>
      </c>
      <c r="AI85" s="6">
        <f t="shared" si="68"/>
        <v>4.0808168106825443E-2</v>
      </c>
      <c r="AJ85" s="6">
        <f t="shared" si="69"/>
        <v>5.6368575558712976E-2</v>
      </c>
      <c r="AK85" s="6">
        <f t="shared" si="70"/>
        <v>6.5049958957501042E-2</v>
      </c>
      <c r="AL85" s="6">
        <f t="shared" si="71"/>
        <v>7.0042980805900643E-2</v>
      </c>
      <c r="AM85" s="6">
        <f t="shared" si="72"/>
        <v>7.3090489604945449E-2</v>
      </c>
      <c r="AN85" s="6">
        <f t="shared" si="73"/>
        <v>7.5059651800205782E-2</v>
      </c>
      <c r="AO85" s="6">
        <f t="shared" si="74"/>
        <v>7.6395505384756451E-2</v>
      </c>
      <c r="AP85" s="6">
        <f t="shared" si="75"/>
        <v>7.7339176323358225E-2</v>
      </c>
      <c r="AQ85" s="6">
        <f t="shared" si="76"/>
        <v>7.8028608082765238E-2</v>
      </c>
      <c r="AR85" s="6">
        <f t="shared" si="77"/>
        <v>7.8546673836573697E-2</v>
      </c>
      <c r="AS85" s="6">
        <f t="shared" si="78"/>
        <v>7.8945334645887488E-2</v>
      </c>
      <c r="AT85" s="6">
        <f t="shared" si="79"/>
        <v>8.0944608047131217E-2</v>
      </c>
      <c r="AW85" s="3">
        <f t="shared" si="88"/>
        <v>1460</v>
      </c>
      <c r="AX85" s="3">
        <f t="shared" si="85"/>
        <v>107</v>
      </c>
      <c r="AY85" s="3">
        <f t="shared" si="86"/>
        <v>156220</v>
      </c>
      <c r="AZ85" s="13">
        <f t="shared" si="87"/>
        <v>5.9466720073803561E-2</v>
      </c>
      <c r="BA85" s="3">
        <f t="shared" si="36"/>
        <v>9289.8910099295917</v>
      </c>
      <c r="BB85" s="3">
        <f t="shared" si="37"/>
        <v>9301.0440445026543</v>
      </c>
      <c r="BC85" s="3">
        <f t="shared" si="83"/>
        <v>9307.7319826286912</v>
      </c>
      <c r="BD85" s="3">
        <f t="shared" si="84"/>
        <v>18572.822222222221</v>
      </c>
    </row>
    <row r="86" spans="3:56" x14ac:dyDescent="0.45">
      <c r="C86">
        <f t="shared" si="62"/>
        <v>74</v>
      </c>
      <c r="D86" s="2">
        <f t="shared" si="89"/>
        <v>601.29485220935555</v>
      </c>
      <c r="E86" s="2">
        <f t="shared" si="89"/>
        <v>3019.7808591136536</v>
      </c>
      <c r="F86" s="2">
        <f t="shared" si="89"/>
        <v>6289.6974777510723</v>
      </c>
      <c r="G86" s="2">
        <f t="shared" si="89"/>
        <v>9706.2584650678964</v>
      </c>
      <c r="H86" s="2">
        <f t="shared" si="89"/>
        <v>13086.199374095113</v>
      </c>
      <c r="I86" s="2">
        <f t="shared" si="89"/>
        <v>16403.61945071099</v>
      </c>
      <c r="J86" s="2">
        <f t="shared" si="89"/>
        <v>19666.283576204874</v>
      </c>
      <c r="K86" s="2">
        <f t="shared" si="89"/>
        <v>22886.134701256204</v>
      </c>
      <c r="L86" s="2">
        <f t="shared" si="89"/>
        <v>26073.292942870303</v>
      </c>
      <c r="M86" s="2">
        <f t="shared" si="89"/>
        <v>29235.424312413037</v>
      </c>
      <c r="N86" s="2">
        <f t="shared" si="89"/>
        <v>32378.182735396702</v>
      </c>
      <c r="O86" s="2">
        <f t="shared" si="89"/>
        <v>35505.737337276259</v>
      </c>
      <c r="P86" s="2">
        <f t="shared" si="63"/>
        <v>27323.506924506422</v>
      </c>
      <c r="R86">
        <f t="shared" si="64"/>
        <v>74</v>
      </c>
      <c r="S86" s="2">
        <f t="shared" ref="S86:Z95" si="91">$R86*S$12</f>
        <v>37000</v>
      </c>
      <c r="T86" s="2">
        <f t="shared" si="91"/>
        <v>74000</v>
      </c>
      <c r="U86" s="2">
        <f t="shared" si="91"/>
        <v>111000</v>
      </c>
      <c r="V86" s="2">
        <f t="shared" si="91"/>
        <v>148000</v>
      </c>
      <c r="W86" s="2">
        <f t="shared" si="91"/>
        <v>185000</v>
      </c>
      <c r="X86" s="2">
        <f t="shared" si="91"/>
        <v>222000</v>
      </c>
      <c r="Y86" s="2">
        <f t="shared" si="91"/>
        <v>259000</v>
      </c>
      <c r="Z86" s="2">
        <f t="shared" si="91"/>
        <v>296000</v>
      </c>
      <c r="AA86" s="2">
        <f t="shared" si="90"/>
        <v>333000</v>
      </c>
      <c r="AB86" s="2">
        <f t="shared" si="90"/>
        <v>370000</v>
      </c>
      <c r="AC86" s="2">
        <f t="shared" si="90"/>
        <v>407000</v>
      </c>
      <c r="AD86" s="2">
        <f t="shared" si="90"/>
        <v>444000</v>
      </c>
      <c r="AE86" s="2">
        <f t="shared" si="90"/>
        <v>333000</v>
      </c>
      <c r="AG86">
        <f t="shared" si="66"/>
        <v>74</v>
      </c>
      <c r="AH86" s="6">
        <f t="shared" si="67"/>
        <v>1.6251212221874475E-2</v>
      </c>
      <c r="AI86" s="6">
        <f t="shared" si="68"/>
        <v>4.0807849447481809E-2</v>
      </c>
      <c r="AJ86" s="6">
        <f t="shared" si="69"/>
        <v>5.6663941241000652E-2</v>
      </c>
      <c r="AK86" s="6">
        <f t="shared" si="70"/>
        <v>6.5582827466674973E-2</v>
      </c>
      <c r="AL86" s="6">
        <f t="shared" si="71"/>
        <v>7.0736212832946552E-2</v>
      </c>
      <c r="AM86" s="6">
        <f t="shared" si="72"/>
        <v>7.3890177705905363E-2</v>
      </c>
      <c r="AN86" s="6">
        <f t="shared" si="73"/>
        <v>7.5931596819323835E-2</v>
      </c>
      <c r="AO86" s="6">
        <f t="shared" si="74"/>
        <v>7.7318022639379064E-2</v>
      </c>
      <c r="AP86" s="6">
        <f t="shared" si="75"/>
        <v>7.8298177005616532E-2</v>
      </c>
      <c r="AQ86" s="6">
        <f t="shared" si="76"/>
        <v>7.9014660303819026E-2</v>
      </c>
      <c r="AR86" s="6">
        <f t="shared" si="77"/>
        <v>7.9553274534144236E-2</v>
      </c>
      <c r="AS86" s="6">
        <f t="shared" si="78"/>
        <v>7.9967876885757336E-2</v>
      </c>
      <c r="AT86" s="6">
        <f t="shared" si="79"/>
        <v>8.2052573346866137E-2</v>
      </c>
      <c r="AW86" s="3">
        <f t="shared" si="88"/>
        <v>1480</v>
      </c>
      <c r="AX86" s="3">
        <f t="shared" si="85"/>
        <v>109</v>
      </c>
      <c r="AY86" s="3">
        <f t="shared" si="86"/>
        <v>161320</v>
      </c>
      <c r="AZ86" s="13">
        <f t="shared" si="87"/>
        <v>6.0578236722385347E-2</v>
      </c>
      <c r="BA86" s="3">
        <f t="shared" si="36"/>
        <v>9772.4811480552034</v>
      </c>
      <c r="BB86" s="3">
        <f t="shared" si="37"/>
        <v>9760.2079489458556</v>
      </c>
      <c r="BC86" s="3">
        <f t="shared" si="83"/>
        <v>9743.2526804019908</v>
      </c>
      <c r="BD86" s="3">
        <f t="shared" si="84"/>
        <v>19537.644444444446</v>
      </c>
    </row>
    <row r="87" spans="3:56" x14ac:dyDescent="0.45">
      <c r="C87">
        <f t="shared" si="62"/>
        <v>75</v>
      </c>
      <c r="D87" s="2">
        <f t="shared" si="89"/>
        <v>604.45951551760425</v>
      </c>
      <c r="E87" s="2">
        <f t="shared" si="89"/>
        <v>3060.0100307191992</v>
      </c>
      <c r="F87" s="2">
        <f t="shared" si="89"/>
        <v>6406.6507450461359</v>
      </c>
      <c r="G87" s="2">
        <f t="shared" si="89"/>
        <v>9915.7617076666211</v>
      </c>
      <c r="H87" s="2">
        <f t="shared" si="89"/>
        <v>13391.36900541543</v>
      </c>
      <c r="I87" s="2">
        <f t="shared" si="89"/>
        <v>16803.623308312704</v>
      </c>
      <c r="J87" s="2">
        <f t="shared" si="89"/>
        <v>20159.429330462655</v>
      </c>
      <c r="K87" s="2">
        <f t="shared" si="89"/>
        <v>23470.76665115311</v>
      </c>
      <c r="L87" s="2">
        <f t="shared" si="89"/>
        <v>26748.003576088846</v>
      </c>
      <c r="M87" s="2">
        <f t="shared" si="89"/>
        <v>29999.066565519686</v>
      </c>
      <c r="N87" s="2">
        <f t="shared" si="89"/>
        <v>33229.831923101781</v>
      </c>
      <c r="O87" s="2">
        <f t="shared" si="89"/>
        <v>36444.647081254327</v>
      </c>
      <c r="P87" s="2">
        <f t="shared" si="63"/>
        <v>28066.677878017916</v>
      </c>
      <c r="R87">
        <f t="shared" si="64"/>
        <v>75</v>
      </c>
      <c r="S87" s="2">
        <f t="shared" si="91"/>
        <v>37500</v>
      </c>
      <c r="T87" s="2">
        <f t="shared" si="91"/>
        <v>75000</v>
      </c>
      <c r="U87" s="2">
        <f t="shared" si="91"/>
        <v>112500</v>
      </c>
      <c r="V87" s="2">
        <f t="shared" si="91"/>
        <v>150000</v>
      </c>
      <c r="W87" s="2">
        <f t="shared" si="91"/>
        <v>187500</v>
      </c>
      <c r="X87" s="2">
        <f t="shared" si="91"/>
        <v>225000</v>
      </c>
      <c r="Y87" s="2">
        <f t="shared" si="91"/>
        <v>262500</v>
      </c>
      <c r="Z87" s="2">
        <f t="shared" si="91"/>
        <v>300000</v>
      </c>
      <c r="AA87" s="2">
        <f t="shared" si="90"/>
        <v>337500</v>
      </c>
      <c r="AB87" s="2">
        <f t="shared" si="90"/>
        <v>375000</v>
      </c>
      <c r="AC87" s="2">
        <f t="shared" si="90"/>
        <v>412500</v>
      </c>
      <c r="AD87" s="2">
        <f t="shared" si="90"/>
        <v>450000</v>
      </c>
      <c r="AE87" s="2">
        <f t="shared" si="90"/>
        <v>337500</v>
      </c>
      <c r="AG87">
        <f t="shared" si="66"/>
        <v>75</v>
      </c>
      <c r="AH87" s="6">
        <f t="shared" si="67"/>
        <v>1.6118920413802779E-2</v>
      </c>
      <c r="AI87" s="6">
        <f t="shared" si="68"/>
        <v>4.0800133742922656E-2</v>
      </c>
      <c r="AJ87" s="6">
        <f t="shared" si="69"/>
        <v>5.6948006622632316E-2</v>
      </c>
      <c r="AK87" s="6">
        <f t="shared" si="70"/>
        <v>6.6105078051110808E-2</v>
      </c>
      <c r="AL87" s="6">
        <f t="shared" si="71"/>
        <v>7.1420634695548962E-2</v>
      </c>
      <c r="AM87" s="6">
        <f t="shared" si="72"/>
        <v>7.4682770259167572E-2</v>
      </c>
      <c r="AN87" s="6">
        <f t="shared" si="73"/>
        <v>7.6797826020810117E-2</v>
      </c>
      <c r="AO87" s="6">
        <f t="shared" si="74"/>
        <v>7.8235888837177026E-2</v>
      </c>
      <c r="AP87" s="6">
        <f t="shared" si="75"/>
        <v>7.9253343929152134E-2</v>
      </c>
      <c r="AQ87" s="6">
        <f t="shared" si="76"/>
        <v>7.999751084138583E-2</v>
      </c>
      <c r="AR87" s="6">
        <f t="shared" si="77"/>
        <v>8.0557168298428558E-2</v>
      </c>
      <c r="AS87" s="6">
        <f t="shared" si="78"/>
        <v>8.0988104625009619E-2</v>
      </c>
      <c r="AT87" s="6">
        <f t="shared" si="79"/>
        <v>8.316052704597901E-2</v>
      </c>
      <c r="AW87" s="3">
        <f t="shared" si="88"/>
        <v>1500</v>
      </c>
      <c r="AX87" s="3">
        <f t="shared" si="85"/>
        <v>110</v>
      </c>
      <c r="AY87" s="3">
        <f t="shared" si="86"/>
        <v>165000</v>
      </c>
      <c r="AZ87" s="13">
        <f t="shared" si="87"/>
        <v>6.1133995046676236E-2</v>
      </c>
      <c r="BA87" s="3">
        <f t="shared" si="36"/>
        <v>10087.109182701579</v>
      </c>
      <c r="BB87" s="3">
        <f t="shared" si="37"/>
        <v>10096.077300186069</v>
      </c>
      <c r="BC87" s="3">
        <f t="shared" si="83"/>
        <v>10100.203406364539</v>
      </c>
      <c r="BD87" s="3">
        <f t="shared" si="84"/>
        <v>20166.666666666668</v>
      </c>
    </row>
    <row r="88" spans="3:56" x14ac:dyDescent="0.45">
      <c r="C88">
        <f t="shared" si="62"/>
        <v>76</v>
      </c>
      <c r="D88" s="2">
        <f t="shared" si="89"/>
        <v>607.53161903470152</v>
      </c>
      <c r="E88" s="2">
        <f t="shared" si="89"/>
        <v>3099.6844038646659</v>
      </c>
      <c r="F88" s="2">
        <f t="shared" si="89"/>
        <v>6523.1892695986162</v>
      </c>
      <c r="G88" s="2">
        <f t="shared" si="89"/>
        <v>10125.748987794985</v>
      </c>
      <c r="H88" s="2">
        <f t="shared" si="89"/>
        <v>13698.286004833706</v>
      </c>
      <c r="I88" s="2">
        <f t="shared" si="89"/>
        <v>17206.758290636142</v>
      </c>
      <c r="J88" s="2">
        <f t="shared" si="89"/>
        <v>20657.108502388786</v>
      </c>
      <c r="K88" s="2">
        <f t="shared" si="89"/>
        <v>24061.316294861692</v>
      </c>
      <c r="L88" s="2">
        <f t="shared" si="89"/>
        <v>27429.987623259618</v>
      </c>
      <c r="M88" s="2">
        <f t="shared" si="89"/>
        <v>30771.308620237716</v>
      </c>
      <c r="N88" s="2">
        <f t="shared" si="89"/>
        <v>34091.380538790043</v>
      </c>
      <c r="O88" s="2">
        <f t="shared" si="89"/>
        <v>37394.732549396314</v>
      </c>
      <c r="P88" s="2">
        <f t="shared" si="63"/>
        <v>28819.816500351419</v>
      </c>
      <c r="R88">
        <f t="shared" si="64"/>
        <v>76</v>
      </c>
      <c r="S88" s="2">
        <f t="shared" si="91"/>
        <v>38000</v>
      </c>
      <c r="T88" s="2">
        <f t="shared" si="91"/>
        <v>76000</v>
      </c>
      <c r="U88" s="2">
        <f t="shared" si="91"/>
        <v>114000</v>
      </c>
      <c r="V88" s="2">
        <f t="shared" si="91"/>
        <v>152000</v>
      </c>
      <c r="W88" s="2">
        <f t="shared" si="91"/>
        <v>190000</v>
      </c>
      <c r="X88" s="2">
        <f t="shared" si="91"/>
        <v>228000</v>
      </c>
      <c r="Y88" s="2">
        <f t="shared" si="91"/>
        <v>266000</v>
      </c>
      <c r="Z88" s="2">
        <f t="shared" si="91"/>
        <v>304000</v>
      </c>
      <c r="AA88" s="2">
        <f t="shared" si="90"/>
        <v>342000</v>
      </c>
      <c r="AB88" s="2">
        <f t="shared" si="90"/>
        <v>380000</v>
      </c>
      <c r="AC88" s="2">
        <f t="shared" si="90"/>
        <v>418000</v>
      </c>
      <c r="AD88" s="2">
        <f t="shared" si="90"/>
        <v>456000</v>
      </c>
      <c r="AE88" s="2">
        <f t="shared" si="90"/>
        <v>342000</v>
      </c>
      <c r="AG88">
        <f t="shared" si="66"/>
        <v>76</v>
      </c>
      <c r="AH88" s="6">
        <f t="shared" si="67"/>
        <v>1.5987674185123726E-2</v>
      </c>
      <c r="AI88" s="6">
        <f t="shared" si="68"/>
        <v>4.0785321103482444E-2</v>
      </c>
      <c r="AJ88" s="6">
        <f t="shared" si="69"/>
        <v>5.7220958505251017E-2</v>
      </c>
      <c r="AK88" s="6">
        <f t="shared" si="70"/>
        <v>6.6616769656545949E-2</v>
      </c>
      <c r="AL88" s="6">
        <f t="shared" si="71"/>
        <v>7.2096242130703717E-2</v>
      </c>
      <c r="AM88" s="6">
        <f t="shared" si="72"/>
        <v>7.5468238116825181E-2</v>
      </c>
      <c r="AN88" s="6">
        <f t="shared" si="73"/>
        <v>7.765830264055934E-2</v>
      </c>
      <c r="AO88" s="6">
        <f t="shared" si="74"/>
        <v>7.9149066759413467E-2</v>
      </c>
      <c r="AP88" s="6">
        <f t="shared" si="75"/>
        <v>8.0204642173273735E-2</v>
      </c>
      <c r="AQ88" s="6">
        <f t="shared" si="76"/>
        <v>8.0977127947993985E-2</v>
      </c>
      <c r="AR88" s="6">
        <f t="shared" si="77"/>
        <v>8.1558326647823073E-2</v>
      </c>
      <c r="AS88" s="6">
        <f t="shared" si="78"/>
        <v>8.2005992432886657E-2</v>
      </c>
      <c r="AT88" s="6">
        <f t="shared" si="79"/>
        <v>8.426846929927316E-2</v>
      </c>
      <c r="AW88" s="3">
        <f t="shared" si="88"/>
        <v>1520</v>
      </c>
      <c r="AX88" s="3">
        <f t="shared" si="85"/>
        <v>112</v>
      </c>
      <c r="AY88" s="3">
        <f t="shared" si="86"/>
        <v>170240</v>
      </c>
      <c r="AZ88" s="13">
        <f t="shared" si="87"/>
        <v>6.2245511695258014E-2</v>
      </c>
      <c r="BA88" s="3">
        <f t="shared" si="36"/>
        <v>10596.675911000724</v>
      </c>
      <c r="BB88" s="3">
        <f t="shared" si="37"/>
        <v>10580.816111675622</v>
      </c>
      <c r="BC88" s="3">
        <f t="shared" si="83"/>
        <v>10559.871565188405</v>
      </c>
      <c r="BD88" s="3">
        <f t="shared" si="84"/>
        <v>21185.422222222223</v>
      </c>
    </row>
    <row r="89" spans="3:56" x14ac:dyDescent="0.45">
      <c r="C89">
        <f t="shared" si="62"/>
        <v>77</v>
      </c>
      <c r="D89" s="2">
        <f t="shared" si="89"/>
        <v>610.51439127446326</v>
      </c>
      <c r="E89" s="2">
        <f t="shared" si="89"/>
        <v>3138.8051509734437</v>
      </c>
      <c r="F89" s="2">
        <f t="shared" si="89"/>
        <v>6639.2847522801803</v>
      </c>
      <c r="G89" s="2">
        <f t="shared" si="89"/>
        <v>10336.166540501239</v>
      </c>
      <c r="H89" s="2">
        <f t="shared" si="89"/>
        <v>14006.88396942371</v>
      </c>
      <c r="I89" s="2">
        <f t="shared" si="89"/>
        <v>17612.953978830283</v>
      </c>
      <c r="J89" s="2">
        <f t="shared" si="89"/>
        <v>21159.251122770944</v>
      </c>
      <c r="K89" s="2">
        <f t="shared" si="89"/>
        <v>24657.716172065037</v>
      </c>
      <c r="L89" s="2">
        <f t="shared" si="89"/>
        <v>28119.180959857647</v>
      </c>
      <c r="M89" s="2">
        <f t="shared" si="89"/>
        <v>31552.089910481813</v>
      </c>
      <c r="N89" s="2">
        <f t="shared" si="89"/>
        <v>34962.771511124483</v>
      </c>
      <c r="O89" s="2">
        <f t="shared" si="89"/>
        <v>38355.939973948443</v>
      </c>
      <c r="P89" s="2">
        <f t="shared" si="63"/>
        <v>29582.922689215531</v>
      </c>
      <c r="R89">
        <f t="shared" si="64"/>
        <v>77</v>
      </c>
      <c r="S89" s="2">
        <f t="shared" si="91"/>
        <v>38500</v>
      </c>
      <c r="T89" s="2">
        <f t="shared" si="91"/>
        <v>77000</v>
      </c>
      <c r="U89" s="2">
        <f t="shared" si="91"/>
        <v>115500</v>
      </c>
      <c r="V89" s="2">
        <f t="shared" si="91"/>
        <v>154000</v>
      </c>
      <c r="W89" s="2">
        <f t="shared" si="91"/>
        <v>192500</v>
      </c>
      <c r="X89" s="2">
        <f t="shared" si="91"/>
        <v>231000</v>
      </c>
      <c r="Y89" s="2">
        <f t="shared" si="91"/>
        <v>269500</v>
      </c>
      <c r="Z89" s="2">
        <f t="shared" si="91"/>
        <v>308000</v>
      </c>
      <c r="AA89" s="2">
        <f t="shared" si="90"/>
        <v>346500</v>
      </c>
      <c r="AB89" s="2">
        <f t="shared" si="90"/>
        <v>385000</v>
      </c>
      <c r="AC89" s="2">
        <f t="shared" si="90"/>
        <v>423500</v>
      </c>
      <c r="AD89" s="2">
        <f t="shared" si="90"/>
        <v>462000</v>
      </c>
      <c r="AE89" s="2">
        <f t="shared" si="90"/>
        <v>346500</v>
      </c>
      <c r="AG89">
        <f t="shared" si="66"/>
        <v>77</v>
      </c>
      <c r="AH89" s="6">
        <f t="shared" si="67"/>
        <v>1.5857516656479564E-2</v>
      </c>
      <c r="AI89" s="6">
        <f t="shared" si="68"/>
        <v>4.0763703259395372E-2</v>
      </c>
      <c r="AJ89" s="6">
        <f t="shared" si="69"/>
        <v>5.7482984868226672E-2</v>
      </c>
      <c r="AK89" s="6">
        <f t="shared" si="70"/>
        <v>6.7117964548709344E-2</v>
      </c>
      <c r="AL89" s="6">
        <f t="shared" si="71"/>
        <v>7.2763033607395902E-2</v>
      </c>
      <c r="AM89" s="6">
        <f t="shared" si="72"/>
        <v>7.6246554020910309E-2</v>
      </c>
      <c r="AN89" s="6">
        <f t="shared" si="73"/>
        <v>7.8512991179112965E-2</v>
      </c>
      <c r="AO89" s="6">
        <f t="shared" si="74"/>
        <v>8.00575200391722E-2</v>
      </c>
      <c r="AP89" s="6">
        <f t="shared" si="75"/>
        <v>8.1152037402186572E-2</v>
      </c>
      <c r="AQ89" s="6">
        <f t="shared" si="76"/>
        <v>8.1953480286965752E-2</v>
      </c>
      <c r="AR89" s="6">
        <f t="shared" si="77"/>
        <v>8.2556721395807511E-2</v>
      </c>
      <c r="AS89" s="6">
        <f t="shared" si="78"/>
        <v>8.3021515095126494E-2</v>
      </c>
      <c r="AT89" s="6">
        <f t="shared" si="79"/>
        <v>8.5376400257476281E-2</v>
      </c>
      <c r="AW89" s="3">
        <f t="shared" si="88"/>
        <v>1540</v>
      </c>
      <c r="AX89" s="3">
        <f t="shared" si="85"/>
        <v>113</v>
      </c>
      <c r="AY89" s="3">
        <f t="shared" si="86"/>
        <v>174020</v>
      </c>
      <c r="AZ89" s="13">
        <f t="shared" si="87"/>
        <v>6.280127001954891E-2</v>
      </c>
      <c r="BA89" s="3">
        <f t="shared" si="36"/>
        <v>10928.677008801902</v>
      </c>
      <c r="BB89" s="3">
        <f t="shared" si="37"/>
        <v>10935.168947195245</v>
      </c>
      <c r="BC89" s="3">
        <f t="shared" si="83"/>
        <v>10936.419362486629</v>
      </c>
      <c r="BD89" s="3">
        <f t="shared" si="84"/>
        <v>21849.177777777775</v>
      </c>
    </row>
    <row r="90" spans="3:56" x14ac:dyDescent="0.45">
      <c r="C90">
        <f t="shared" si="62"/>
        <v>78</v>
      </c>
      <c r="D90" s="2">
        <f t="shared" si="89"/>
        <v>613.41094088430089</v>
      </c>
      <c r="E90" s="2">
        <f t="shared" si="89"/>
        <v>3177.3739610874736</v>
      </c>
      <c r="F90" s="2">
        <f t="shared" si="89"/>
        <v>6754.910129788077</v>
      </c>
      <c r="G90" s="2">
        <f t="shared" si="89"/>
        <v>10546.961595723218</v>
      </c>
      <c r="H90" s="2">
        <f t="shared" si="89"/>
        <v>14317.097003732979</v>
      </c>
      <c r="I90" s="2">
        <f t="shared" si="89"/>
        <v>18022.140065418509</v>
      </c>
      <c r="J90" s="2">
        <f t="shared" si="89"/>
        <v>21665.787069727012</v>
      </c>
      <c r="K90" s="2">
        <f t="shared" si="89"/>
        <v>25259.898506627942</v>
      </c>
      <c r="L90" s="2">
        <f t="shared" si="89"/>
        <v>28815.51904935819</v>
      </c>
      <c r="M90" s="2">
        <f t="shared" si="89"/>
        <v>32341.349404518445</v>
      </c>
      <c r="N90" s="2">
        <f t="shared" si="89"/>
        <v>35843.947276119274</v>
      </c>
      <c r="O90" s="2">
        <f t="shared" si="89"/>
        <v>39328.215084130745</v>
      </c>
      <c r="P90" s="2">
        <f t="shared" si="63"/>
        <v>30355.996343656941</v>
      </c>
      <c r="R90">
        <f t="shared" si="64"/>
        <v>78</v>
      </c>
      <c r="S90" s="2">
        <f t="shared" si="91"/>
        <v>39000</v>
      </c>
      <c r="T90" s="2">
        <f t="shared" si="91"/>
        <v>78000</v>
      </c>
      <c r="U90" s="2">
        <f t="shared" si="91"/>
        <v>117000</v>
      </c>
      <c r="V90" s="2">
        <f t="shared" si="91"/>
        <v>156000</v>
      </c>
      <c r="W90" s="2">
        <f t="shared" si="91"/>
        <v>195000</v>
      </c>
      <c r="X90" s="2">
        <f t="shared" si="91"/>
        <v>234000</v>
      </c>
      <c r="Y90" s="2">
        <f t="shared" si="91"/>
        <v>273000</v>
      </c>
      <c r="Z90" s="2">
        <f t="shared" si="91"/>
        <v>312000</v>
      </c>
      <c r="AA90" s="2">
        <f t="shared" si="90"/>
        <v>351000</v>
      </c>
      <c r="AB90" s="2">
        <f t="shared" si="90"/>
        <v>390000</v>
      </c>
      <c r="AC90" s="2">
        <f t="shared" si="90"/>
        <v>429000</v>
      </c>
      <c r="AD90" s="2">
        <f t="shared" si="90"/>
        <v>468000</v>
      </c>
      <c r="AE90" s="2">
        <f t="shared" si="90"/>
        <v>351000</v>
      </c>
      <c r="AG90">
        <f t="shared" si="66"/>
        <v>78</v>
      </c>
      <c r="AH90" s="6">
        <f t="shared" si="67"/>
        <v>1.5728485663700022E-2</v>
      </c>
      <c r="AI90" s="6">
        <f t="shared" si="68"/>
        <v>4.0735563603685562E-2</v>
      </c>
      <c r="AJ90" s="6">
        <f t="shared" si="69"/>
        <v>5.7734274613573305E-2</v>
      </c>
      <c r="AK90" s="6">
        <f t="shared" si="70"/>
        <v>6.7608728177712935E-2</v>
      </c>
      <c r="AL90" s="6">
        <f t="shared" si="71"/>
        <v>7.3421010275553741E-2</v>
      </c>
      <c r="AM90" s="6">
        <f t="shared" si="72"/>
        <v>7.7017692587258588E-2</v>
      </c>
      <c r="AN90" s="6">
        <f t="shared" si="73"/>
        <v>7.9361857398267441E-2</v>
      </c>
      <c r="AO90" s="6">
        <f t="shared" si="74"/>
        <v>8.096121316226905E-2</v>
      </c>
      <c r="AP90" s="6">
        <f t="shared" si="75"/>
        <v>8.2095495867117355E-2</v>
      </c>
      <c r="AQ90" s="6">
        <f t="shared" si="76"/>
        <v>8.2926536934662676E-2</v>
      </c>
      <c r="AR90" s="6">
        <f t="shared" si="77"/>
        <v>8.3552324652958684E-2</v>
      </c>
      <c r="AS90" s="6">
        <f t="shared" si="78"/>
        <v>8.4034647615663982E-2</v>
      </c>
      <c r="AT90" s="6">
        <f t="shared" si="79"/>
        <v>8.6484320067398687E-2</v>
      </c>
      <c r="AW90" s="3">
        <f t="shared" si="88"/>
        <v>1560</v>
      </c>
      <c r="AX90" s="3">
        <f t="shared" si="85"/>
        <v>115</v>
      </c>
      <c r="AY90" s="3">
        <f t="shared" si="86"/>
        <v>179400</v>
      </c>
      <c r="AZ90" s="13">
        <f t="shared" si="87"/>
        <v>6.3912786668130689E-2</v>
      </c>
      <c r="BA90" s="3">
        <f t="shared" si="36"/>
        <v>11465.953928262645</v>
      </c>
      <c r="BB90" s="3">
        <f t="shared" si="37"/>
        <v>11446.175719022913</v>
      </c>
      <c r="BC90" s="3">
        <f t="shared" si="83"/>
        <v>11420.886426319365</v>
      </c>
      <c r="BD90" s="3">
        <f t="shared" si="84"/>
        <v>22923.333333333332</v>
      </c>
    </row>
    <row r="91" spans="3:56" x14ac:dyDescent="0.45">
      <c r="C91">
        <f t="shared" si="62"/>
        <v>79</v>
      </c>
      <c r="D91" s="2">
        <f t="shared" si="89"/>
        <v>616.22426053521349</v>
      </c>
      <c r="E91" s="2">
        <f t="shared" si="89"/>
        <v>3215.3930030019606</v>
      </c>
      <c r="F91" s="2">
        <f t="shared" si="89"/>
        <v>6870.0395526589318</v>
      </c>
      <c r="G91" s="2">
        <f t="shared" si="89"/>
        <v>10758.082388865841</v>
      </c>
      <c r="H91" s="2">
        <f t="shared" si="89"/>
        <v>14628.859743045585</v>
      </c>
      <c r="I91" s="2">
        <f t="shared" si="89"/>
        <v>18434.246378402095</v>
      </c>
      <c r="J91" s="2">
        <f t="shared" si="89"/>
        <v>22176.646089706439</v>
      </c>
      <c r="K91" s="2">
        <f t="shared" si="89"/>
        <v>25867.795223849342</v>
      </c>
      <c r="L91" s="2">
        <f t="shared" si="89"/>
        <v>29518.93695714002</v>
      </c>
      <c r="M91" s="2">
        <f t="shared" si="89"/>
        <v>33139.02561613849</v>
      </c>
      <c r="N91" s="2">
        <f t="shared" si="89"/>
        <v>36734.849786157385</v>
      </c>
      <c r="O91" s="2">
        <f t="shared" si="89"/>
        <v>40311.503113470324</v>
      </c>
      <c r="P91" s="2">
        <f t="shared" si="63"/>
        <v>31139.037364026342</v>
      </c>
      <c r="R91">
        <f t="shared" si="64"/>
        <v>79</v>
      </c>
      <c r="S91" s="2">
        <f t="shared" si="91"/>
        <v>39500</v>
      </c>
      <c r="T91" s="2">
        <f t="shared" si="91"/>
        <v>79000</v>
      </c>
      <c r="U91" s="2">
        <f t="shared" si="91"/>
        <v>118500</v>
      </c>
      <c r="V91" s="2">
        <f t="shared" si="91"/>
        <v>158000</v>
      </c>
      <c r="W91" s="2">
        <f t="shared" si="91"/>
        <v>197500</v>
      </c>
      <c r="X91" s="2">
        <f t="shared" si="91"/>
        <v>237000</v>
      </c>
      <c r="Y91" s="2">
        <f t="shared" si="91"/>
        <v>276500</v>
      </c>
      <c r="Z91" s="2">
        <f t="shared" si="91"/>
        <v>316000</v>
      </c>
      <c r="AA91" s="2">
        <f t="shared" si="90"/>
        <v>355500</v>
      </c>
      <c r="AB91" s="2">
        <f t="shared" si="90"/>
        <v>395000</v>
      </c>
      <c r="AC91" s="2">
        <f t="shared" si="90"/>
        <v>434500</v>
      </c>
      <c r="AD91" s="2">
        <f t="shared" si="90"/>
        <v>474000</v>
      </c>
      <c r="AE91" s="2">
        <f t="shared" si="90"/>
        <v>355500</v>
      </c>
      <c r="AG91">
        <f t="shared" si="66"/>
        <v>79</v>
      </c>
      <c r="AH91" s="6">
        <f t="shared" si="67"/>
        <v>1.5600614190764899E-2</v>
      </c>
      <c r="AI91" s="6">
        <f t="shared" si="68"/>
        <v>4.0701177253189377E-2</v>
      </c>
      <c r="AJ91" s="6">
        <f t="shared" si="69"/>
        <v>5.7975017322016299E-2</v>
      </c>
      <c r="AK91" s="6">
        <f t="shared" si="70"/>
        <v>6.8089129043454696E-2</v>
      </c>
      <c r="AL91" s="6">
        <f t="shared" si="71"/>
        <v>7.4070175914154865E-2</v>
      </c>
      <c r="AM91" s="6">
        <f t="shared" si="72"/>
        <v>7.7781630288616427E-2</v>
      </c>
      <c r="AN91" s="6">
        <f t="shared" si="73"/>
        <v>8.0204868317202305E-2</v>
      </c>
      <c r="AO91" s="6">
        <f t="shared" si="74"/>
        <v>8.1860111467877666E-2</v>
      </c>
      <c r="AP91" s="6">
        <f t="shared" si="75"/>
        <v>8.3034984408270104E-2</v>
      </c>
      <c r="AQ91" s="6">
        <f t="shared" si="76"/>
        <v>8.3896267382629092E-2</v>
      </c>
      <c r="AR91" s="6">
        <f t="shared" si="77"/>
        <v>8.4545108828900775E-2</v>
      </c>
      <c r="AS91" s="6">
        <f t="shared" si="78"/>
        <v>8.5045365218291827E-2</v>
      </c>
      <c r="AT91" s="6">
        <f t="shared" si="79"/>
        <v>8.7592228872085356E-2</v>
      </c>
      <c r="AW91" s="3">
        <f t="shared" si="88"/>
        <v>1580</v>
      </c>
      <c r="AX91" s="3">
        <f t="shared" si="85"/>
        <v>116</v>
      </c>
      <c r="AY91" s="3">
        <f t="shared" si="86"/>
        <v>183280</v>
      </c>
      <c r="AZ91" s="13">
        <f t="shared" si="87"/>
        <v>6.4468544992421578E-2</v>
      </c>
      <c r="BA91" s="3">
        <f t="shared" si="36"/>
        <v>11815.794926211027</v>
      </c>
      <c r="BB91" s="3">
        <f t="shared" si="37"/>
        <v>11819.507076972517</v>
      </c>
      <c r="BC91" s="3">
        <f t="shared" si="83"/>
        <v>11817.554894775411</v>
      </c>
      <c r="BD91" s="3">
        <f t="shared" si="84"/>
        <v>23622.755555555555</v>
      </c>
    </row>
    <row r="92" spans="3:56" x14ac:dyDescent="0.45">
      <c r="C92">
        <f t="shared" si="62"/>
        <v>80</v>
      </c>
      <c r="D92" s="2">
        <f t="shared" si="89"/>
        <v>618.95723079693255</v>
      </c>
      <c r="E92" s="2">
        <f t="shared" si="89"/>
        <v>3252.8648900677163</v>
      </c>
      <c r="F92" s="2">
        <f t="shared" si="89"/>
        <v>6984.6483624141902</v>
      </c>
      <c r="G92" s="2">
        <f t="shared" si="89"/>
        <v>10969.478169951422</v>
      </c>
      <c r="H92" s="2">
        <f t="shared" si="89"/>
        <v>14942.107375712387</v>
      </c>
      <c r="I92" s="2">
        <f t="shared" si="89"/>
        <v>18849.202904884496</v>
      </c>
      <c r="J92" s="2">
        <f t="shared" si="89"/>
        <v>22691.75781827842</v>
      </c>
      <c r="K92" s="2">
        <f t="shared" si="89"/>
        <v>26481.337967639414</v>
      </c>
      <c r="L92" s="2">
        <f t="shared" si="89"/>
        <v>30229.369364380847</v>
      </c>
      <c r="M92" s="2">
        <f t="shared" si="89"/>
        <v>33945.056615853289</v>
      </c>
      <c r="N92" s="2">
        <f t="shared" si="89"/>
        <v>37635.420519044535</v>
      </c>
      <c r="O92" s="2">
        <f t="shared" si="89"/>
        <v>41305.748807174881</v>
      </c>
      <c r="P92" s="2">
        <f t="shared" si="63"/>
        <v>31932.045651944678</v>
      </c>
      <c r="R92">
        <f t="shared" si="64"/>
        <v>80</v>
      </c>
      <c r="S92" s="2">
        <f t="shared" si="91"/>
        <v>40000</v>
      </c>
      <c r="T92" s="2">
        <f t="shared" si="91"/>
        <v>80000</v>
      </c>
      <c r="U92" s="2">
        <f t="shared" si="91"/>
        <v>120000</v>
      </c>
      <c r="V92" s="2">
        <f t="shared" si="91"/>
        <v>160000</v>
      </c>
      <c r="W92" s="2">
        <f t="shared" si="91"/>
        <v>200000</v>
      </c>
      <c r="X92" s="2">
        <f t="shared" si="91"/>
        <v>240000</v>
      </c>
      <c r="Y92" s="2">
        <f t="shared" si="91"/>
        <v>280000</v>
      </c>
      <c r="Z92" s="2">
        <f t="shared" si="91"/>
        <v>320000</v>
      </c>
      <c r="AA92" s="2">
        <f t="shared" si="90"/>
        <v>360000</v>
      </c>
      <c r="AB92" s="2">
        <f t="shared" si="90"/>
        <v>400000</v>
      </c>
      <c r="AC92" s="2">
        <f t="shared" si="90"/>
        <v>440000</v>
      </c>
      <c r="AD92" s="2">
        <f t="shared" si="90"/>
        <v>480000</v>
      </c>
      <c r="AE92" s="2">
        <f t="shared" si="90"/>
        <v>360000</v>
      </c>
      <c r="AG92">
        <f t="shared" si="66"/>
        <v>80</v>
      </c>
      <c r="AH92" s="6">
        <f t="shared" si="67"/>
        <v>1.5473930769923313E-2</v>
      </c>
      <c r="AI92" s="6">
        <f t="shared" si="68"/>
        <v>4.0660811125846456E-2</v>
      </c>
      <c r="AJ92" s="6">
        <f t="shared" si="69"/>
        <v>5.820540302011825E-2</v>
      </c>
      <c r="AK92" s="6">
        <f t="shared" si="70"/>
        <v>6.8559238562196395E-2</v>
      </c>
      <c r="AL92" s="6">
        <f t="shared" si="71"/>
        <v>7.4710536878561939E-2</v>
      </c>
      <c r="AM92" s="6">
        <f t="shared" si="72"/>
        <v>7.8538345437018736E-2</v>
      </c>
      <c r="AN92" s="6">
        <f t="shared" si="73"/>
        <v>8.1041992208137209E-2</v>
      </c>
      <c r="AO92" s="6">
        <f t="shared" si="74"/>
        <v>8.2754181148873174E-2</v>
      </c>
      <c r="AP92" s="6">
        <f t="shared" si="75"/>
        <v>8.3970470456613461E-2</v>
      </c>
      <c r="AQ92" s="6">
        <f t="shared" si="76"/>
        <v>8.486264153963323E-2</v>
      </c>
      <c r="AR92" s="6">
        <f t="shared" si="77"/>
        <v>8.5535046634192133E-2</v>
      </c>
      <c r="AS92" s="6">
        <f t="shared" si="78"/>
        <v>8.6053643348281E-2</v>
      </c>
      <c r="AT92" s="6">
        <f t="shared" si="79"/>
        <v>8.8700126810957444E-2</v>
      </c>
      <c r="AW92" s="3">
        <f t="shared" si="88"/>
        <v>1600</v>
      </c>
      <c r="AX92" s="3">
        <f t="shared" si="85"/>
        <v>117</v>
      </c>
      <c r="AY92" s="3">
        <f t="shared" si="86"/>
        <v>187200</v>
      </c>
      <c r="AZ92" s="13">
        <f t="shared" si="87"/>
        <v>6.5024303316712467E-2</v>
      </c>
      <c r="BA92" s="3">
        <f t="shared" si="36"/>
        <v>12172.549580888573</v>
      </c>
      <c r="BB92" s="3">
        <f t="shared" si="37"/>
        <v>12200.72159962078</v>
      </c>
      <c r="BC92" s="3">
        <f t="shared" si="83"/>
        <v>12222.974878546122</v>
      </c>
      <c r="BD92" s="3">
        <f t="shared" si="84"/>
        <v>24336</v>
      </c>
    </row>
    <row r="93" spans="3:56" x14ac:dyDescent="0.45">
      <c r="C93">
        <f t="shared" si="62"/>
        <v>81</v>
      </c>
      <c r="D93" s="2">
        <f t="shared" ref="D93:O102" si="92">$C$7*BL_MBPS*BL_KM^2*D$12^3*$C93^2/((EM_KM*D$12)^2+(2*PI()*AVG_SUN_DIST_KM*$C93)^2)</f>
        <v>621.61262397967721</v>
      </c>
      <c r="E93" s="2">
        <f t="shared" si="92"/>
        <v>3289.7926466334252</v>
      </c>
      <c r="F93" s="2">
        <f t="shared" si="92"/>
        <v>7098.7130679389056</v>
      </c>
      <c r="G93" s="2">
        <f t="shared" si="92"/>
        <v>11181.099211384138</v>
      </c>
      <c r="H93" s="2">
        <f t="shared" si="92"/>
        <v>15256.775664550574</v>
      </c>
      <c r="I93" s="2">
        <f t="shared" si="92"/>
        <v>19266.939814207963</v>
      </c>
      <c r="J93" s="2">
        <f t="shared" si="92"/>
        <v>23211.051800698082</v>
      </c>
      <c r="K93" s="2">
        <f t="shared" si="92"/>
        <v>27100.458117614529</v>
      </c>
      <c r="L93" s="2">
        <f t="shared" si="92"/>
        <v>30946.750581940014</v>
      </c>
      <c r="M93" s="2">
        <f t="shared" si="92"/>
        <v>34759.380042110512</v>
      </c>
      <c r="N93" s="2">
        <f t="shared" si="92"/>
        <v>38545.600487097166</v>
      </c>
      <c r="O93" s="2">
        <f t="shared" si="92"/>
        <v>42310.896429544824</v>
      </c>
      <c r="P93" s="2">
        <f t="shared" si="63"/>
        <v>32735.021110271715</v>
      </c>
      <c r="R93">
        <f t="shared" si="64"/>
        <v>81</v>
      </c>
      <c r="S93" s="2">
        <f t="shared" si="91"/>
        <v>40500</v>
      </c>
      <c r="T93" s="2">
        <f t="shared" si="91"/>
        <v>81000</v>
      </c>
      <c r="U93" s="2">
        <f t="shared" si="91"/>
        <v>121500</v>
      </c>
      <c r="V93" s="2">
        <f t="shared" si="91"/>
        <v>162000</v>
      </c>
      <c r="W93" s="2">
        <f t="shared" si="91"/>
        <v>202500</v>
      </c>
      <c r="X93" s="2">
        <f t="shared" si="91"/>
        <v>243000</v>
      </c>
      <c r="Y93" s="2">
        <f t="shared" si="91"/>
        <v>283500</v>
      </c>
      <c r="Z93" s="2">
        <f t="shared" si="91"/>
        <v>324000</v>
      </c>
      <c r="AA93" s="2">
        <f t="shared" si="90"/>
        <v>364500</v>
      </c>
      <c r="AB93" s="2">
        <f t="shared" si="90"/>
        <v>405000</v>
      </c>
      <c r="AC93" s="2">
        <f t="shared" si="90"/>
        <v>445500</v>
      </c>
      <c r="AD93" s="2">
        <f t="shared" si="90"/>
        <v>486000</v>
      </c>
      <c r="AE93" s="2">
        <f t="shared" si="90"/>
        <v>364500</v>
      </c>
      <c r="AG93">
        <f t="shared" si="66"/>
        <v>81</v>
      </c>
      <c r="AH93" s="6">
        <f t="shared" si="67"/>
        <v>1.5348459851350055E-2</v>
      </c>
      <c r="AI93" s="6">
        <f t="shared" si="68"/>
        <v>4.0614724032511422E-2</v>
      </c>
      <c r="AJ93" s="6">
        <f t="shared" si="69"/>
        <v>5.84256219583449E-2</v>
      </c>
      <c r="AK93" s="6">
        <f t="shared" si="70"/>
        <v>6.9019130934469985E-2</v>
      </c>
      <c r="AL93" s="6">
        <f t="shared" si="71"/>
        <v>7.5342102047163323E-2</v>
      </c>
      <c r="AM93" s="6">
        <f t="shared" si="72"/>
        <v>7.928781816546486E-2</v>
      </c>
      <c r="AN93" s="6">
        <f t="shared" si="73"/>
        <v>8.1873198591527627E-2</v>
      </c>
      <c r="AO93" s="6">
        <f t="shared" si="74"/>
        <v>8.3643389251896696E-2</v>
      </c>
      <c r="AP93" s="6">
        <f t="shared" si="75"/>
        <v>8.4901922035500718E-2</v>
      </c>
      <c r="AQ93" s="6">
        <f t="shared" si="76"/>
        <v>8.5825629733606204E-2</v>
      </c>
      <c r="AR93" s="6">
        <f t="shared" si="77"/>
        <v>8.6522111082148523E-2</v>
      </c>
      <c r="AS93" s="6">
        <f t="shared" si="78"/>
        <v>8.7059457673960547E-2</v>
      </c>
      <c r="AT93" s="6">
        <f t="shared" si="79"/>
        <v>8.9808014019949839E-2</v>
      </c>
      <c r="AW93" s="3">
        <f t="shared" si="88"/>
        <v>1620</v>
      </c>
      <c r="AX93" s="3">
        <f t="shared" si="85"/>
        <v>119</v>
      </c>
      <c r="AY93" s="3">
        <f t="shared" si="86"/>
        <v>192780</v>
      </c>
      <c r="AZ93" s="13">
        <f t="shared" si="87"/>
        <v>6.6135819965294246E-2</v>
      </c>
      <c r="BA93" s="3">
        <f t="shared" si="36"/>
        <v>12749.663372909425</v>
      </c>
      <c r="BB93" s="3">
        <f t="shared" si="37"/>
        <v>12750.279780960984</v>
      </c>
      <c r="BC93" s="3">
        <f t="shared" si="83"/>
        <v>12744.785047018531</v>
      </c>
      <c r="BD93" s="3">
        <f t="shared" si="84"/>
        <v>25489.8</v>
      </c>
    </row>
    <row r="94" spans="3:56" x14ac:dyDescent="0.45">
      <c r="C94">
        <f t="shared" si="62"/>
        <v>82</v>
      </c>
      <c r="D94" s="2">
        <f t="shared" si="92"/>
        <v>624.19310792708086</v>
      </c>
      <c r="E94" s="2">
        <f t="shared" si="92"/>
        <v>3326.1796760954317</v>
      </c>
      <c r="F94" s="2">
        <f t="shared" si="92"/>
        <v>7212.2113211911092</v>
      </c>
      <c r="G94" s="2">
        <f t="shared" si="92"/>
        <v>11392.896814370948</v>
      </c>
      <c r="H94" s="2">
        <f t="shared" si="92"/>
        <v>15572.800967315568</v>
      </c>
      <c r="I94" s="2">
        <f t="shared" si="92"/>
        <v>19687.387480594462</v>
      </c>
      <c r="J94" s="2">
        <f t="shared" si="92"/>
        <v>23734.457512242141</v>
      </c>
      <c r="K94" s="2">
        <f t="shared" si="92"/>
        <v>27725.086806103158</v>
      </c>
      <c r="L94" s="2">
        <f t="shared" si="92"/>
        <v>31671.014564223467</v>
      </c>
      <c r="M94" s="2">
        <f t="shared" si="92"/>
        <v>35581.933112526647</v>
      </c>
      <c r="N94" s="2">
        <f t="shared" si="92"/>
        <v>39465.330246261852</v>
      </c>
      <c r="O94" s="2">
        <f t="shared" si="92"/>
        <v>43326.889771422204</v>
      </c>
      <c r="P94" s="2">
        <f t="shared" si="63"/>
        <v>33547.96364307461</v>
      </c>
      <c r="R94">
        <f t="shared" si="64"/>
        <v>82</v>
      </c>
      <c r="S94" s="2">
        <f t="shared" si="91"/>
        <v>41000</v>
      </c>
      <c r="T94" s="2">
        <f t="shared" si="91"/>
        <v>82000</v>
      </c>
      <c r="U94" s="2">
        <f t="shared" si="91"/>
        <v>123000</v>
      </c>
      <c r="V94" s="2">
        <f t="shared" si="91"/>
        <v>164000</v>
      </c>
      <c r="W94" s="2">
        <f t="shared" si="91"/>
        <v>205000</v>
      </c>
      <c r="X94" s="2">
        <f t="shared" si="91"/>
        <v>246000</v>
      </c>
      <c r="Y94" s="2">
        <f t="shared" si="91"/>
        <v>287000</v>
      </c>
      <c r="Z94" s="2">
        <f t="shared" si="91"/>
        <v>328000</v>
      </c>
      <c r="AA94" s="2">
        <f t="shared" si="90"/>
        <v>369000</v>
      </c>
      <c r="AB94" s="2">
        <f t="shared" si="90"/>
        <v>410000</v>
      </c>
      <c r="AC94" s="2">
        <f t="shared" si="90"/>
        <v>451000</v>
      </c>
      <c r="AD94" s="2">
        <f t="shared" si="90"/>
        <v>492000</v>
      </c>
      <c r="AE94" s="2">
        <f t="shared" si="90"/>
        <v>369000</v>
      </c>
      <c r="AG94">
        <f t="shared" si="66"/>
        <v>82</v>
      </c>
      <c r="AH94" s="6">
        <f t="shared" si="67"/>
        <v>1.5224222144562947E-2</v>
      </c>
      <c r="AI94" s="6">
        <f t="shared" si="68"/>
        <v>4.0563166781651602E-2</v>
      </c>
      <c r="AJ94" s="6">
        <f t="shared" si="69"/>
        <v>5.8635864399927719E-2</v>
      </c>
      <c r="AK94" s="6">
        <f t="shared" si="70"/>
        <v>6.9468883014457E-2</v>
      </c>
      <c r="AL94" s="6">
        <f t="shared" si="71"/>
        <v>7.5964882767393022E-2</v>
      </c>
      <c r="AM94" s="6">
        <f t="shared" si="72"/>
        <v>8.003003040892058E-2</v>
      </c>
      <c r="AN94" s="6">
        <f t="shared" si="73"/>
        <v>8.2698458230808861E-2</v>
      </c>
      <c r="AO94" s="6">
        <f t="shared" si="74"/>
        <v>8.4527703677143767E-2</v>
      </c>
      <c r="AP94" s="6">
        <f t="shared" si="75"/>
        <v>8.5829307762123219E-2</v>
      </c>
      <c r="AQ94" s="6">
        <f t="shared" si="76"/>
        <v>8.6785202713479628E-2</v>
      </c>
      <c r="AR94" s="6">
        <f t="shared" si="77"/>
        <v>8.7506275490602775E-2</v>
      </c>
      <c r="AS94" s="6">
        <f t="shared" si="78"/>
        <v>8.8062784088256518E-2</v>
      </c>
      <c r="AT94" s="6">
        <f t="shared" si="79"/>
        <v>9.0915890631638505E-2</v>
      </c>
      <c r="AW94" s="3">
        <f t="shared" si="88"/>
        <v>1640</v>
      </c>
      <c r="AX94" s="3">
        <f t="shared" si="85"/>
        <v>120</v>
      </c>
      <c r="AY94" s="3">
        <f t="shared" si="86"/>
        <v>196800</v>
      </c>
      <c r="AZ94" s="13">
        <f t="shared" si="87"/>
        <v>6.6691578289585135E-2</v>
      </c>
      <c r="BA94" s="3">
        <f t="shared" si="36"/>
        <v>13124.902607390355</v>
      </c>
      <c r="BB94" s="3">
        <f t="shared" si="37"/>
        <v>13151.170004103813</v>
      </c>
      <c r="BC94" s="3">
        <f t="shared" si="83"/>
        <v>13171.073584930326</v>
      </c>
      <c r="BD94" s="3">
        <f t="shared" si="84"/>
        <v>26240</v>
      </c>
    </row>
    <row r="95" spans="3:56" x14ac:dyDescent="0.45">
      <c r="C95">
        <f t="shared" si="62"/>
        <v>83</v>
      </c>
      <c r="D95" s="2">
        <f t="shared" si="92"/>
        <v>626.70124974754776</v>
      </c>
      <c r="E95" s="2">
        <f t="shared" si="92"/>
        <v>3362.0297305186355</v>
      </c>
      <c r="F95" s="2">
        <f t="shared" si="92"/>
        <v>7325.1218923345605</v>
      </c>
      <c r="G95" s="2">
        <f t="shared" si="92"/>
        <v>11604.823314042011</v>
      </c>
      <c r="H95" s="2">
        <f t="shared" si="92"/>
        <v>15890.120256249549</v>
      </c>
      <c r="I95" s="2">
        <f t="shared" si="92"/>
        <v>20110.476505283834</v>
      </c>
      <c r="J95" s="2">
        <f t="shared" si="92"/>
        <v>24261.904378305815</v>
      </c>
      <c r="K95" s="2">
        <f t="shared" si="92"/>
        <v>28355.154935056322</v>
      </c>
      <c r="L95" s="2">
        <f t="shared" si="92"/>
        <v>32402.094923026238</v>
      </c>
      <c r="M95" s="2">
        <f t="shared" si="92"/>
        <v>36412.652635132341</v>
      </c>
      <c r="N95" s="2">
        <f t="shared" si="92"/>
        <v>40394.549905263731</v>
      </c>
      <c r="O95" s="2">
        <f t="shared" si="92"/>
        <v>44353.67215767473</v>
      </c>
      <c r="P95" s="2">
        <f t="shared" si="63"/>
        <v>34370.873155598907</v>
      </c>
      <c r="R95">
        <f t="shared" si="64"/>
        <v>83</v>
      </c>
      <c r="S95" s="2">
        <f t="shared" si="91"/>
        <v>41500</v>
      </c>
      <c r="T95" s="2">
        <f t="shared" si="91"/>
        <v>83000</v>
      </c>
      <c r="U95" s="2">
        <f t="shared" si="91"/>
        <v>124500</v>
      </c>
      <c r="V95" s="2">
        <f t="shared" si="91"/>
        <v>166000</v>
      </c>
      <c r="W95" s="2">
        <f t="shared" si="91"/>
        <v>207500</v>
      </c>
      <c r="X95" s="2">
        <f t="shared" si="91"/>
        <v>249000</v>
      </c>
      <c r="Y95" s="2">
        <f t="shared" si="91"/>
        <v>290500</v>
      </c>
      <c r="Z95" s="2">
        <f t="shared" si="91"/>
        <v>332000</v>
      </c>
      <c r="AA95" s="2">
        <f t="shared" ref="AA95:AE104" si="93">$R95*AA$12</f>
        <v>373500</v>
      </c>
      <c r="AB95" s="2">
        <f t="shared" si="93"/>
        <v>415000</v>
      </c>
      <c r="AC95" s="2">
        <f t="shared" si="93"/>
        <v>456500</v>
      </c>
      <c r="AD95" s="2">
        <f t="shared" si="93"/>
        <v>498000</v>
      </c>
      <c r="AE95" s="2">
        <f t="shared" si="93"/>
        <v>373500</v>
      </c>
      <c r="AG95">
        <f t="shared" si="66"/>
        <v>83</v>
      </c>
      <c r="AH95" s="6">
        <f t="shared" si="67"/>
        <v>1.510123493367585E-2</v>
      </c>
      <c r="AI95" s="6">
        <f t="shared" si="68"/>
        <v>4.0506382295405249E-2</v>
      </c>
      <c r="AJ95" s="6">
        <f t="shared" si="69"/>
        <v>5.8836320420357913E-2</v>
      </c>
      <c r="AK95" s="6">
        <f t="shared" si="70"/>
        <v>6.9908574180975971E-2</v>
      </c>
      <c r="AL95" s="6">
        <f t="shared" si="71"/>
        <v>7.6578892801202642E-2</v>
      </c>
      <c r="AM95" s="6">
        <f t="shared" si="72"/>
        <v>8.0764965884674036E-2</v>
      </c>
      <c r="AN95" s="6">
        <f t="shared" si="73"/>
        <v>8.3517743126698157E-2</v>
      </c>
      <c r="AO95" s="6">
        <f t="shared" si="74"/>
        <v>8.5407093177880491E-2</v>
      </c>
      <c r="AP95" s="6">
        <f t="shared" si="75"/>
        <v>8.6752596848798491E-2</v>
      </c>
      <c r="AQ95" s="6">
        <f t="shared" si="76"/>
        <v>8.7741331650921309E-2</v>
      </c>
      <c r="AR95" s="6">
        <f t="shared" si="77"/>
        <v>8.8487513483600733E-2</v>
      </c>
      <c r="AS95" s="6">
        <f t="shared" si="78"/>
        <v>8.906359871019022E-2</v>
      </c>
      <c r="AT95" s="6">
        <f t="shared" si="79"/>
        <v>9.2023756775365215E-2</v>
      </c>
      <c r="AW95" s="3">
        <f t="shared" si="88"/>
        <v>1660</v>
      </c>
      <c r="AX95" s="3">
        <f t="shared" si="85"/>
        <v>122</v>
      </c>
      <c r="AY95" s="3">
        <f t="shared" si="86"/>
        <v>202520</v>
      </c>
      <c r="AZ95" s="13">
        <f t="shared" si="87"/>
        <v>6.7803094938166913E-2</v>
      </c>
      <c r="BA95" s="3">
        <f t="shared" si="36"/>
        <v>13731.482786877563</v>
      </c>
      <c r="BB95" s="3">
        <f t="shared" si="37"/>
        <v>13728.675150604247</v>
      </c>
      <c r="BC95" s="3">
        <f t="shared" si="83"/>
        <v>13719.284863009932</v>
      </c>
      <c r="BD95" s="3">
        <f t="shared" si="84"/>
        <v>27452.711111111112</v>
      </c>
    </row>
    <row r="96" spans="3:56" x14ac:dyDescent="0.45">
      <c r="C96">
        <f t="shared" si="62"/>
        <v>84</v>
      </c>
      <c r="D96" s="2">
        <f t="shared" si="92"/>
        <v>629.13951947364899</v>
      </c>
      <c r="E96" s="2">
        <f t="shared" si="92"/>
        <v>3397.3468817887688</v>
      </c>
      <c r="F96" s="2">
        <f t="shared" si="92"/>
        <v>7437.4246443830989</v>
      </c>
      <c r="G96" s="2">
        <f t="shared" si="92"/>
        <v>11816.832083314273</v>
      </c>
      <c r="H96" s="2">
        <f t="shared" si="92"/>
        <v>16208.671136711979</v>
      </c>
      <c r="I96" s="2">
        <f t="shared" si="92"/>
        <v>20536.137738162626</v>
      </c>
      <c r="J96" s="2">
        <f t="shared" si="92"/>
        <v>24793.321794253217</v>
      </c>
      <c r="K96" s="2">
        <f t="shared" si="92"/>
        <v>28990.593192856013</v>
      </c>
      <c r="L96" s="2">
        <f t="shared" si="92"/>
        <v>33139.924941347541</v>
      </c>
      <c r="M96" s="2">
        <f t="shared" si="92"/>
        <v>37251.475019627331</v>
      </c>
      <c r="N96" s="2">
        <f t="shared" si="92"/>
        <v>41333.199134781513</v>
      </c>
      <c r="O96" s="2">
        <f t="shared" si="92"/>
        <v>45391.186454713075</v>
      </c>
      <c r="P96" s="2">
        <f t="shared" si="63"/>
        <v>35203.749554239315</v>
      </c>
      <c r="R96">
        <f t="shared" si="64"/>
        <v>84</v>
      </c>
      <c r="S96" s="2">
        <f t="shared" ref="S96:Z105" si="94">$R96*S$12</f>
        <v>42000</v>
      </c>
      <c r="T96" s="2">
        <f t="shared" si="94"/>
        <v>84000</v>
      </c>
      <c r="U96" s="2">
        <f t="shared" si="94"/>
        <v>126000</v>
      </c>
      <c r="V96" s="2">
        <f t="shared" si="94"/>
        <v>168000</v>
      </c>
      <c r="W96" s="2">
        <f t="shared" si="94"/>
        <v>210000</v>
      </c>
      <c r="X96" s="2">
        <f t="shared" si="94"/>
        <v>252000</v>
      </c>
      <c r="Y96" s="2">
        <f t="shared" si="94"/>
        <v>294000</v>
      </c>
      <c r="Z96" s="2">
        <f t="shared" si="94"/>
        <v>336000</v>
      </c>
      <c r="AA96" s="2">
        <f t="shared" si="93"/>
        <v>378000</v>
      </c>
      <c r="AB96" s="2">
        <f t="shared" si="93"/>
        <v>420000</v>
      </c>
      <c r="AC96" s="2">
        <f t="shared" si="93"/>
        <v>462000</v>
      </c>
      <c r="AD96" s="2">
        <f t="shared" si="93"/>
        <v>504000</v>
      </c>
      <c r="AE96" s="2">
        <f t="shared" si="93"/>
        <v>378000</v>
      </c>
      <c r="AG96">
        <f t="shared" si="66"/>
        <v>84</v>
      </c>
      <c r="AH96" s="6">
        <f t="shared" si="67"/>
        <v>1.4979512368420215E-2</v>
      </c>
      <c r="AI96" s="6">
        <f t="shared" si="68"/>
        <v>4.0444605735580577E-2</v>
      </c>
      <c r="AJ96" s="6">
        <f t="shared" si="69"/>
        <v>5.9027179717326184E-2</v>
      </c>
      <c r="AK96" s="6">
        <f t="shared" si="70"/>
        <v>7.0338286210204007E-2</v>
      </c>
      <c r="AL96" s="6">
        <f t="shared" si="71"/>
        <v>7.718414827005704E-2</v>
      </c>
      <c r="AM96" s="6">
        <f t="shared" si="72"/>
        <v>8.1492610072073909E-2</v>
      </c>
      <c r="AN96" s="6">
        <f t="shared" si="73"/>
        <v>8.433102651106536E-2</v>
      </c>
      <c r="AO96" s="6">
        <f t="shared" si="74"/>
        <v>8.628152735969051E-2</v>
      </c>
      <c r="AP96" s="6">
        <f t="shared" si="75"/>
        <v>8.7671759104094027E-2</v>
      </c>
      <c r="AQ96" s="6">
        <f t="shared" si="76"/>
        <v>8.869398814196984E-2</v>
      </c>
      <c r="AR96" s="6">
        <f t="shared" si="77"/>
        <v>8.9465798993033571E-2</v>
      </c>
      <c r="AS96" s="6">
        <f t="shared" si="78"/>
        <v>9.0061877886335462E-2</v>
      </c>
      <c r="AT96" s="6">
        <f t="shared" si="79"/>
        <v>9.3131612577352682E-2</v>
      </c>
      <c r="AW96" s="3">
        <f t="shared" si="88"/>
        <v>1680</v>
      </c>
      <c r="AX96" s="3">
        <f t="shared" si="85"/>
        <v>123</v>
      </c>
      <c r="AY96" s="3">
        <f t="shared" si="86"/>
        <v>206640</v>
      </c>
      <c r="AZ96" s="13">
        <f t="shared" si="87"/>
        <v>6.8358853262457817E-2</v>
      </c>
      <c r="BA96" s="3">
        <f t="shared" ref="BA96:BA159" si="95">AZ96*AY96</f>
        <v>14125.673438154283</v>
      </c>
      <c r="BB96" s="3">
        <f t="shared" ref="BB96:BB159" si="96">0.00015063529793*AY96^1.5</f>
        <v>14149.736112415732</v>
      </c>
      <c r="BC96" s="3">
        <f t="shared" si="83"/>
        <v>14166.96555513595</v>
      </c>
      <c r="BD96" s="3">
        <f t="shared" si="84"/>
        <v>28240.799999999999</v>
      </c>
    </row>
    <row r="97" spans="3:56" x14ac:dyDescent="0.45">
      <c r="C97">
        <f t="shared" si="62"/>
        <v>85</v>
      </c>
      <c r="D97" s="2">
        <f t="shared" si="92"/>
        <v>631.51029364120814</v>
      </c>
      <c r="E97" s="2">
        <f t="shared" si="92"/>
        <v>3432.1354942536041</v>
      </c>
      <c r="F97" s="2">
        <f t="shared" si="92"/>
        <v>7549.1005074403993</v>
      </c>
      <c r="G97" s="2">
        <f t="shared" si="92"/>
        <v>12028.877535542357</v>
      </c>
      <c r="H97" s="2">
        <f t="shared" si="92"/>
        <v>16528.391864898596</v>
      </c>
      <c r="I97" s="2">
        <f t="shared" si="92"/>
        <v>20964.302298877647</v>
      </c>
      <c r="J97" s="2">
        <f t="shared" si="92"/>
        <v>25328.639145013603</v>
      </c>
      <c r="K97" s="2">
        <f t="shared" si="92"/>
        <v>29631.332071015291</v>
      </c>
      <c r="L97" s="2">
        <f t="shared" si="92"/>
        <v>33884.437587173961</v>
      </c>
      <c r="M97" s="2">
        <f t="shared" si="92"/>
        <v>38098.336288641607</v>
      </c>
      <c r="N97" s="2">
        <f t="shared" si="92"/>
        <v>42281.217176646598</v>
      </c>
      <c r="O97" s="2">
        <f t="shared" si="92"/>
        <v>46439.375078039746</v>
      </c>
      <c r="P97" s="2">
        <f t="shared" si="63"/>
        <v>36046.592746512935</v>
      </c>
      <c r="R97">
        <f t="shared" si="64"/>
        <v>85</v>
      </c>
      <c r="S97" s="2">
        <f t="shared" si="94"/>
        <v>42500</v>
      </c>
      <c r="T97" s="2">
        <f t="shared" si="94"/>
        <v>85000</v>
      </c>
      <c r="U97" s="2">
        <f t="shared" si="94"/>
        <v>127500</v>
      </c>
      <c r="V97" s="2">
        <f t="shared" si="94"/>
        <v>170000</v>
      </c>
      <c r="W97" s="2">
        <f t="shared" si="94"/>
        <v>212500</v>
      </c>
      <c r="X97" s="2">
        <f t="shared" si="94"/>
        <v>255000</v>
      </c>
      <c r="Y97" s="2">
        <f t="shared" si="94"/>
        <v>297500</v>
      </c>
      <c r="Z97" s="2">
        <f t="shared" si="94"/>
        <v>340000</v>
      </c>
      <c r="AA97" s="2">
        <f t="shared" si="93"/>
        <v>382500</v>
      </c>
      <c r="AB97" s="2">
        <f t="shared" si="93"/>
        <v>425000</v>
      </c>
      <c r="AC97" s="2">
        <f t="shared" si="93"/>
        <v>467500</v>
      </c>
      <c r="AD97" s="2">
        <f t="shared" si="93"/>
        <v>510000</v>
      </c>
      <c r="AE97" s="2">
        <f t="shared" si="93"/>
        <v>382500</v>
      </c>
      <c r="AG97">
        <f t="shared" si="66"/>
        <v>85</v>
      </c>
      <c r="AH97" s="6">
        <f t="shared" si="67"/>
        <v>1.4859065732734308E-2</v>
      </c>
      <c r="AI97" s="6">
        <f t="shared" si="68"/>
        <v>4.0378064638277693E-2</v>
      </c>
      <c r="AJ97" s="6">
        <f t="shared" si="69"/>
        <v>5.9208631430905094E-2</v>
      </c>
      <c r="AK97" s="6">
        <f t="shared" si="70"/>
        <v>7.0758103150249163E-2</v>
      </c>
      <c r="AL97" s="6">
        <f t="shared" si="71"/>
        <v>7.7780667599522804E-2</v>
      </c>
      <c r="AM97" s="6">
        <f t="shared" si="72"/>
        <v>8.2212950191677042E-2</v>
      </c>
      <c r="AN97" s="6">
        <f t="shared" si="73"/>
        <v>8.5138282840381857E-2</v>
      </c>
      <c r="AO97" s="6">
        <f t="shared" si="74"/>
        <v>8.7150976679456732E-2</v>
      </c>
      <c r="AP97" s="6">
        <f t="shared" si="75"/>
        <v>8.8586764933788129E-2</v>
      </c>
      <c r="AQ97" s="6">
        <f t="shared" si="76"/>
        <v>8.964314420856849E-2</v>
      </c>
      <c r="AR97" s="6">
        <f t="shared" si="77"/>
        <v>9.0441106260206627E-2</v>
      </c>
      <c r="AS97" s="6">
        <f t="shared" si="78"/>
        <v>9.1057598192234801E-2</v>
      </c>
      <c r="AT97" s="6">
        <f t="shared" si="79"/>
        <v>9.4239458160818135E-2</v>
      </c>
      <c r="AW97" s="3">
        <f t="shared" si="88"/>
        <v>1700</v>
      </c>
      <c r="AX97" s="3">
        <f t="shared" si="85"/>
        <v>125</v>
      </c>
      <c r="AY97" s="3">
        <f t="shared" si="86"/>
        <v>212500</v>
      </c>
      <c r="AZ97" s="13">
        <f t="shared" si="87"/>
        <v>6.9470369911039595E-2</v>
      </c>
      <c r="BA97" s="3">
        <f t="shared" si="95"/>
        <v>14762.453606095914</v>
      </c>
      <c r="BB97" s="3">
        <f t="shared" si="96"/>
        <v>14755.881277346418</v>
      </c>
      <c r="BC97" s="3">
        <f t="shared" si="83"/>
        <v>14742.22938654913</v>
      </c>
      <c r="BD97" s="3">
        <f t="shared" si="84"/>
        <v>29513.888888888887</v>
      </c>
    </row>
    <row r="98" spans="3:56" x14ac:dyDescent="0.45">
      <c r="C98">
        <f t="shared" si="62"/>
        <v>86</v>
      </c>
      <c r="D98" s="2">
        <f t="shared" si="92"/>
        <v>633.81585878149701</v>
      </c>
      <c r="E98" s="2">
        <f t="shared" si="92"/>
        <v>3466.4001988084888</v>
      </c>
      <c r="F98" s="2">
        <f t="shared" si="92"/>
        <v>7660.1314526144051</v>
      </c>
      <c r="G98" s="2">
        <f t="shared" si="92"/>
        <v>12240.915126001266</v>
      </c>
      <c r="H98" s="2">
        <f t="shared" si="92"/>
        <v>16849.221364656401</v>
      </c>
      <c r="I98" s="2">
        <f t="shared" si="92"/>
        <v>21394.901597429158</v>
      </c>
      <c r="J98" s="2">
        <f t="shared" si="92"/>
        <v>25867.785824416354</v>
      </c>
      <c r="K98" s="2">
        <f t="shared" si="92"/>
        <v>30277.301880763956</v>
      </c>
      <c r="L98" s="2">
        <f t="shared" si="92"/>
        <v>34635.565527225888</v>
      </c>
      <c r="M98" s="2">
        <f t="shared" si="92"/>
        <v>38953.172088999236</v>
      </c>
      <c r="N98" s="2">
        <f t="shared" si="92"/>
        <v>43238.542853063962</v>
      </c>
      <c r="O98" s="2">
        <f t="shared" si="92"/>
        <v>47498.179999827713</v>
      </c>
      <c r="P98" s="2">
        <f t="shared" si="63"/>
        <v>36899.402641031898</v>
      </c>
      <c r="R98">
        <f t="shared" si="64"/>
        <v>86</v>
      </c>
      <c r="S98" s="2">
        <f t="shared" si="94"/>
        <v>43000</v>
      </c>
      <c r="T98" s="2">
        <f t="shared" si="94"/>
        <v>86000</v>
      </c>
      <c r="U98" s="2">
        <f t="shared" si="94"/>
        <v>129000</v>
      </c>
      <c r="V98" s="2">
        <f t="shared" si="94"/>
        <v>172000</v>
      </c>
      <c r="W98" s="2">
        <f t="shared" si="94"/>
        <v>215000</v>
      </c>
      <c r="X98" s="2">
        <f t="shared" si="94"/>
        <v>258000</v>
      </c>
      <c r="Y98" s="2">
        <f t="shared" si="94"/>
        <v>301000</v>
      </c>
      <c r="Z98" s="2">
        <f t="shared" si="94"/>
        <v>344000</v>
      </c>
      <c r="AA98" s="2">
        <f t="shared" si="93"/>
        <v>387000</v>
      </c>
      <c r="AB98" s="2">
        <f t="shared" si="93"/>
        <v>430000</v>
      </c>
      <c r="AC98" s="2">
        <f t="shared" si="93"/>
        <v>473000</v>
      </c>
      <c r="AD98" s="2">
        <f t="shared" si="93"/>
        <v>516000</v>
      </c>
      <c r="AE98" s="2">
        <f t="shared" si="93"/>
        <v>387000</v>
      </c>
      <c r="AG98">
        <f t="shared" si="66"/>
        <v>86</v>
      </c>
      <c r="AH98" s="6">
        <f t="shared" si="67"/>
        <v>1.4739903692592954E-2</v>
      </c>
      <c r="AI98" s="6">
        <f t="shared" si="68"/>
        <v>4.0306979055912663E-2</v>
      </c>
      <c r="AJ98" s="6">
        <f t="shared" si="69"/>
        <v>5.9380863973755076E-2</v>
      </c>
      <c r="AK98" s="6">
        <f t="shared" si="70"/>
        <v>7.116811119768178E-2</v>
      </c>
      <c r="AL98" s="6">
        <f t="shared" si="71"/>
        <v>7.836847146351815E-2</v>
      </c>
      <c r="AM98" s="6">
        <f t="shared" si="72"/>
        <v>8.2925975183833947E-2</v>
      </c>
      <c r="AN98" s="6">
        <f t="shared" si="73"/>
        <v>8.5939487788758651E-2</v>
      </c>
      <c r="AO98" s="6">
        <f t="shared" si="74"/>
        <v>8.8015412444081273E-2</v>
      </c>
      <c r="AP98" s="6">
        <f t="shared" si="75"/>
        <v>8.9497585341668962E-2</v>
      </c>
      <c r="AQ98" s="6">
        <f t="shared" si="76"/>
        <v>9.0588772299998219E-2</v>
      </c>
      <c r="AR98" s="6">
        <f t="shared" si="77"/>
        <v>9.1413409837344528E-2</v>
      </c>
      <c r="AS98" s="6">
        <f t="shared" si="78"/>
        <v>9.2050736433774635E-2</v>
      </c>
      <c r="AT98" s="6">
        <f t="shared" si="79"/>
        <v>9.5347293646077261E-2</v>
      </c>
      <c r="AW98" s="3">
        <f t="shared" si="88"/>
        <v>1720</v>
      </c>
      <c r="AX98" s="3">
        <f t="shared" si="85"/>
        <v>126</v>
      </c>
      <c r="AY98" s="3">
        <f t="shared" si="86"/>
        <v>216720</v>
      </c>
      <c r="AZ98" s="13">
        <f t="shared" si="87"/>
        <v>7.0026128235330484E-2</v>
      </c>
      <c r="BA98" s="3">
        <f t="shared" si="95"/>
        <v>15176.062511160822</v>
      </c>
      <c r="BB98" s="3">
        <f t="shared" si="96"/>
        <v>15197.608015995773</v>
      </c>
      <c r="BC98" s="3">
        <f t="shared" si="83"/>
        <v>15211.825832909884</v>
      </c>
      <c r="BD98" s="3">
        <f t="shared" si="84"/>
        <v>30340.799999999999</v>
      </c>
    </row>
    <row r="99" spans="3:56" x14ac:dyDescent="0.45">
      <c r="C99">
        <f t="shared" si="62"/>
        <v>87</v>
      </c>
      <c r="D99" s="2">
        <f t="shared" si="92"/>
        <v>636.0584148214806</v>
      </c>
      <c r="E99" s="2">
        <f t="shared" si="92"/>
        <v>3500.1458683799169</v>
      </c>
      <c r="F99" s="2">
        <f t="shared" si="92"/>
        <v>7770.5004656813371</v>
      </c>
      <c r="G99" s="2">
        <f t="shared" si="92"/>
        <v>12452.901352245599</v>
      </c>
      <c r="H99" s="2">
        <f t="shared" si="92"/>
        <v>17171.099243403074</v>
      </c>
      <c r="I99" s="2">
        <f t="shared" si="92"/>
        <v>21827.86735423905</v>
      </c>
      <c r="J99" s="2">
        <f t="shared" si="92"/>
        <v>26410.691254257723</v>
      </c>
      <c r="K99" s="2">
        <f t="shared" si="92"/>
        <v>30928.432769513784</v>
      </c>
      <c r="L99" s="2">
        <f t="shared" si="92"/>
        <v>35393.241140662707</v>
      </c>
      <c r="M99" s="2">
        <f t="shared" si="92"/>
        <v>39815.917702981737</v>
      </c>
      <c r="N99" s="2">
        <f t="shared" si="92"/>
        <v>44205.114575852225</v>
      </c>
      <c r="O99" s="2">
        <f t="shared" si="92"/>
        <v>48567.542756527211</v>
      </c>
      <c r="P99" s="2">
        <f t="shared" si="63"/>
        <v>37762.179147478375</v>
      </c>
      <c r="R99">
        <f t="shared" si="64"/>
        <v>87</v>
      </c>
      <c r="S99" s="2">
        <f t="shared" si="94"/>
        <v>43500</v>
      </c>
      <c r="T99" s="2">
        <f t="shared" si="94"/>
        <v>87000</v>
      </c>
      <c r="U99" s="2">
        <f t="shared" si="94"/>
        <v>130500</v>
      </c>
      <c r="V99" s="2">
        <f t="shared" si="94"/>
        <v>174000</v>
      </c>
      <c r="W99" s="2">
        <f t="shared" si="94"/>
        <v>217500</v>
      </c>
      <c r="X99" s="2">
        <f t="shared" si="94"/>
        <v>261000</v>
      </c>
      <c r="Y99" s="2">
        <f t="shared" si="94"/>
        <v>304500</v>
      </c>
      <c r="Z99" s="2">
        <f t="shared" si="94"/>
        <v>348000</v>
      </c>
      <c r="AA99" s="2">
        <f t="shared" si="93"/>
        <v>391500</v>
      </c>
      <c r="AB99" s="2">
        <f t="shared" si="93"/>
        <v>435000</v>
      </c>
      <c r="AC99" s="2">
        <f t="shared" si="93"/>
        <v>478500</v>
      </c>
      <c r="AD99" s="2">
        <f t="shared" si="93"/>
        <v>522000</v>
      </c>
      <c r="AE99" s="2">
        <f t="shared" si="93"/>
        <v>391500</v>
      </c>
      <c r="AG99">
        <f t="shared" si="66"/>
        <v>87</v>
      </c>
      <c r="AH99" s="6">
        <f t="shared" si="67"/>
        <v>1.4622032524631737E-2</v>
      </c>
      <c r="AI99" s="6">
        <f t="shared" si="68"/>
        <v>4.0231561705516283E-2</v>
      </c>
      <c r="AJ99" s="6">
        <f t="shared" si="69"/>
        <v>5.9544064871121356E-2</v>
      </c>
      <c r="AK99" s="6">
        <f t="shared" si="70"/>
        <v>7.1568398576124126E-2</v>
      </c>
      <c r="AL99" s="6">
        <f t="shared" si="71"/>
        <v>7.894758272829E-2</v>
      </c>
      <c r="AM99" s="6">
        <f t="shared" si="72"/>
        <v>8.3631675686739654E-2</v>
      </c>
      <c r="AN99" s="6">
        <f t="shared" si="73"/>
        <v>8.673461824058365E-2</v>
      </c>
      <c r="AO99" s="6">
        <f t="shared" si="74"/>
        <v>8.8874806808947659E-2</v>
      </c>
      <c r="AP99" s="6">
        <f t="shared" si="75"/>
        <v>9.0404191930172947E-2</v>
      </c>
      <c r="AQ99" s="6">
        <f t="shared" si="76"/>
        <v>9.1530845294210891E-2</v>
      </c>
      <c r="AR99" s="6">
        <f t="shared" si="77"/>
        <v>9.2382684589032857E-2</v>
      </c>
      <c r="AS99" s="6">
        <f t="shared" si="78"/>
        <v>9.3041269648519567E-2</v>
      </c>
      <c r="AT99" s="6">
        <f t="shared" si="79"/>
        <v>9.6455119150647195E-2</v>
      </c>
      <c r="AW99" s="3">
        <f t="shared" si="88"/>
        <v>1740</v>
      </c>
      <c r="AX99" s="3">
        <f t="shared" si="85"/>
        <v>128</v>
      </c>
      <c r="AY99" s="3">
        <f t="shared" si="86"/>
        <v>222720</v>
      </c>
      <c r="AZ99" s="13">
        <f t="shared" si="87"/>
        <v>7.1137644883912263E-2</v>
      </c>
      <c r="BA99" s="3">
        <f t="shared" si="95"/>
        <v>15843.77626854494</v>
      </c>
      <c r="BB99" s="3">
        <f t="shared" si="96"/>
        <v>15833.086252632165</v>
      </c>
      <c r="BC99" s="3">
        <f t="shared" si="83"/>
        <v>15814.793661440535</v>
      </c>
      <c r="BD99" s="3">
        <f t="shared" si="84"/>
        <v>31675.733333333334</v>
      </c>
    </row>
    <row r="100" spans="3:56" x14ac:dyDescent="0.45">
      <c r="C100">
        <f t="shared" si="62"/>
        <v>88</v>
      </c>
      <c r="D100" s="2">
        <f t="shared" si="92"/>
        <v>638.24007838836974</v>
      </c>
      <c r="E100" s="2">
        <f t="shared" si="92"/>
        <v>3533.3775947596469</v>
      </c>
      <c r="F100" s="2">
        <f t="shared" si="92"/>
        <v>7880.1915205697824</v>
      </c>
      <c r="G100" s="2">
        <f t="shared" si="92"/>
        <v>12664.793753390062</v>
      </c>
      <c r="H100" s="2">
        <f t="shared" si="92"/>
        <v>17493.96580716033</v>
      </c>
      <c r="I100" s="2">
        <f t="shared" si="92"/>
        <v>22263.131619690073</v>
      </c>
      <c r="J100" s="2">
        <f t="shared" si="92"/>
        <v>26957.284903092866</v>
      </c>
      <c r="K100" s="2">
        <f t="shared" si="92"/>
        <v>31584.654737197448</v>
      </c>
      <c r="L100" s="2">
        <f t="shared" si="92"/>
        <v>36157.396532742336</v>
      </c>
      <c r="M100" s="2">
        <f t="shared" si="92"/>
        <v>40686.508059587504</v>
      </c>
      <c r="N100" s="2">
        <f t="shared" si="92"/>
        <v>45180.870355700725</v>
      </c>
      <c r="O100" s="2">
        <f t="shared" si="92"/>
        <v>49647.404456498603</v>
      </c>
      <c r="P100" s="2">
        <f t="shared" si="63"/>
        <v>38634.92217657929</v>
      </c>
      <c r="R100">
        <f t="shared" si="64"/>
        <v>88</v>
      </c>
      <c r="S100" s="2">
        <f t="shared" si="94"/>
        <v>44000</v>
      </c>
      <c r="T100" s="2">
        <f t="shared" si="94"/>
        <v>88000</v>
      </c>
      <c r="U100" s="2">
        <f t="shared" si="94"/>
        <v>132000</v>
      </c>
      <c r="V100" s="2">
        <f t="shared" si="94"/>
        <v>176000</v>
      </c>
      <c r="W100" s="2">
        <f t="shared" si="94"/>
        <v>220000</v>
      </c>
      <c r="X100" s="2">
        <f t="shared" si="94"/>
        <v>264000</v>
      </c>
      <c r="Y100" s="2">
        <f t="shared" si="94"/>
        <v>308000</v>
      </c>
      <c r="Z100" s="2">
        <f t="shared" si="94"/>
        <v>352000</v>
      </c>
      <c r="AA100" s="2">
        <f t="shared" si="93"/>
        <v>396000</v>
      </c>
      <c r="AB100" s="2">
        <f t="shared" si="93"/>
        <v>440000</v>
      </c>
      <c r="AC100" s="2">
        <f t="shared" si="93"/>
        <v>484000</v>
      </c>
      <c r="AD100" s="2">
        <f t="shared" si="93"/>
        <v>528000</v>
      </c>
      <c r="AE100" s="2">
        <f t="shared" si="93"/>
        <v>396000</v>
      </c>
      <c r="AG100">
        <f t="shared" si="66"/>
        <v>88</v>
      </c>
      <c r="AH100" s="6">
        <f t="shared" si="67"/>
        <v>1.4505456327008403E-2</v>
      </c>
      <c r="AI100" s="6">
        <f t="shared" si="68"/>
        <v>4.0152018122268714E-2</v>
      </c>
      <c r="AJ100" s="6">
        <f t="shared" si="69"/>
        <v>5.969842061037714E-2</v>
      </c>
      <c r="AK100" s="6">
        <f t="shared" si="70"/>
        <v>7.1959055416988993E-2</v>
      </c>
      <c r="AL100" s="6">
        <f t="shared" si="71"/>
        <v>7.9518026396183314E-2</v>
      </c>
      <c r="AM100" s="6">
        <f t="shared" si="72"/>
        <v>8.4330044013977548E-2</v>
      </c>
      <c r="AN100" s="6">
        <f t="shared" si="73"/>
        <v>8.7523652282769052E-2</v>
      </c>
      <c r="AO100" s="6">
        <f t="shared" si="74"/>
        <v>8.9729132776129109E-2</v>
      </c>
      <c r="AP100" s="6">
        <f t="shared" si="75"/>
        <v>9.1306556900864477E-2</v>
      </c>
      <c r="AQ100" s="6">
        <f t="shared" si="76"/>
        <v>9.2469336499062513E-2</v>
      </c>
      <c r="AR100" s="6">
        <f t="shared" si="77"/>
        <v>9.3348905693596537E-2</v>
      </c>
      <c r="AS100" s="6">
        <f t="shared" si="78"/>
        <v>9.4029175107004925E-2</v>
      </c>
      <c r="AT100" s="6">
        <f t="shared" si="79"/>
        <v>9.7562934789341638E-2</v>
      </c>
      <c r="AW100" s="3">
        <f t="shared" si="88"/>
        <v>1760</v>
      </c>
      <c r="AX100" s="3">
        <f t="shared" si="85"/>
        <v>129</v>
      </c>
      <c r="AY100" s="3">
        <f t="shared" si="86"/>
        <v>227040</v>
      </c>
      <c r="AZ100" s="13">
        <f t="shared" si="87"/>
        <v>7.1693403208203152E-2</v>
      </c>
      <c r="BA100" s="3">
        <f t="shared" si="95"/>
        <v>16277.270264390443</v>
      </c>
      <c r="BB100" s="3">
        <f t="shared" si="96"/>
        <v>16295.973806284092</v>
      </c>
      <c r="BC100" s="3">
        <f t="shared" si="83"/>
        <v>16306.829462008773</v>
      </c>
      <c r="BD100" s="3">
        <f t="shared" si="84"/>
        <v>32542.400000000001</v>
      </c>
    </row>
    <row r="101" spans="3:56" x14ac:dyDescent="0.45">
      <c r="C101">
        <f t="shared" si="62"/>
        <v>89</v>
      </c>
      <c r="D101" s="2">
        <f t="shared" si="92"/>
        <v>640.36288601586864</v>
      </c>
      <c r="E101" s="2">
        <f t="shared" si="92"/>
        <v>3566.1006667410215</v>
      </c>
      <c r="F101" s="2">
        <f t="shared" si="92"/>
        <v>7989.189552731149</v>
      </c>
      <c r="G101" s="2">
        <f t="shared" si="92"/>
        <v>12876.550908356112</v>
      </c>
      <c r="H101" s="2">
        <f t="shared" si="92"/>
        <v>17817.762074711442</v>
      </c>
      <c r="I101" s="2">
        <f t="shared" si="92"/>
        <v>22700.62679313284</v>
      </c>
      <c r="J101" s="2">
        <f t="shared" si="92"/>
        <v>27507.496304746943</v>
      </c>
      <c r="K101" s="2">
        <f t="shared" si="92"/>
        <v>32245.89765247552</v>
      </c>
      <c r="L101" s="2">
        <f t="shared" si="92"/>
        <v>36927.96354843046</v>
      </c>
      <c r="M101" s="2">
        <f t="shared" si="92"/>
        <v>41564.87774578415</v>
      </c>
      <c r="N101" s="2">
        <f t="shared" si="92"/>
        <v>46165.747811440968</v>
      </c>
      <c r="O101" s="2">
        <f t="shared" si="92"/>
        <v>50737.705787670078</v>
      </c>
      <c r="P101" s="2">
        <f t="shared" si="63"/>
        <v>39517.631640082771</v>
      </c>
      <c r="R101">
        <f t="shared" si="64"/>
        <v>89</v>
      </c>
      <c r="S101" s="2">
        <f t="shared" si="94"/>
        <v>44500</v>
      </c>
      <c r="T101" s="2">
        <f t="shared" si="94"/>
        <v>89000</v>
      </c>
      <c r="U101" s="2">
        <f t="shared" si="94"/>
        <v>133500</v>
      </c>
      <c r="V101" s="2">
        <f t="shared" si="94"/>
        <v>178000</v>
      </c>
      <c r="W101" s="2">
        <f t="shared" si="94"/>
        <v>222500</v>
      </c>
      <c r="X101" s="2">
        <f t="shared" si="94"/>
        <v>267000</v>
      </c>
      <c r="Y101" s="2">
        <f t="shared" si="94"/>
        <v>311500</v>
      </c>
      <c r="Z101" s="2">
        <f t="shared" si="94"/>
        <v>356000</v>
      </c>
      <c r="AA101" s="2">
        <f t="shared" si="93"/>
        <v>400500</v>
      </c>
      <c r="AB101" s="2">
        <f t="shared" si="93"/>
        <v>445000</v>
      </c>
      <c r="AC101" s="2">
        <f t="shared" si="93"/>
        <v>489500</v>
      </c>
      <c r="AD101" s="2">
        <f t="shared" si="93"/>
        <v>534000</v>
      </c>
      <c r="AE101" s="2">
        <f t="shared" si="93"/>
        <v>400500</v>
      </c>
      <c r="AG101">
        <f t="shared" si="66"/>
        <v>89</v>
      </c>
      <c r="AH101" s="6">
        <f t="shared" si="67"/>
        <v>1.4390177213839745E-2</v>
      </c>
      <c r="AI101" s="6">
        <f t="shared" si="68"/>
        <v>4.0068546817314851E-2</v>
      </c>
      <c r="AJ101" s="6">
        <f t="shared" si="69"/>
        <v>5.9844116499858796E-2</v>
      </c>
      <c r="AK101" s="6">
        <f t="shared" si="70"/>
        <v>7.2340173642450073E-2</v>
      </c>
      <c r="AL101" s="6">
        <f t="shared" si="71"/>
        <v>8.0079829549264903E-2</v>
      </c>
      <c r="AM101" s="6">
        <f t="shared" si="72"/>
        <v>8.5021074131583677E-2</v>
      </c>
      <c r="AN101" s="6">
        <f t="shared" si="73"/>
        <v>8.8306569196619403E-2</v>
      </c>
      <c r="AO101" s="6">
        <f t="shared" si="74"/>
        <v>9.0578364192346966E-2</v>
      </c>
      <c r="AP101" s="6">
        <f t="shared" si="75"/>
        <v>9.2204653054757696E-2</v>
      </c>
      <c r="AQ101" s="6">
        <f t="shared" si="76"/>
        <v>9.3404219653447529E-2</v>
      </c>
      <c r="AR101" s="6">
        <f t="shared" si="77"/>
        <v>9.4312048644414642E-2</v>
      </c>
      <c r="AS101" s="6">
        <f t="shared" si="78"/>
        <v>9.5014430313988915E-2</v>
      </c>
      <c r="AT101" s="6">
        <f t="shared" si="79"/>
        <v>9.8670740674363974E-2</v>
      </c>
      <c r="AW101" s="3">
        <f t="shared" si="88"/>
        <v>1780</v>
      </c>
      <c r="AX101" s="3">
        <f t="shared" si="85"/>
        <v>131</v>
      </c>
      <c r="AY101" s="3">
        <f t="shared" si="86"/>
        <v>233180</v>
      </c>
      <c r="AZ101" s="13">
        <f t="shared" si="87"/>
        <v>7.280491985678493E-2</v>
      </c>
      <c r="BA101" s="3">
        <f t="shared" si="95"/>
        <v>16976.65121220511</v>
      </c>
      <c r="BB101" s="3">
        <f t="shared" si="96"/>
        <v>16961.47816790656</v>
      </c>
      <c r="BC101" s="3">
        <f t="shared" si="83"/>
        <v>16938.152731492894</v>
      </c>
      <c r="BD101" s="3">
        <f t="shared" si="84"/>
        <v>33940.644444444442</v>
      </c>
    </row>
    <row r="102" spans="3:56" x14ac:dyDescent="0.45">
      <c r="C102">
        <f t="shared" si="62"/>
        <v>90</v>
      </c>
      <c r="D102" s="2">
        <f t="shared" si="92"/>
        <v>642.42879725046021</v>
      </c>
      <c r="E102" s="2">
        <f t="shared" si="92"/>
        <v>3598.3205495086922</v>
      </c>
      <c r="F102" s="2">
        <f t="shared" si="92"/>
        <v>8097.4804324585057</v>
      </c>
      <c r="G102" s="2">
        <f t="shared" si="92"/>
        <v>13088.132433129353</v>
      </c>
      <c r="H102" s="2">
        <f t="shared" si="92"/>
        <v>18142.429790894104</v>
      </c>
      <c r="I102" s="2">
        <f t="shared" si="92"/>
        <v>23140.285641357867</v>
      </c>
      <c r="J102" s="2">
        <f t="shared" si="92"/>
        <v>28061.255076539346</v>
      </c>
      <c r="K102" s="2">
        <f t="shared" si="92"/>
        <v>32912.091268805983</v>
      </c>
      <c r="L102" s="2">
        <f t="shared" si="92"/>
        <v>37704.873785955344</v>
      </c>
      <c r="M102" s="2">
        <f t="shared" si="92"/>
        <v>42450.961017750364</v>
      </c>
      <c r="N102" s="2">
        <f t="shared" si="92"/>
        <v>47159.684179330281</v>
      </c>
      <c r="O102" s="2">
        <f t="shared" si="92"/>
        <v>51838.387025218013</v>
      </c>
      <c r="P102" s="2">
        <f t="shared" si="63"/>
        <v>40410.307450735127</v>
      </c>
      <c r="R102">
        <f t="shared" si="64"/>
        <v>90</v>
      </c>
      <c r="S102" s="2">
        <f t="shared" si="94"/>
        <v>45000</v>
      </c>
      <c r="T102" s="2">
        <f t="shared" si="94"/>
        <v>90000</v>
      </c>
      <c r="U102" s="2">
        <f t="shared" si="94"/>
        <v>135000</v>
      </c>
      <c r="V102" s="2">
        <f t="shared" si="94"/>
        <v>180000</v>
      </c>
      <c r="W102" s="2">
        <f t="shared" si="94"/>
        <v>225000</v>
      </c>
      <c r="X102" s="2">
        <f t="shared" si="94"/>
        <v>270000</v>
      </c>
      <c r="Y102" s="2">
        <f t="shared" si="94"/>
        <v>315000</v>
      </c>
      <c r="Z102" s="2">
        <f t="shared" si="94"/>
        <v>360000</v>
      </c>
      <c r="AA102" s="2">
        <f t="shared" si="93"/>
        <v>405000</v>
      </c>
      <c r="AB102" s="2">
        <f t="shared" si="93"/>
        <v>450000</v>
      </c>
      <c r="AC102" s="2">
        <f t="shared" si="93"/>
        <v>495000</v>
      </c>
      <c r="AD102" s="2">
        <f t="shared" si="93"/>
        <v>540000</v>
      </c>
      <c r="AE102" s="2">
        <f t="shared" si="93"/>
        <v>405000</v>
      </c>
      <c r="AG102">
        <f t="shared" si="66"/>
        <v>90</v>
      </c>
      <c r="AH102" s="6">
        <f t="shared" si="67"/>
        <v>1.4276195494454672E-2</v>
      </c>
      <c r="AI102" s="6">
        <f t="shared" si="68"/>
        <v>3.9981339438985471E-2</v>
      </c>
      <c r="AJ102" s="6">
        <f t="shared" si="69"/>
        <v>5.9981336536729671E-2</v>
      </c>
      <c r="AK102" s="6">
        <f t="shared" si="70"/>
        <v>7.2711846850718631E-2</v>
      </c>
      <c r="AL102" s="6">
        <f t="shared" si="71"/>
        <v>8.0633021292862692E-2</v>
      </c>
      <c r="AM102" s="6">
        <f t="shared" si="72"/>
        <v>8.570476163465876E-2</v>
      </c>
      <c r="AN102" s="6">
        <f t="shared" si="73"/>
        <v>8.9083349449331259E-2</v>
      </c>
      <c r="AO102" s="6">
        <f t="shared" si="74"/>
        <v>9.1422475746683288E-2</v>
      </c>
      <c r="AP102" s="6">
        <f t="shared" si="75"/>
        <v>9.3098453792482327E-2</v>
      </c>
      <c r="AQ102" s="6">
        <f t="shared" si="76"/>
        <v>9.4335468928334137E-2</v>
      </c>
      <c r="AR102" s="6">
        <f t="shared" si="77"/>
        <v>9.5272089251172282E-2</v>
      </c>
      <c r="AS102" s="6">
        <f t="shared" si="78"/>
        <v>9.5997013009662985E-2</v>
      </c>
      <c r="AT102" s="6">
        <f t="shared" si="79"/>
        <v>9.9778536915395372E-2</v>
      </c>
      <c r="AW102" s="3">
        <f t="shared" si="88"/>
        <v>1800</v>
      </c>
      <c r="AX102" s="3">
        <f t="shared" si="85"/>
        <v>132</v>
      </c>
      <c r="AY102" s="3">
        <f t="shared" si="86"/>
        <v>237600</v>
      </c>
      <c r="AZ102" s="13">
        <f t="shared" si="87"/>
        <v>7.336067818107582E-2</v>
      </c>
      <c r="BA102" s="3">
        <f t="shared" si="95"/>
        <v>17430.497135823614</v>
      </c>
      <c r="BB102" s="3">
        <f t="shared" si="96"/>
        <v>17446.021574721541</v>
      </c>
      <c r="BC102" s="3">
        <f t="shared" si="83"/>
        <v>17453.151486197919</v>
      </c>
      <c r="BD102" s="3">
        <f t="shared" si="84"/>
        <v>34848</v>
      </c>
    </row>
    <row r="103" spans="3:56" x14ac:dyDescent="0.45">
      <c r="C103">
        <f t="shared" si="62"/>
        <v>91</v>
      </c>
      <c r="D103" s="2">
        <f t="shared" ref="D103:O112" si="97">$C$7*BL_MBPS*BL_KM^2*D$12^3*$C103^2/((EM_KM*D$12)^2+(2*PI()*AVG_SUN_DIST_KM*$C103)^2)</f>
        <v>644.43969765689997</v>
      </c>
      <c r="E103" s="2">
        <f t="shared" si="97"/>
        <v>3630.0428652327614</v>
      </c>
      <c r="F103" s="2">
        <f t="shared" si="97"/>
        <v>8205.050938211778</v>
      </c>
      <c r="G103" s="2">
        <f t="shared" si="97"/>
        <v>13299.498977072115</v>
      </c>
      <c r="H103" s="2">
        <f t="shared" si="97"/>
        <v>18467.911439040574</v>
      </c>
      <c r="I103" s="2">
        <f t="shared" si="97"/>
        <v>23582.041316530471</v>
      </c>
      <c r="J103" s="2">
        <f t="shared" si="97"/>
        <v>28618.490937215498</v>
      </c>
      <c r="K103" s="2">
        <f t="shared" si="97"/>
        <v>33583.165240370923</v>
      </c>
      <c r="L103" s="2">
        <f t="shared" si="97"/>
        <v>38488.058610303808</v>
      </c>
      <c r="M103" s="2">
        <f t="shared" si="97"/>
        <v>43344.691812104262</v>
      </c>
      <c r="N103" s="2">
        <f t="shared" si="97"/>
        <v>48162.616322345224</v>
      </c>
      <c r="O103" s="2">
        <f t="shared" si="97"/>
        <v>52949.388039268415</v>
      </c>
      <c r="P103" s="2">
        <f t="shared" si="63"/>
        <v>41312.94952225827</v>
      </c>
      <c r="R103">
        <f t="shared" si="64"/>
        <v>91</v>
      </c>
      <c r="S103" s="2">
        <f t="shared" si="94"/>
        <v>45500</v>
      </c>
      <c r="T103" s="2">
        <f t="shared" si="94"/>
        <v>91000</v>
      </c>
      <c r="U103" s="2">
        <f t="shared" si="94"/>
        <v>136500</v>
      </c>
      <c r="V103" s="2">
        <f t="shared" si="94"/>
        <v>182000</v>
      </c>
      <c r="W103" s="2">
        <f t="shared" si="94"/>
        <v>227500</v>
      </c>
      <c r="X103" s="2">
        <f t="shared" si="94"/>
        <v>273000</v>
      </c>
      <c r="Y103" s="2">
        <f t="shared" si="94"/>
        <v>318500</v>
      </c>
      <c r="Z103" s="2">
        <f t="shared" si="94"/>
        <v>364000</v>
      </c>
      <c r="AA103" s="2">
        <f t="shared" si="93"/>
        <v>409500</v>
      </c>
      <c r="AB103" s="2">
        <f t="shared" si="93"/>
        <v>455000</v>
      </c>
      <c r="AC103" s="2">
        <f t="shared" si="93"/>
        <v>500500</v>
      </c>
      <c r="AD103" s="2">
        <f t="shared" si="93"/>
        <v>546000</v>
      </c>
      <c r="AE103" s="2">
        <f t="shared" si="93"/>
        <v>409500</v>
      </c>
      <c r="AG103">
        <f t="shared" si="66"/>
        <v>91</v>
      </c>
      <c r="AH103" s="6">
        <f t="shared" si="67"/>
        <v>1.4163509838613185E-2</v>
      </c>
      <c r="AI103" s="6">
        <f t="shared" si="68"/>
        <v>3.9890580936623753E-2</v>
      </c>
      <c r="AJ103" s="6">
        <f t="shared" si="69"/>
        <v>6.011026328360277E-2</v>
      </c>
      <c r="AK103" s="6">
        <f t="shared" si="70"/>
        <v>7.3074170203692945E-2</v>
      </c>
      <c r="AL103" s="6">
        <f t="shared" si="71"/>
        <v>8.1177632699079447E-2</v>
      </c>
      <c r="AM103" s="6">
        <f t="shared" si="72"/>
        <v>8.6381103723554842E-2</v>
      </c>
      <c r="AN103" s="6">
        <f t="shared" si="73"/>
        <v>8.9853974685135007E-2</v>
      </c>
      <c r="AO103" s="6">
        <f t="shared" si="74"/>
        <v>9.2261442968051985E-2</v>
      </c>
      <c r="AP103" s="6">
        <f t="shared" si="75"/>
        <v>9.3987933114295014E-2</v>
      </c>
      <c r="AQ103" s="6">
        <f t="shared" si="76"/>
        <v>9.5263058927701677E-2</v>
      </c>
      <c r="AR103" s="6">
        <f t="shared" si="77"/>
        <v>9.6229003641049402E-2</v>
      </c>
      <c r="AS103" s="6">
        <f t="shared" si="78"/>
        <v>9.6976901170821278E-2</v>
      </c>
      <c r="AT103" s="6">
        <f t="shared" si="79"/>
        <v>0.10088632361967831</v>
      </c>
      <c r="AW103" s="3">
        <f t="shared" si="88"/>
        <v>1820</v>
      </c>
      <c r="AX103" s="3">
        <f t="shared" si="85"/>
        <v>134</v>
      </c>
      <c r="AY103" s="3">
        <f t="shared" si="86"/>
        <v>243880</v>
      </c>
      <c r="AZ103" s="13">
        <f t="shared" si="87"/>
        <v>7.4472194829657612E-2</v>
      </c>
      <c r="BA103" s="3">
        <f t="shared" si="95"/>
        <v>18162.278875056898</v>
      </c>
      <c r="BB103" s="3">
        <f t="shared" si="96"/>
        <v>18142.245114614838</v>
      </c>
      <c r="BC103" s="3">
        <f t="shared" si="83"/>
        <v>18113.481640518825</v>
      </c>
      <c r="BD103" s="3">
        <f t="shared" si="84"/>
        <v>36311.022222222222</v>
      </c>
    </row>
    <row r="104" spans="3:56" x14ac:dyDescent="0.45">
      <c r="C104">
        <f t="shared" si="62"/>
        <v>92</v>
      </c>
      <c r="D104" s="2">
        <f t="shared" si="97"/>
        <v>646.39740172278175</v>
      </c>
      <c r="E104" s="2">
        <f t="shared" si="97"/>
        <v>3661.2733748185024</v>
      </c>
      <c r="F104" s="2">
        <f t="shared" si="97"/>
        <v>8311.8887300033384</v>
      </c>
      <c r="G104" s="2">
        <f t="shared" si="97"/>
        <v>13510.612218335369</v>
      </c>
      <c r="H104" s="2">
        <f t="shared" si="97"/>
        <v>18794.150252577751</v>
      </c>
      <c r="I104" s="2">
        <f t="shared" si="97"/>
        <v>24025.827373587144</v>
      </c>
      <c r="J104" s="2">
        <f t="shared" si="97"/>
        <v>29179.133724581035</v>
      </c>
      <c r="K104" s="2">
        <f t="shared" si="97"/>
        <v>34259.049137855174</v>
      </c>
      <c r="L104" s="2">
        <f t="shared" si="97"/>
        <v>39277.449166654194</v>
      </c>
      <c r="M104" s="2">
        <f t="shared" si="97"/>
        <v>44246.003757114901</v>
      </c>
      <c r="N104" s="2">
        <f t="shared" si="97"/>
        <v>49174.480739482329</v>
      </c>
      <c r="O104" s="2">
        <f t="shared" si="97"/>
        <v>54070.648302617847</v>
      </c>
      <c r="P104" s="2">
        <f t="shared" si="63"/>
        <v>42225.557769328174</v>
      </c>
      <c r="R104">
        <f t="shared" si="64"/>
        <v>92</v>
      </c>
      <c r="S104" s="2">
        <f t="shared" si="94"/>
        <v>46000</v>
      </c>
      <c r="T104" s="2">
        <f t="shared" si="94"/>
        <v>92000</v>
      </c>
      <c r="U104" s="2">
        <f t="shared" si="94"/>
        <v>138000</v>
      </c>
      <c r="V104" s="2">
        <f t="shared" si="94"/>
        <v>184000</v>
      </c>
      <c r="W104" s="2">
        <f t="shared" si="94"/>
        <v>230000</v>
      </c>
      <c r="X104" s="2">
        <f t="shared" si="94"/>
        <v>276000</v>
      </c>
      <c r="Y104" s="2">
        <f t="shared" si="94"/>
        <v>322000</v>
      </c>
      <c r="Z104" s="2">
        <f t="shared" si="94"/>
        <v>368000</v>
      </c>
      <c r="AA104" s="2">
        <f t="shared" si="93"/>
        <v>414000</v>
      </c>
      <c r="AB104" s="2">
        <f t="shared" si="93"/>
        <v>460000</v>
      </c>
      <c r="AC104" s="2">
        <f t="shared" si="93"/>
        <v>506000</v>
      </c>
      <c r="AD104" s="2">
        <f t="shared" si="93"/>
        <v>552000</v>
      </c>
      <c r="AE104" s="2">
        <f t="shared" si="93"/>
        <v>414000</v>
      </c>
      <c r="AG104">
        <f t="shared" si="66"/>
        <v>92</v>
      </c>
      <c r="AH104" s="6">
        <f t="shared" si="67"/>
        <v>1.4052117428756125E-2</v>
      </c>
      <c r="AI104" s="6">
        <f t="shared" si="68"/>
        <v>3.9796449726288069E-2</v>
      </c>
      <c r="AJ104" s="6">
        <f t="shared" si="69"/>
        <v>6.0231077753647382E-2</v>
      </c>
      <c r="AK104" s="6">
        <f t="shared" si="70"/>
        <v>7.3427240317040052E-2</v>
      </c>
      <c r="AL104" s="6">
        <f t="shared" si="71"/>
        <v>8.1713696750338044E-2</v>
      </c>
      <c r="AM104" s="6">
        <f t="shared" si="72"/>
        <v>8.7050099179663568E-2</v>
      </c>
      <c r="AN104" s="6">
        <f t="shared" si="73"/>
        <v>9.0618427716090175E-2</v>
      </c>
      <c r="AO104" s="6">
        <f t="shared" si="74"/>
        <v>9.3095242222432539E-2</v>
      </c>
      <c r="AP104" s="6">
        <f t="shared" si="75"/>
        <v>9.4873065619937663E-2</v>
      </c>
      <c r="AQ104" s="6">
        <f t="shared" si="76"/>
        <v>9.6186964689380219E-2</v>
      </c>
      <c r="AR104" s="6">
        <f t="shared" si="77"/>
        <v>9.7182768259846494E-2</v>
      </c>
      <c r="AS104" s="6">
        <f t="shared" si="78"/>
        <v>9.7954073011988857E-2</v>
      </c>
      <c r="AT104" s="6">
        <f t="shared" si="79"/>
        <v>0.10199410089209704</v>
      </c>
      <c r="AW104" s="3">
        <f t="shared" si="88"/>
        <v>1840</v>
      </c>
      <c r="AX104" s="3">
        <f t="shared" si="85"/>
        <v>135</v>
      </c>
      <c r="AY104" s="3">
        <f t="shared" si="86"/>
        <v>248400</v>
      </c>
      <c r="AZ104" s="13">
        <f t="shared" si="87"/>
        <v>7.5027953153948501E-2</v>
      </c>
      <c r="BA104" s="3">
        <f t="shared" si="95"/>
        <v>18636.943563440807</v>
      </c>
      <c r="BB104" s="3">
        <f t="shared" si="96"/>
        <v>18648.939412749929</v>
      </c>
      <c r="BC104" s="3">
        <f t="shared" si="83"/>
        <v>18651.966949250313</v>
      </c>
      <c r="BD104" s="3">
        <f t="shared" si="84"/>
        <v>37260</v>
      </c>
    </row>
    <row r="105" spans="3:56" x14ac:dyDescent="0.45">
      <c r="C105">
        <f t="shared" si="62"/>
        <v>93</v>
      </c>
      <c r="D105" s="2">
        <f t="shared" si="97"/>
        <v>648.30365566261992</v>
      </c>
      <c r="E105" s="2">
        <f t="shared" si="97"/>
        <v>3692.0179607631162</v>
      </c>
      <c r="F105" s="2">
        <f t="shared" si="97"/>
        <v>8417.9823228940404</v>
      </c>
      <c r="G105" s="2">
        <f t="shared" si="97"/>
        <v>13721.434858413662</v>
      </c>
      <c r="H105" s="2">
        <f t="shared" si="97"/>
        <v>19121.090225800479</v>
      </c>
      <c r="I105" s="2">
        <f t="shared" si="97"/>
        <v>24471.577787092221</v>
      </c>
      <c r="J105" s="2">
        <f t="shared" si="97"/>
        <v>29743.113412833405</v>
      </c>
      <c r="K105" s="2">
        <f t="shared" si="97"/>
        <v>34939.672464072006</v>
      </c>
      <c r="L105" s="2">
        <f t="shared" si="97"/>
        <v>40072.976393742261</v>
      </c>
      <c r="M105" s="2">
        <f t="shared" si="97"/>
        <v>45154.830183893886</v>
      </c>
      <c r="N105" s="2">
        <f t="shared" si="97"/>
        <v>50195.213575064045</v>
      </c>
      <c r="O105" s="2">
        <f t="shared" si="97"/>
        <v>55202.106898471902</v>
      </c>
      <c r="P105" s="2">
        <f t="shared" si="63"/>
        <v>43148.132107554215</v>
      </c>
      <c r="R105">
        <f t="shared" si="64"/>
        <v>93</v>
      </c>
      <c r="S105" s="2">
        <f t="shared" si="94"/>
        <v>46500</v>
      </c>
      <c r="T105" s="2">
        <f t="shared" si="94"/>
        <v>93000</v>
      </c>
      <c r="U105" s="2">
        <f t="shared" si="94"/>
        <v>139500</v>
      </c>
      <c r="V105" s="2">
        <f t="shared" si="94"/>
        <v>186000</v>
      </c>
      <c r="W105" s="2">
        <f t="shared" si="94"/>
        <v>232500</v>
      </c>
      <c r="X105" s="2">
        <f t="shared" si="94"/>
        <v>279000</v>
      </c>
      <c r="Y105" s="2">
        <f t="shared" si="94"/>
        <v>325500</v>
      </c>
      <c r="Z105" s="2">
        <f t="shared" si="94"/>
        <v>372000</v>
      </c>
      <c r="AA105" s="2">
        <f t="shared" ref="AA105:AE114" si="98">$R105*AA$12</f>
        <v>418500</v>
      </c>
      <c r="AB105" s="2">
        <f t="shared" si="98"/>
        <v>465000</v>
      </c>
      <c r="AC105" s="2">
        <f t="shared" si="98"/>
        <v>511500</v>
      </c>
      <c r="AD105" s="2">
        <f t="shared" si="98"/>
        <v>558000</v>
      </c>
      <c r="AE105" s="2">
        <f t="shared" si="98"/>
        <v>418500</v>
      </c>
      <c r="AG105">
        <f t="shared" si="66"/>
        <v>93</v>
      </c>
      <c r="AH105" s="6">
        <f t="shared" si="67"/>
        <v>1.3942014100271396E-2</v>
      </c>
      <c r="AI105" s="6">
        <f t="shared" si="68"/>
        <v>3.9699117857667915E-2</v>
      </c>
      <c r="AJ105" s="6">
        <f t="shared" si="69"/>
        <v>6.0343959303899929E-2</v>
      </c>
      <c r="AK105" s="6">
        <f t="shared" si="70"/>
        <v>7.3771155152761628E-2</v>
      </c>
      <c r="AL105" s="6">
        <f t="shared" si="71"/>
        <v>8.2241248283012811E-2</v>
      </c>
      <c r="AM105" s="6">
        <f t="shared" si="72"/>
        <v>8.7711748340832341E-2</v>
      </c>
      <c r="AN105" s="6">
        <f t="shared" si="73"/>
        <v>9.137669251254503E-2</v>
      </c>
      <c r="AO105" s="6">
        <f t="shared" si="74"/>
        <v>9.3923850709870985E-2</v>
      </c>
      <c r="AP105" s="6">
        <f t="shared" si="75"/>
        <v>9.5753826508344714E-2</v>
      </c>
      <c r="AQ105" s="6">
        <f t="shared" si="76"/>
        <v>9.7107161685793308E-2</v>
      </c>
      <c r="AR105" s="6">
        <f t="shared" si="77"/>
        <v>9.8133359873047984E-2</v>
      </c>
      <c r="AS105" s="6">
        <f t="shared" si="78"/>
        <v>9.8928506986508791E-2</v>
      </c>
      <c r="AT105" s="6">
        <f t="shared" si="79"/>
        <v>0.10310186883525499</v>
      </c>
      <c r="AW105" s="3">
        <f t="shared" si="88"/>
        <v>1860</v>
      </c>
      <c r="AX105" s="3">
        <f t="shared" si="85"/>
        <v>137</v>
      </c>
      <c r="AY105" s="3">
        <f t="shared" si="86"/>
        <v>254820</v>
      </c>
      <c r="AZ105" s="13">
        <f t="shared" si="87"/>
        <v>7.613946980253028E-2</v>
      </c>
      <c r="BA105" s="3">
        <f t="shared" si="95"/>
        <v>19401.859695080766</v>
      </c>
      <c r="BB105" s="3">
        <f t="shared" si="96"/>
        <v>19376.575184202811</v>
      </c>
      <c r="BC105" s="3">
        <f t="shared" si="83"/>
        <v>19341.955432334355</v>
      </c>
      <c r="BD105" s="3">
        <f t="shared" si="84"/>
        <v>38789.266666666663</v>
      </c>
    </row>
    <row r="106" spans="3:56" x14ac:dyDescent="0.45">
      <c r="C106">
        <f t="shared" si="62"/>
        <v>94</v>
      </c>
      <c r="D106" s="2">
        <f t="shared" si="97"/>
        <v>650.16014012238588</v>
      </c>
      <c r="E106" s="2">
        <f t="shared" si="97"/>
        <v>3722.28261107157</v>
      </c>
      <c r="F106" s="2">
        <f t="shared" si="97"/>
        <v>8523.3210606461707</v>
      </c>
      <c r="G106" s="2">
        <f t="shared" si="97"/>
        <v>13931.930615886242</v>
      </c>
      <c r="H106" s="2">
        <f t="shared" si="97"/>
        <v>19448.676123832149</v>
      </c>
      <c r="I106" s="2">
        <f t="shared" si="97"/>
        <v>24919.226967554594</v>
      </c>
      <c r="J106" s="2">
        <f t="shared" si="97"/>
        <v>30310.360129586239</v>
      </c>
      <c r="K106" s="2">
        <f t="shared" si="97"/>
        <v>35624.964669430781</v>
      </c>
      <c r="L106" s="2">
        <f t="shared" si="97"/>
        <v>40874.57103715586</v>
      </c>
      <c r="M106" s="2">
        <f t="shared" si="97"/>
        <v>46071.104137563998</v>
      </c>
      <c r="N106" s="2">
        <f t="shared" si="97"/>
        <v>51224.750628047375</v>
      </c>
      <c r="O106" s="2">
        <f t="shared" si="97"/>
        <v>56343.702528199618</v>
      </c>
      <c r="P106" s="2">
        <f t="shared" si="63"/>
        <v>44080.672453458654</v>
      </c>
      <c r="R106">
        <f t="shared" si="64"/>
        <v>94</v>
      </c>
      <c r="S106" s="2">
        <f t="shared" ref="S106:Z115" si="99">$R106*S$12</f>
        <v>47000</v>
      </c>
      <c r="T106" s="2">
        <f t="shared" si="99"/>
        <v>94000</v>
      </c>
      <c r="U106" s="2">
        <f t="shared" si="99"/>
        <v>141000</v>
      </c>
      <c r="V106" s="2">
        <f t="shared" si="99"/>
        <v>188000</v>
      </c>
      <c r="W106" s="2">
        <f t="shared" si="99"/>
        <v>235000</v>
      </c>
      <c r="X106" s="2">
        <f t="shared" si="99"/>
        <v>282000</v>
      </c>
      <c r="Y106" s="2">
        <f t="shared" si="99"/>
        <v>329000</v>
      </c>
      <c r="Z106" s="2">
        <f t="shared" si="99"/>
        <v>376000</v>
      </c>
      <c r="AA106" s="2">
        <f t="shared" si="98"/>
        <v>423000</v>
      </c>
      <c r="AB106" s="2">
        <f t="shared" si="98"/>
        <v>470000</v>
      </c>
      <c r="AC106" s="2">
        <f t="shared" si="98"/>
        <v>517000</v>
      </c>
      <c r="AD106" s="2">
        <f t="shared" si="98"/>
        <v>564000</v>
      </c>
      <c r="AE106" s="2">
        <f t="shared" si="98"/>
        <v>423000</v>
      </c>
      <c r="AG106">
        <f t="shared" si="66"/>
        <v>94</v>
      </c>
      <c r="AH106" s="6">
        <f t="shared" si="67"/>
        <v>1.3833194470689061E-2</v>
      </c>
      <c r="AI106" s="6">
        <f t="shared" si="68"/>
        <v>3.9598751181612449E-2</v>
      </c>
      <c r="AJ106" s="6">
        <f t="shared" si="69"/>
        <v>6.0449085536497665E-2</v>
      </c>
      <c r="AK106" s="6">
        <f t="shared" si="70"/>
        <v>7.4106013914288518E-2</v>
      </c>
      <c r="AL106" s="6">
        <f t="shared" si="71"/>
        <v>8.2760323931200627E-2</v>
      </c>
      <c r="AM106" s="6">
        <f t="shared" si="72"/>
        <v>8.8366053076434734E-2</v>
      </c>
      <c r="AN106" s="6">
        <f t="shared" si="73"/>
        <v>9.2128754193271239E-2</v>
      </c>
      <c r="AO106" s="6">
        <f t="shared" si="74"/>
        <v>9.4747246461252072E-2</v>
      </c>
      <c r="AP106" s="6">
        <f t="shared" si="75"/>
        <v>9.6630191577200611E-2</v>
      </c>
      <c r="AQ106" s="6">
        <f t="shared" si="76"/>
        <v>9.8023625824604249E-2</v>
      </c>
      <c r="AR106" s="6">
        <f t="shared" si="77"/>
        <v>9.9080755566822776E-2</v>
      </c>
      <c r="AS106" s="6">
        <f t="shared" si="78"/>
        <v>9.9900181787587972E-2</v>
      </c>
      <c r="AT106" s="6">
        <f t="shared" si="79"/>
        <v>0.10420962754954764</v>
      </c>
      <c r="AW106" s="3">
        <f t="shared" si="88"/>
        <v>1880</v>
      </c>
      <c r="AX106" s="3">
        <f t="shared" si="85"/>
        <v>138</v>
      </c>
      <c r="AY106" s="3">
        <f t="shared" si="86"/>
        <v>259440</v>
      </c>
      <c r="AZ106" s="13">
        <f t="shared" si="87"/>
        <v>7.6695228126821169E-2</v>
      </c>
      <c r="BA106" s="3">
        <f t="shared" si="95"/>
        <v>19897.809985222484</v>
      </c>
      <c r="BB106" s="3">
        <f t="shared" si="96"/>
        <v>19905.915411811457</v>
      </c>
      <c r="BC106" s="3">
        <f t="shared" si="83"/>
        <v>19904.450894945792</v>
      </c>
      <c r="BD106" s="3">
        <f t="shared" si="84"/>
        <v>39780.800000000003</v>
      </c>
    </row>
    <row r="107" spans="3:56" x14ac:dyDescent="0.45">
      <c r="C107">
        <f t="shared" si="62"/>
        <v>95</v>
      </c>
      <c r="D107" s="2">
        <f t="shared" si="97"/>
        <v>651.96847278584323</v>
      </c>
      <c r="E107" s="2">
        <f t="shared" si="97"/>
        <v>3752.0734041842934</v>
      </c>
      <c r="F107" s="2">
        <f t="shared" si="97"/>
        <v>8627.8950895760681</v>
      </c>
      <c r="G107" s="2">
        <f t="shared" si="97"/>
        <v>14142.064219387103</v>
      </c>
      <c r="H107" s="2">
        <f t="shared" si="97"/>
        <v>19776.853491787078</v>
      </c>
      <c r="I107" s="2">
        <f t="shared" si="97"/>
        <v>25368.709777204494</v>
      </c>
      <c r="J107" s="2">
        <f t="shared" si="97"/>
        <v>30880.804172582379</v>
      </c>
      <c r="K107" s="2">
        <f t="shared" si="97"/>
        <v>36314.85516724216</v>
      </c>
      <c r="L107" s="2">
        <f t="shared" si="97"/>
        <v>41682.163662554623</v>
      </c>
      <c r="M107" s="2">
        <f t="shared" si="97"/>
        <v>46994.758388401744</v>
      </c>
      <c r="N107" s="2">
        <f t="shared" si="97"/>
        <v>52263.027361333028</v>
      </c>
      <c r="O107" s="2">
        <f t="shared" si="97"/>
        <v>57495.373519102264</v>
      </c>
      <c r="P107" s="2">
        <f t="shared" si="63"/>
        <v>45023.17872445767</v>
      </c>
      <c r="R107">
        <f t="shared" si="64"/>
        <v>95</v>
      </c>
      <c r="S107" s="2">
        <f t="shared" si="99"/>
        <v>47500</v>
      </c>
      <c r="T107" s="2">
        <f t="shared" si="99"/>
        <v>95000</v>
      </c>
      <c r="U107" s="2">
        <f t="shared" si="99"/>
        <v>142500</v>
      </c>
      <c r="V107" s="2">
        <f t="shared" si="99"/>
        <v>190000</v>
      </c>
      <c r="W107" s="2">
        <f t="shared" si="99"/>
        <v>237500</v>
      </c>
      <c r="X107" s="2">
        <f t="shared" si="99"/>
        <v>285000</v>
      </c>
      <c r="Y107" s="2">
        <f t="shared" si="99"/>
        <v>332500</v>
      </c>
      <c r="Z107" s="2">
        <f t="shared" si="99"/>
        <v>380000</v>
      </c>
      <c r="AA107" s="2">
        <f t="shared" si="98"/>
        <v>427500</v>
      </c>
      <c r="AB107" s="2">
        <f t="shared" si="98"/>
        <v>475000</v>
      </c>
      <c r="AC107" s="2">
        <f t="shared" si="98"/>
        <v>522500</v>
      </c>
      <c r="AD107" s="2">
        <f t="shared" si="98"/>
        <v>570000</v>
      </c>
      <c r="AE107" s="2">
        <f t="shared" si="98"/>
        <v>427500</v>
      </c>
      <c r="AG107">
        <f t="shared" si="66"/>
        <v>95</v>
      </c>
      <c r="AH107" s="6">
        <f t="shared" si="67"/>
        <v>1.3725652058649332E-2</v>
      </c>
      <c r="AI107" s="6">
        <f t="shared" si="68"/>
        <v>3.9495509517729406E-2</v>
      </c>
      <c r="AJ107" s="6">
        <f t="shared" si="69"/>
        <v>6.0546632207551354E-2</v>
      </c>
      <c r="AK107" s="6">
        <f t="shared" si="70"/>
        <v>7.443191694414264E-2</v>
      </c>
      <c r="AL107" s="6">
        <f t="shared" si="71"/>
        <v>8.3270962070682436E-2</v>
      </c>
      <c r="AM107" s="6">
        <f t="shared" si="72"/>
        <v>8.9013016762121033E-2</v>
      </c>
      <c r="AN107" s="6">
        <f t="shared" si="73"/>
        <v>9.2874599015285345E-2</v>
      </c>
      <c r="AO107" s="6">
        <f t="shared" si="74"/>
        <v>9.5565408334847793E-2</v>
      </c>
      <c r="AP107" s="6">
        <f t="shared" si="75"/>
        <v>9.7502137222350002E-2</v>
      </c>
      <c r="AQ107" s="6">
        <f t="shared" si="76"/>
        <v>9.8936333449266833E-2</v>
      </c>
      <c r="AR107" s="6">
        <f t="shared" si="77"/>
        <v>0.10002493274896274</v>
      </c>
      <c r="AS107" s="6">
        <f t="shared" si="78"/>
        <v>0.10086907634930221</v>
      </c>
      <c r="AT107" s="6">
        <f t="shared" si="79"/>
        <v>0.10531737713323432</v>
      </c>
      <c r="AW107" s="3">
        <f t="shared" si="88"/>
        <v>1900</v>
      </c>
      <c r="AX107" s="3">
        <f t="shared" si="85"/>
        <v>140</v>
      </c>
      <c r="AY107" s="3">
        <f t="shared" si="86"/>
        <v>266000</v>
      </c>
      <c r="AZ107" s="13">
        <f t="shared" si="87"/>
        <v>7.7806744775402947E-2</v>
      </c>
      <c r="BA107" s="3">
        <f t="shared" si="95"/>
        <v>20696.594110257185</v>
      </c>
      <c r="BB107" s="3">
        <f t="shared" si="96"/>
        <v>20665.656468116464</v>
      </c>
      <c r="BC107" s="3">
        <f t="shared" si="83"/>
        <v>20624.749150758606</v>
      </c>
      <c r="BD107" s="3">
        <f t="shared" si="84"/>
        <v>41377.777777777781</v>
      </c>
    </row>
    <row r="108" spans="3:56" x14ac:dyDescent="0.45">
      <c r="C108">
        <f t="shared" si="62"/>
        <v>96</v>
      </c>
      <c r="D108" s="2">
        <f t="shared" si="97"/>
        <v>653.73021088435473</v>
      </c>
      <c r="E108" s="2">
        <f t="shared" si="97"/>
        <v>3781.3964948703665</v>
      </c>
      <c r="F108" s="2">
        <f t="shared" si="97"/>
        <v>8731.6953326456933</v>
      </c>
      <c r="G108" s="2">
        <f t="shared" si="97"/>
        <v>14351.801399845886</v>
      </c>
      <c r="H108" s="2">
        <f t="shared" si="97"/>
        <v>20105.568663149847</v>
      </c>
      <c r="I108" s="2">
        <f t="shared" si="97"/>
        <v>25819.961545231003</v>
      </c>
      <c r="J108" s="2">
        <f t="shared" si="97"/>
        <v>31454.37602609138</v>
      </c>
      <c r="K108" s="2">
        <f t="shared" si="97"/>
        <v>37009.273348856121</v>
      </c>
      <c r="L108" s="2">
        <f t="shared" si="97"/>
        <v>42495.684668810572</v>
      </c>
      <c r="M108" s="2">
        <f t="shared" si="97"/>
        <v>47925.725442950839</v>
      </c>
      <c r="N108" s="2">
        <f t="shared" si="97"/>
        <v>53309.978911072823</v>
      </c>
      <c r="O108" s="2">
        <f t="shared" si="97"/>
        <v>58657.05783219447</v>
      </c>
      <c r="P108" s="2">
        <f t="shared" si="63"/>
        <v>45975.650838841786</v>
      </c>
      <c r="R108">
        <f t="shared" si="64"/>
        <v>96</v>
      </c>
      <c r="S108" s="2">
        <f t="shared" si="99"/>
        <v>48000</v>
      </c>
      <c r="T108" s="2">
        <f t="shared" si="99"/>
        <v>96000</v>
      </c>
      <c r="U108" s="2">
        <f t="shared" si="99"/>
        <v>144000</v>
      </c>
      <c r="V108" s="2">
        <f t="shared" si="99"/>
        <v>192000</v>
      </c>
      <c r="W108" s="2">
        <f t="shared" si="99"/>
        <v>240000</v>
      </c>
      <c r="X108" s="2">
        <f t="shared" si="99"/>
        <v>288000</v>
      </c>
      <c r="Y108" s="2">
        <f t="shared" si="99"/>
        <v>336000</v>
      </c>
      <c r="Z108" s="2">
        <f t="shared" si="99"/>
        <v>384000</v>
      </c>
      <c r="AA108" s="2">
        <f t="shared" si="98"/>
        <v>432000</v>
      </c>
      <c r="AB108" s="2">
        <f t="shared" si="98"/>
        <v>480000</v>
      </c>
      <c r="AC108" s="2">
        <f t="shared" si="98"/>
        <v>528000</v>
      </c>
      <c r="AD108" s="2">
        <f t="shared" si="98"/>
        <v>576000</v>
      </c>
      <c r="AE108" s="2">
        <f t="shared" si="98"/>
        <v>432000</v>
      </c>
      <c r="AG108">
        <f t="shared" si="66"/>
        <v>96</v>
      </c>
      <c r="AH108" s="6">
        <f t="shared" si="67"/>
        <v>1.3619379393424056E-2</v>
      </c>
      <c r="AI108" s="6">
        <f t="shared" si="68"/>
        <v>3.9389546821566319E-2</v>
      </c>
      <c r="AJ108" s="6">
        <f t="shared" si="69"/>
        <v>6.0636773143372867E-2</v>
      </c>
      <c r="AK108" s="6">
        <f t="shared" si="70"/>
        <v>7.4748965624197319E-2</v>
      </c>
      <c r="AL108" s="6">
        <f t="shared" si="71"/>
        <v>8.377320276312436E-2</v>
      </c>
      <c r="AM108" s="6">
        <f t="shared" si="72"/>
        <v>8.9652644254274313E-2</v>
      </c>
      <c r="AN108" s="6">
        <f t="shared" si="73"/>
        <v>9.3614214363367199E-2</v>
      </c>
      <c r="AO108" s="6">
        <f t="shared" si="74"/>
        <v>9.6378316012646154E-2</v>
      </c>
      <c r="AP108" s="6">
        <f t="shared" si="75"/>
        <v>9.8369640437061506E-2</v>
      </c>
      <c r="AQ108" s="6">
        <f t="shared" si="76"/>
        <v>9.984526133948092E-2</v>
      </c>
      <c r="AR108" s="6">
        <f t="shared" si="77"/>
        <v>0.10096586914975914</v>
      </c>
      <c r="AS108" s="6">
        <f t="shared" si="78"/>
        <v>0.10183516984755984</v>
      </c>
      <c r="AT108" s="6">
        <f t="shared" si="79"/>
        <v>0.10642511768250414</v>
      </c>
      <c r="AW108" s="3">
        <f t="shared" si="88"/>
        <v>1920</v>
      </c>
      <c r="AX108" s="3">
        <f t="shared" si="85"/>
        <v>141</v>
      </c>
      <c r="AY108" s="3">
        <f t="shared" si="86"/>
        <v>270720</v>
      </c>
      <c r="AZ108" s="13">
        <f t="shared" si="87"/>
        <v>7.8362503099693837E-2</v>
      </c>
      <c r="BA108" s="3">
        <f t="shared" si="95"/>
        <v>21214.296839149116</v>
      </c>
      <c r="BB108" s="3">
        <f t="shared" si="96"/>
        <v>21218.137663349036</v>
      </c>
      <c r="BC108" s="3">
        <f t="shared" si="83"/>
        <v>21211.778367070317</v>
      </c>
      <c r="BD108" s="3">
        <f t="shared" si="84"/>
        <v>42412.800000000003</v>
      </c>
    </row>
    <row r="109" spans="3:56" x14ac:dyDescent="0.45">
      <c r="C109">
        <f t="shared" si="62"/>
        <v>97</v>
      </c>
      <c r="D109" s="2">
        <f t="shared" si="97"/>
        <v>655.44685361210827</v>
      </c>
      <c r="E109" s="2">
        <f t="shared" si="97"/>
        <v>3810.2581010408489</v>
      </c>
      <c r="F109" s="2">
        <f t="shared" si="97"/>
        <v>8834.7134638291991</v>
      </c>
      <c r="G109" s="2">
        <f t="shared" si="97"/>
        <v>14561.108882040982</v>
      </c>
      <c r="H109" s="2">
        <f t="shared" si="97"/>
        <v>20434.768767387151</v>
      </c>
      <c r="I109" s="2">
        <f t="shared" si="97"/>
        <v>26272.918082481396</v>
      </c>
      <c r="J109" s="2">
        <f t="shared" si="97"/>
        <v>32031.006376987993</v>
      </c>
      <c r="K109" s="2">
        <f t="shared" si="97"/>
        <v>37708.148598628468</v>
      </c>
      <c r="L109" s="2">
        <f t="shared" si="97"/>
        <v>43315.064301066108</v>
      </c>
      <c r="M109" s="2">
        <f t="shared" si="97"/>
        <v>48863.937555103657</v>
      </c>
      <c r="N109" s="2">
        <f t="shared" si="97"/>
        <v>54365.540095973018</v>
      </c>
      <c r="O109" s="2">
        <f t="shared" si="97"/>
        <v>59828.693069996385</v>
      </c>
      <c r="P109" s="2">
        <f t="shared" si="63"/>
        <v>46938.088715757876</v>
      </c>
      <c r="R109">
        <f t="shared" si="64"/>
        <v>97</v>
      </c>
      <c r="S109" s="2">
        <f t="shared" si="99"/>
        <v>48500</v>
      </c>
      <c r="T109" s="2">
        <f t="shared" si="99"/>
        <v>97000</v>
      </c>
      <c r="U109" s="2">
        <f t="shared" si="99"/>
        <v>145500</v>
      </c>
      <c r="V109" s="2">
        <f t="shared" si="99"/>
        <v>194000</v>
      </c>
      <c r="W109" s="2">
        <f t="shared" si="99"/>
        <v>242500</v>
      </c>
      <c r="X109" s="2">
        <f t="shared" si="99"/>
        <v>291000</v>
      </c>
      <c r="Y109" s="2">
        <f t="shared" si="99"/>
        <v>339500</v>
      </c>
      <c r="Z109" s="2">
        <f t="shared" si="99"/>
        <v>388000</v>
      </c>
      <c r="AA109" s="2">
        <f t="shared" si="98"/>
        <v>436500</v>
      </c>
      <c r="AB109" s="2">
        <f t="shared" si="98"/>
        <v>485000</v>
      </c>
      <c r="AC109" s="2">
        <f t="shared" si="98"/>
        <v>533500</v>
      </c>
      <c r="AD109" s="2">
        <f t="shared" si="98"/>
        <v>582000</v>
      </c>
      <c r="AE109" s="2">
        <f t="shared" si="98"/>
        <v>436500</v>
      </c>
      <c r="AG109">
        <f t="shared" si="66"/>
        <v>97</v>
      </c>
      <c r="AH109" s="6">
        <f t="shared" si="67"/>
        <v>1.3514368115713573E-2</v>
      </c>
      <c r="AI109" s="6">
        <f t="shared" si="68"/>
        <v>3.928101135093659E-2</v>
      </c>
      <c r="AJ109" s="6">
        <f t="shared" si="69"/>
        <v>6.0719680163774561E-2</v>
      </c>
      <c r="AK109" s="6">
        <f t="shared" si="70"/>
        <v>7.505726227856177E-2</v>
      </c>
      <c r="AL109" s="6">
        <f t="shared" si="71"/>
        <v>8.4267087700565568E-2</v>
      </c>
      <c r="AM109" s="6">
        <f t="shared" si="72"/>
        <v>9.0284941864197235E-2</v>
      </c>
      <c r="AN109" s="6">
        <f t="shared" si="73"/>
        <v>9.4347588739287169E-2</v>
      </c>
      <c r="AO109" s="6">
        <f t="shared" si="74"/>
        <v>9.7185949996465126E-2</v>
      </c>
      <c r="AP109" s="6">
        <f t="shared" si="75"/>
        <v>9.9232678811148015E-2</v>
      </c>
      <c r="AQ109" s="6">
        <f t="shared" si="76"/>
        <v>0.10075038671155394</v>
      </c>
      <c r="AR109" s="6">
        <f t="shared" si="77"/>
        <v>0.10190354282281727</v>
      </c>
      <c r="AS109" s="6">
        <f t="shared" si="78"/>
        <v>0.10279844170102471</v>
      </c>
      <c r="AT109" s="6">
        <f t="shared" si="79"/>
        <v>0.10753284929154153</v>
      </c>
      <c r="AW109" s="3">
        <f t="shared" si="88"/>
        <v>1940</v>
      </c>
      <c r="AX109" s="3">
        <f t="shared" si="85"/>
        <v>142</v>
      </c>
      <c r="AY109" s="3">
        <f t="shared" si="86"/>
        <v>275480</v>
      </c>
      <c r="AZ109" s="13">
        <f t="shared" si="87"/>
        <v>7.8918261423984726E-2</v>
      </c>
      <c r="BA109" s="3">
        <f t="shared" si="95"/>
        <v>21740.402657079314</v>
      </c>
      <c r="BB109" s="3">
        <f t="shared" si="96"/>
        <v>21780.199940112434</v>
      </c>
      <c r="BC109" s="3">
        <f t="shared" si="83"/>
        <v>21809.443971058121</v>
      </c>
      <c r="BD109" s="3">
        <f t="shared" si="84"/>
        <v>43464.62222222222</v>
      </c>
    </row>
    <row r="110" spans="3:56" x14ac:dyDescent="0.45">
      <c r="C110">
        <f t="shared" si="62"/>
        <v>98</v>
      </c>
      <c r="D110" s="2">
        <f t="shared" si="97"/>
        <v>657.11984444892767</v>
      </c>
      <c r="E110" s="2">
        <f t="shared" si="97"/>
        <v>3838.6644914380395</v>
      </c>
      <c r="F110" s="2">
        <f t="shared" si="97"/>
        <v>8936.9418827872269</v>
      </c>
      <c r="G110" s="2">
        <f t="shared" si="97"/>
        <v>14769.954375505395</v>
      </c>
      <c r="H110" s="2">
        <f t="shared" si="97"/>
        <v>20764.401736808235</v>
      </c>
      <c r="I110" s="2">
        <f t="shared" si="97"/>
        <v>26727.515695624006</v>
      </c>
      <c r="J110" s="2">
        <f t="shared" si="97"/>
        <v>32610.626130508233</v>
      </c>
      <c r="K110" s="2">
        <f t="shared" si="97"/>
        <v>38411.410308711791</v>
      </c>
      <c r="L110" s="2">
        <f t="shared" si="97"/>
        <v>44140.232663705472</v>
      </c>
      <c r="M110" s="2">
        <f t="shared" si="97"/>
        <v>49809.326737147669</v>
      </c>
      <c r="N110" s="2">
        <f t="shared" si="97"/>
        <v>55429.645426591364</v>
      </c>
      <c r="O110" s="2">
        <f t="shared" si="97"/>
        <v>61010.216484334895</v>
      </c>
      <c r="P110" s="2">
        <f t="shared" si="63"/>
        <v>47910.492275191376</v>
      </c>
      <c r="R110">
        <f t="shared" si="64"/>
        <v>98</v>
      </c>
      <c r="S110" s="2">
        <f t="shared" si="99"/>
        <v>49000</v>
      </c>
      <c r="T110" s="2">
        <f t="shared" si="99"/>
        <v>98000</v>
      </c>
      <c r="U110" s="2">
        <f t="shared" si="99"/>
        <v>147000</v>
      </c>
      <c r="V110" s="2">
        <f t="shared" si="99"/>
        <v>196000</v>
      </c>
      <c r="W110" s="2">
        <f t="shared" si="99"/>
        <v>245000</v>
      </c>
      <c r="X110" s="2">
        <f t="shared" si="99"/>
        <v>294000</v>
      </c>
      <c r="Y110" s="2">
        <f t="shared" si="99"/>
        <v>343000</v>
      </c>
      <c r="Z110" s="2">
        <f t="shared" si="99"/>
        <v>392000</v>
      </c>
      <c r="AA110" s="2">
        <f t="shared" si="98"/>
        <v>441000</v>
      </c>
      <c r="AB110" s="2">
        <f t="shared" si="98"/>
        <v>490000</v>
      </c>
      <c r="AC110" s="2">
        <f t="shared" si="98"/>
        <v>539000</v>
      </c>
      <c r="AD110" s="2">
        <f t="shared" si="98"/>
        <v>588000</v>
      </c>
      <c r="AE110" s="2">
        <f t="shared" si="98"/>
        <v>441000</v>
      </c>
      <c r="AG110">
        <f t="shared" si="66"/>
        <v>98</v>
      </c>
      <c r="AH110" s="6">
        <f t="shared" si="67"/>
        <v>1.3410609070386279E-2</v>
      </c>
      <c r="AI110" s="6">
        <f t="shared" si="68"/>
        <v>3.9170045831000401E-2</v>
      </c>
      <c r="AJ110" s="6">
        <f t="shared" si="69"/>
        <v>6.0795523012158008E-2</v>
      </c>
      <c r="AK110" s="6">
        <f t="shared" si="70"/>
        <v>7.5356910079109163E-2</v>
      </c>
      <c r="AL110" s="6">
        <f t="shared" si="71"/>
        <v>8.4752660150237691E-2</v>
      </c>
      <c r="AM110" s="6">
        <f t="shared" si="72"/>
        <v>9.0909917332054446E-2</v>
      </c>
      <c r="AN110" s="6">
        <f t="shared" si="73"/>
        <v>9.5074711750752869E-2</v>
      </c>
      <c r="AO110" s="6">
        <f t="shared" si="74"/>
        <v>9.7988291603856609E-2</v>
      </c>
      <c r="AP110" s="6">
        <f t="shared" si="75"/>
        <v>0.10009123052994438</v>
      </c>
      <c r="AQ110" s="6">
        <f t="shared" si="76"/>
        <v>0.10165168721866871</v>
      </c>
      <c r="AR110" s="6">
        <f t="shared" si="77"/>
        <v>0.10283793214580958</v>
      </c>
      <c r="AS110" s="6">
        <f t="shared" si="78"/>
        <v>0.10375887157199812</v>
      </c>
      <c r="AT110" s="6">
        <f t="shared" si="79"/>
        <v>0.10864057205258816</v>
      </c>
      <c r="AW110" s="3">
        <f t="shared" si="88"/>
        <v>1960</v>
      </c>
      <c r="AX110" s="3">
        <f t="shared" si="85"/>
        <v>144</v>
      </c>
      <c r="AY110" s="3">
        <f t="shared" si="86"/>
        <v>282240</v>
      </c>
      <c r="AZ110" s="13">
        <f t="shared" si="87"/>
        <v>8.0029778072566504E-2</v>
      </c>
      <c r="BA110" s="3">
        <f t="shared" si="95"/>
        <v>22587.60456320117</v>
      </c>
      <c r="BB110" s="3">
        <f t="shared" si="96"/>
        <v>22586.7942588062</v>
      </c>
      <c r="BC110" s="3">
        <f t="shared" si="83"/>
        <v>22575.124409415355</v>
      </c>
      <c r="BD110" s="3">
        <f t="shared" si="84"/>
        <v>45158.400000000001</v>
      </c>
    </row>
    <row r="111" spans="3:56" x14ac:dyDescent="0.45">
      <c r="C111">
        <f t="shared" si="62"/>
        <v>99</v>
      </c>
      <c r="D111" s="2">
        <f t="shared" si="97"/>
        <v>658.75057339299667</v>
      </c>
      <c r="E111" s="2">
        <f t="shared" si="97"/>
        <v>3866.6219741575951</v>
      </c>
      <c r="F111" s="2">
        <f t="shared" si="97"/>
        <v>9038.3736898786756</v>
      </c>
      <c r="G111" s="2">
        <f t="shared" si="97"/>
        <v>14978.306564825069</v>
      </c>
      <c r="H111" s="2">
        <f t="shared" si="97"/>
        <v>21094.416312690395</v>
      </c>
      <c r="I111" s="2">
        <f t="shared" si="97"/>
        <v>27183.691200776662</v>
      </c>
      <c r="J111" s="2">
        <f t="shared" si="97"/>
        <v>33193.16642568</v>
      </c>
      <c r="K111" s="2">
        <f t="shared" si="97"/>
        <v>39118.987893666679</v>
      </c>
      <c r="L111" s="2">
        <f t="shared" si="97"/>
        <v>44971.119733236214</v>
      </c>
      <c r="M111" s="2">
        <f t="shared" si="97"/>
        <v>50761.824770774074</v>
      </c>
      <c r="N111" s="2">
        <f t="shared" si="97"/>
        <v>56502.229114625734</v>
      </c>
      <c r="O111" s="2">
        <f t="shared" si="97"/>
        <v>62201.56498415245</v>
      </c>
      <c r="P111" s="2">
        <f t="shared" si="63"/>
        <v>48892.86143794893</v>
      </c>
      <c r="R111">
        <f t="shared" si="64"/>
        <v>99</v>
      </c>
      <c r="S111" s="2">
        <f t="shared" si="99"/>
        <v>49500</v>
      </c>
      <c r="T111" s="2">
        <f t="shared" si="99"/>
        <v>99000</v>
      </c>
      <c r="U111" s="2">
        <f t="shared" si="99"/>
        <v>148500</v>
      </c>
      <c r="V111" s="2">
        <f t="shared" si="99"/>
        <v>198000</v>
      </c>
      <c r="W111" s="2">
        <f t="shared" si="99"/>
        <v>247500</v>
      </c>
      <c r="X111" s="2">
        <f t="shared" si="99"/>
        <v>297000</v>
      </c>
      <c r="Y111" s="2">
        <f t="shared" si="99"/>
        <v>346500</v>
      </c>
      <c r="Z111" s="2">
        <f t="shared" si="99"/>
        <v>396000</v>
      </c>
      <c r="AA111" s="2">
        <f t="shared" si="98"/>
        <v>445500</v>
      </c>
      <c r="AB111" s="2">
        <f t="shared" si="98"/>
        <v>495000</v>
      </c>
      <c r="AC111" s="2">
        <f t="shared" si="98"/>
        <v>544500</v>
      </c>
      <c r="AD111" s="2">
        <f t="shared" si="98"/>
        <v>594000</v>
      </c>
      <c r="AE111" s="2">
        <f t="shared" si="98"/>
        <v>445500</v>
      </c>
      <c r="AG111">
        <f t="shared" si="66"/>
        <v>99</v>
      </c>
      <c r="AH111" s="6">
        <f t="shared" si="67"/>
        <v>1.330809239177771E-2</v>
      </c>
      <c r="AI111" s="6">
        <f t="shared" si="68"/>
        <v>3.9056787617753483E-2</v>
      </c>
      <c r="AJ111" s="6">
        <f t="shared" si="69"/>
        <v>6.086446929211229E-2</v>
      </c>
      <c r="AK111" s="6">
        <f t="shared" si="70"/>
        <v>7.5648012953661956E-2</v>
      </c>
      <c r="AL111" s="6">
        <f t="shared" si="71"/>
        <v>8.5229964899759175E-2</v>
      </c>
      <c r="AM111" s="6">
        <f t="shared" si="72"/>
        <v>9.1527579800594824E-2</v>
      </c>
      <c r="AN111" s="6">
        <f t="shared" si="73"/>
        <v>9.5795574100086572E-2</v>
      </c>
      <c r="AO111" s="6">
        <f t="shared" si="74"/>
        <v>9.8785322963804739E-2</v>
      </c>
      <c r="AP111" s="6">
        <f t="shared" si="75"/>
        <v>0.10094527437314527</v>
      </c>
      <c r="AQ111" s="6">
        <f t="shared" si="76"/>
        <v>0.10254914095105873</v>
      </c>
      <c r="AR111" s="6">
        <f t="shared" si="77"/>
        <v>0.10376901582116756</v>
      </c>
      <c r="AS111" s="6">
        <f t="shared" si="78"/>
        <v>0.10471643936726002</v>
      </c>
      <c r="AT111" s="6">
        <f t="shared" si="79"/>
        <v>0.10974828605600209</v>
      </c>
      <c r="AW111" s="3">
        <f t="shared" si="88"/>
        <v>1980</v>
      </c>
      <c r="AX111" s="3">
        <f t="shared" si="85"/>
        <v>145</v>
      </c>
      <c r="AY111" s="3">
        <f t="shared" si="86"/>
        <v>287100</v>
      </c>
      <c r="AZ111" s="13">
        <f t="shared" si="87"/>
        <v>8.0585536396857393E-2</v>
      </c>
      <c r="BA111" s="3">
        <f t="shared" si="95"/>
        <v>23136.107499537757</v>
      </c>
      <c r="BB111" s="3">
        <f t="shared" si="96"/>
        <v>23172.694681272267</v>
      </c>
      <c r="BC111" s="3">
        <f t="shared" si="83"/>
        <v>23198.071650238282</v>
      </c>
      <c r="BD111" s="3">
        <f t="shared" si="84"/>
        <v>46255</v>
      </c>
    </row>
    <row r="112" spans="3:56" x14ac:dyDescent="0.45">
      <c r="C112">
        <f t="shared" si="62"/>
        <v>100</v>
      </c>
      <c r="D112" s="2">
        <f t="shared" si="97"/>
        <v>660.34037910595816</v>
      </c>
      <c r="E112" s="2">
        <f t="shared" si="97"/>
        <v>3894.1368859617628</v>
      </c>
      <c r="F112" s="2">
        <f t="shared" si="97"/>
        <v>9139.0026615367424</v>
      </c>
      <c r="G112" s="2">
        <f t="shared" si="97"/>
        <v>15186.135099368619</v>
      </c>
      <c r="H112" s="2">
        <f t="shared" si="97"/>
        <v>21424.762050686375</v>
      </c>
      <c r="I112" s="2">
        <f t="shared" si="97"/>
        <v>27641.381936603237</v>
      </c>
      <c r="J112" s="2">
        <f t="shared" si="97"/>
        <v>33778.558650425453</v>
      </c>
      <c r="K112" s="2">
        <f t="shared" si="97"/>
        <v>39830.81080488937</v>
      </c>
      <c r="L112" s="2">
        <f t="shared" si="97"/>
        <v>45807.655371077068</v>
      </c>
      <c r="M112" s="2">
        <f t="shared" si="97"/>
        <v>51721.363218045743</v>
      </c>
      <c r="N112" s="2">
        <f t="shared" si="97"/>
        <v>57583.22508219209</v>
      </c>
      <c r="O112" s="2">
        <f t="shared" si="97"/>
        <v>63402.6751433217</v>
      </c>
      <c r="P112" s="2">
        <f t="shared" si="63"/>
        <v>49885.196125642178</v>
      </c>
      <c r="R112">
        <f t="shared" si="64"/>
        <v>100</v>
      </c>
      <c r="S112" s="2">
        <f t="shared" si="99"/>
        <v>50000</v>
      </c>
      <c r="T112" s="2">
        <f t="shared" si="99"/>
        <v>100000</v>
      </c>
      <c r="U112" s="2">
        <f t="shared" si="99"/>
        <v>150000</v>
      </c>
      <c r="V112" s="2">
        <f t="shared" si="99"/>
        <v>200000</v>
      </c>
      <c r="W112" s="2">
        <f t="shared" si="99"/>
        <v>250000</v>
      </c>
      <c r="X112" s="2">
        <f t="shared" si="99"/>
        <v>300000</v>
      </c>
      <c r="Y112" s="2">
        <f t="shared" si="99"/>
        <v>350000</v>
      </c>
      <c r="Z112" s="2">
        <f t="shared" si="99"/>
        <v>400000</v>
      </c>
      <c r="AA112" s="2">
        <f t="shared" si="98"/>
        <v>450000</v>
      </c>
      <c r="AB112" s="2">
        <f t="shared" si="98"/>
        <v>500000</v>
      </c>
      <c r="AC112" s="2">
        <f t="shared" si="98"/>
        <v>550000</v>
      </c>
      <c r="AD112" s="2">
        <f t="shared" si="98"/>
        <v>600000</v>
      </c>
      <c r="AE112" s="2">
        <f t="shared" si="98"/>
        <v>450000</v>
      </c>
      <c r="AG112">
        <f t="shared" si="66"/>
        <v>100</v>
      </c>
      <c r="AH112" s="6">
        <f t="shared" si="67"/>
        <v>1.3206807582119163E-2</v>
      </c>
      <c r="AI112" s="6">
        <f t="shared" si="68"/>
        <v>3.8941368859617631E-2</v>
      </c>
      <c r="AJ112" s="6">
        <f t="shared" si="69"/>
        <v>6.0926684410244951E-2</v>
      </c>
      <c r="AK112" s="6">
        <f t="shared" si="70"/>
        <v>7.5930675496843097E-2</v>
      </c>
      <c r="AL112" s="6">
        <f t="shared" si="71"/>
        <v>8.5699048202745501E-2</v>
      </c>
      <c r="AM112" s="6">
        <f t="shared" si="72"/>
        <v>9.2137939788677459E-2</v>
      </c>
      <c r="AN112" s="6">
        <f t="shared" si="73"/>
        <v>9.6510167572644148E-2</v>
      </c>
      <c r="AO112" s="6">
        <f t="shared" si="74"/>
        <v>9.9577027012223429E-2</v>
      </c>
      <c r="AP112" s="6">
        <f t="shared" si="75"/>
        <v>0.1017947897135046</v>
      </c>
      <c r="AQ112" s="6">
        <f t="shared" si="76"/>
        <v>0.10344272643609148</v>
      </c>
      <c r="AR112" s="6">
        <f t="shared" si="77"/>
        <v>0.10469677287671289</v>
      </c>
      <c r="AS112" s="6">
        <f t="shared" si="78"/>
        <v>0.1056711252388695</v>
      </c>
      <c r="AT112" s="6">
        <f t="shared" si="79"/>
        <v>0.11085599139031595</v>
      </c>
      <c r="AW112" s="3">
        <f t="shared" si="88"/>
        <v>2000</v>
      </c>
      <c r="AX112" s="3">
        <f t="shared" si="85"/>
        <v>147</v>
      </c>
      <c r="AY112" s="3">
        <f t="shared" si="86"/>
        <v>294000</v>
      </c>
      <c r="AZ112" s="13">
        <f t="shared" si="87"/>
        <v>8.1697053045439186E-2</v>
      </c>
      <c r="BA112" s="3">
        <f t="shared" si="95"/>
        <v>24018.933595359122</v>
      </c>
      <c r="BB112" s="3">
        <f t="shared" si="96"/>
        <v>24013.073289626547</v>
      </c>
      <c r="BC112" s="3">
        <f t="shared" si="83"/>
        <v>23995.664065777273</v>
      </c>
      <c r="BD112" s="3">
        <f t="shared" si="84"/>
        <v>48020</v>
      </c>
    </row>
    <row r="113" spans="3:56" x14ac:dyDescent="0.45">
      <c r="C113">
        <f t="shared" si="62"/>
        <v>101</v>
      </c>
      <c r="D113" s="2">
        <f t="shared" ref="D113:O122" si="100">$C$7*BL_MBPS*BL_KM^2*D$12^3*$C113^2/((EM_KM*D$12)^2+(2*PI()*AVG_SUN_DIST_KM*$C113)^2)</f>
        <v>661.89055097294602</v>
      </c>
      <c r="E113" s="2">
        <f t="shared" si="100"/>
        <v>3921.2155823432472</v>
      </c>
      <c r="F113" s="2">
        <f t="shared" si="100"/>
        <v>9238.8232260332989</v>
      </c>
      <c r="G113" s="2">
        <f t="shared" si="100"/>
        <v>15393.410582486425</v>
      </c>
      <c r="H113" s="2">
        <f t="shared" si="100"/>
        <v>21755.389325530698</v>
      </c>
      <c r="I113" s="2">
        <f t="shared" si="100"/>
        <v>28100.525776881383</v>
      </c>
      <c r="J113" s="2">
        <f t="shared" si="100"/>
        <v>34366.734456332837</v>
      </c>
      <c r="K113" s="2">
        <f t="shared" si="100"/>
        <v>40546.808544852312</v>
      </c>
      <c r="L113" s="2">
        <f t="shared" si="100"/>
        <v>46649.769336248952</v>
      </c>
      <c r="M113" s="2">
        <f t="shared" si="100"/>
        <v>52687.873432321576</v>
      </c>
      <c r="N113" s="2">
        <f t="shared" si="100"/>
        <v>58672.566971089538</v>
      </c>
      <c r="O113" s="2">
        <f t="shared" si="100"/>
        <v>64613.483208464371</v>
      </c>
      <c r="P113" s="2">
        <f t="shared" si="63"/>
        <v>50887.496260670974</v>
      </c>
      <c r="R113">
        <f t="shared" si="64"/>
        <v>101</v>
      </c>
      <c r="S113" s="2">
        <f t="shared" si="99"/>
        <v>50500</v>
      </c>
      <c r="T113" s="2">
        <f t="shared" si="99"/>
        <v>101000</v>
      </c>
      <c r="U113" s="2">
        <f t="shared" si="99"/>
        <v>151500</v>
      </c>
      <c r="V113" s="2">
        <f t="shared" si="99"/>
        <v>202000</v>
      </c>
      <c r="W113" s="2">
        <f t="shared" si="99"/>
        <v>252500</v>
      </c>
      <c r="X113" s="2">
        <f t="shared" si="99"/>
        <v>303000</v>
      </c>
      <c r="Y113" s="2">
        <f t="shared" si="99"/>
        <v>353500</v>
      </c>
      <c r="Z113" s="2">
        <f t="shared" si="99"/>
        <v>404000</v>
      </c>
      <c r="AA113" s="2">
        <f t="shared" si="98"/>
        <v>454500</v>
      </c>
      <c r="AB113" s="2">
        <f t="shared" si="98"/>
        <v>505000</v>
      </c>
      <c r="AC113" s="2">
        <f t="shared" si="98"/>
        <v>555500</v>
      </c>
      <c r="AD113" s="2">
        <f t="shared" si="98"/>
        <v>606000</v>
      </c>
      <c r="AE113" s="2">
        <f t="shared" si="98"/>
        <v>454500</v>
      </c>
      <c r="AG113">
        <f t="shared" si="66"/>
        <v>101</v>
      </c>
      <c r="AH113" s="6">
        <f t="shared" si="67"/>
        <v>1.3106743583622694E-2</v>
      </c>
      <c r="AI113" s="6">
        <f t="shared" si="68"/>
        <v>3.8823916656863834E-2</v>
      </c>
      <c r="AJ113" s="6">
        <f t="shared" si="69"/>
        <v>6.0982331524972268E-2</v>
      </c>
      <c r="AK113" s="6">
        <f t="shared" si="70"/>
        <v>7.6205002883596162E-2</v>
      </c>
      <c r="AL113" s="6">
        <f t="shared" si="71"/>
        <v>8.6159957724874045E-2</v>
      </c>
      <c r="AM113" s="6">
        <f t="shared" si="72"/>
        <v>9.2741009164625021E-2</v>
      </c>
      <c r="AN113" s="6">
        <f t="shared" si="73"/>
        <v>9.7218485024986812E-2</v>
      </c>
      <c r="AO113" s="6">
        <f t="shared" si="74"/>
        <v>0.1003633874872582</v>
      </c>
      <c r="AP113" s="6">
        <f t="shared" si="75"/>
        <v>0.10263975651539924</v>
      </c>
      <c r="AQ113" s="6">
        <f t="shared" si="76"/>
        <v>0.10433242263826055</v>
      </c>
      <c r="AR113" s="6">
        <f t="shared" si="77"/>
        <v>0.10562118266622779</v>
      </c>
      <c r="AS113" s="6">
        <f t="shared" si="78"/>
        <v>0.10662290958492471</v>
      </c>
      <c r="AT113" s="6">
        <f t="shared" si="79"/>
        <v>0.11196368814229037</v>
      </c>
      <c r="AW113" s="3">
        <f t="shared" si="88"/>
        <v>2020</v>
      </c>
      <c r="AX113" s="3">
        <f t="shared" si="85"/>
        <v>148</v>
      </c>
      <c r="AY113" s="3">
        <f t="shared" si="86"/>
        <v>298960</v>
      </c>
      <c r="AZ113" s="13">
        <f t="shared" si="87"/>
        <v>8.2252811369730075E-2</v>
      </c>
      <c r="BA113" s="3">
        <f t="shared" si="95"/>
        <v>24590.300487094504</v>
      </c>
      <c r="BB113" s="3">
        <f t="shared" si="96"/>
        <v>24623.306895964881</v>
      </c>
      <c r="BC113" s="3">
        <f t="shared" si="83"/>
        <v>24644.416543458243</v>
      </c>
      <c r="BD113" s="3">
        <f t="shared" si="84"/>
        <v>49162.311111111114</v>
      </c>
    </row>
    <row r="114" spans="3:56" x14ac:dyDescent="0.45">
      <c r="C114">
        <f t="shared" si="62"/>
        <v>102</v>
      </c>
      <c r="D114" s="2">
        <f t="shared" si="100"/>
        <v>663.40233108016776</v>
      </c>
      <c r="E114" s="2">
        <f t="shared" si="100"/>
        <v>3947.8644283006279</v>
      </c>
      <c r="F114" s="2">
        <f t="shared" si="100"/>
        <v>9337.8304396529511</v>
      </c>
      <c r="G114" s="2">
        <f t="shared" si="100"/>
        <v>15600.104560216154</v>
      </c>
      <c r="H114" s="2">
        <f t="shared" si="100"/>
        <v>22086.249335062574</v>
      </c>
      <c r="I114" s="2">
        <f t="shared" si="100"/>
        <v>28561.061142544771</v>
      </c>
      <c r="J114" s="2">
        <f t="shared" si="100"/>
        <v>34957.625773095438</v>
      </c>
      <c r="K114" s="2">
        <f t="shared" si="100"/>
        <v>41266.910681153851</v>
      </c>
      <c r="L114" s="2">
        <f t="shared" si="100"/>
        <v>47497.391297965514</v>
      </c>
      <c r="M114" s="2">
        <f t="shared" si="100"/>
        <v>53661.286569134849</v>
      </c>
      <c r="N114" s="2">
        <f t="shared" si="100"/>
        <v>59770.188152050621</v>
      </c>
      <c r="O114" s="2">
        <f t="shared" si="100"/>
        <v>65833.925106772687</v>
      </c>
      <c r="P114" s="2">
        <f t="shared" si="63"/>
        <v>51899.761766207877</v>
      </c>
      <c r="R114">
        <f t="shared" si="64"/>
        <v>102</v>
      </c>
      <c r="S114" s="2">
        <f t="shared" si="99"/>
        <v>51000</v>
      </c>
      <c r="T114" s="2">
        <f t="shared" si="99"/>
        <v>102000</v>
      </c>
      <c r="U114" s="2">
        <f t="shared" si="99"/>
        <v>153000</v>
      </c>
      <c r="V114" s="2">
        <f t="shared" si="99"/>
        <v>204000</v>
      </c>
      <c r="W114" s="2">
        <f t="shared" si="99"/>
        <v>255000</v>
      </c>
      <c r="X114" s="2">
        <f t="shared" si="99"/>
        <v>306000</v>
      </c>
      <c r="Y114" s="2">
        <f t="shared" si="99"/>
        <v>357000</v>
      </c>
      <c r="Z114" s="2">
        <f t="shared" si="99"/>
        <v>408000</v>
      </c>
      <c r="AA114" s="2">
        <f t="shared" si="98"/>
        <v>459000</v>
      </c>
      <c r="AB114" s="2">
        <f t="shared" si="98"/>
        <v>510000</v>
      </c>
      <c r="AC114" s="2">
        <f t="shared" si="98"/>
        <v>561000</v>
      </c>
      <c r="AD114" s="2">
        <f t="shared" si="98"/>
        <v>612000</v>
      </c>
      <c r="AE114" s="2">
        <f t="shared" si="98"/>
        <v>459000</v>
      </c>
      <c r="AG114">
        <f t="shared" si="66"/>
        <v>102</v>
      </c>
      <c r="AH114" s="6">
        <f t="shared" si="67"/>
        <v>1.3007888844709171E-2</v>
      </c>
      <c r="AI114" s="6">
        <f t="shared" si="68"/>
        <v>3.8704553218633607E-2</v>
      </c>
      <c r="AJ114" s="6">
        <f t="shared" si="69"/>
        <v>6.1031571500999679E-2</v>
      </c>
      <c r="AK114" s="6">
        <f t="shared" si="70"/>
        <v>7.6471100785373308E-2</v>
      </c>
      <c r="AL114" s="6">
        <f t="shared" si="71"/>
        <v>8.6612742490441472E-2</v>
      </c>
      <c r="AM114" s="6">
        <f t="shared" si="72"/>
        <v>9.3336801119427354E-2</v>
      </c>
      <c r="AN114" s="6">
        <f t="shared" si="73"/>
        <v>9.7920520372816358E-2</v>
      </c>
      <c r="AO114" s="6">
        <f t="shared" si="74"/>
        <v>0.1011443889243967</v>
      </c>
      <c r="AP114" s="6">
        <f t="shared" si="75"/>
        <v>0.1034801553332582</v>
      </c>
      <c r="AQ114" s="6">
        <f t="shared" si="76"/>
        <v>0.10521820895908794</v>
      </c>
      <c r="AR114" s="6">
        <f t="shared" si="77"/>
        <v>0.10654222486996545</v>
      </c>
      <c r="AS114" s="6">
        <f t="shared" si="78"/>
        <v>0.10757177305028216</v>
      </c>
      <c r="AT114" s="6">
        <f t="shared" si="79"/>
        <v>0.11307137639696706</v>
      </c>
      <c r="AW114" s="3">
        <f t="shared" si="88"/>
        <v>2040</v>
      </c>
      <c r="AX114" s="3">
        <f t="shared" si="85"/>
        <v>150</v>
      </c>
      <c r="AY114" s="3">
        <f t="shared" si="86"/>
        <v>306000</v>
      </c>
      <c r="AZ114" s="13">
        <f t="shared" si="87"/>
        <v>8.3364328018311853E-2</v>
      </c>
      <c r="BA114" s="3">
        <f t="shared" si="95"/>
        <v>25509.484373603427</v>
      </c>
      <c r="BB114" s="3">
        <f t="shared" si="96"/>
        <v>25498.162847254633</v>
      </c>
      <c r="BC114" s="3">
        <f t="shared" si="83"/>
        <v>25474.572379956899</v>
      </c>
      <c r="BD114" s="3">
        <f t="shared" si="84"/>
        <v>51000</v>
      </c>
    </row>
    <row r="115" spans="3:56" x14ac:dyDescent="0.45">
      <c r="C115">
        <f t="shared" si="62"/>
        <v>103</v>
      </c>
      <c r="D115" s="2">
        <f t="shared" si="100"/>
        <v>664.87691611269508</v>
      </c>
      <c r="E115" s="2">
        <f t="shared" si="100"/>
        <v>3974.0897897875857</v>
      </c>
      <c r="F115" s="2">
        <f t="shared" si="100"/>
        <v>9436.0199632957447</v>
      </c>
      <c r="G115" s="2">
        <f t="shared" si="100"/>
        <v>15806.189509530797</v>
      </c>
      <c r="H115" s="2">
        <f t="shared" si="100"/>
        <v>22417.294103582793</v>
      </c>
      <c r="I115" s="2">
        <f t="shared" si="100"/>
        <v>29022.927013203724</v>
      </c>
      <c r="J115" s="2">
        <f t="shared" si="100"/>
        <v>35551.164822615981</v>
      </c>
      <c r="K115" s="2">
        <f t="shared" si="100"/>
        <v>41991.046860373986</v>
      </c>
      <c r="L115" s="2">
        <f t="shared" si="100"/>
        <v>48350.450848120177</v>
      </c>
      <c r="M115" s="2">
        <f t="shared" si="100"/>
        <v>54641.533597022302</v>
      </c>
      <c r="N115" s="2">
        <f t="shared" si="100"/>
        <v>60876.021733974281</v>
      </c>
      <c r="O115" s="2">
        <f t="shared" si="100"/>
        <v>67063.936453831833</v>
      </c>
      <c r="P115" s="2">
        <f t="shared" si="63"/>
        <v>52921.992566183217</v>
      </c>
      <c r="R115">
        <f t="shared" si="64"/>
        <v>103</v>
      </c>
      <c r="S115" s="2">
        <f t="shared" si="99"/>
        <v>51500</v>
      </c>
      <c r="T115" s="2">
        <f t="shared" si="99"/>
        <v>103000</v>
      </c>
      <c r="U115" s="2">
        <f t="shared" si="99"/>
        <v>154500</v>
      </c>
      <c r="V115" s="2">
        <f t="shared" si="99"/>
        <v>206000</v>
      </c>
      <c r="W115" s="2">
        <f t="shared" si="99"/>
        <v>257500</v>
      </c>
      <c r="X115" s="2">
        <f t="shared" si="99"/>
        <v>309000</v>
      </c>
      <c r="Y115" s="2">
        <f t="shared" si="99"/>
        <v>360500</v>
      </c>
      <c r="Z115" s="2">
        <f t="shared" si="99"/>
        <v>412000</v>
      </c>
      <c r="AA115" s="2">
        <f t="shared" ref="AA115:AE129" si="101">$R115*AA$12</f>
        <v>463500</v>
      </c>
      <c r="AB115" s="2">
        <f t="shared" si="101"/>
        <v>515000</v>
      </c>
      <c r="AC115" s="2">
        <f t="shared" si="101"/>
        <v>566500</v>
      </c>
      <c r="AD115" s="2">
        <f t="shared" si="101"/>
        <v>618000</v>
      </c>
      <c r="AE115" s="2">
        <f t="shared" si="101"/>
        <v>463500</v>
      </c>
      <c r="AG115">
        <f t="shared" si="66"/>
        <v>103</v>
      </c>
      <c r="AH115" s="6">
        <f t="shared" si="67"/>
        <v>1.2910231380829031E-2</v>
      </c>
      <c r="AI115" s="6">
        <f t="shared" si="68"/>
        <v>3.85833960173552E-2</v>
      </c>
      <c r="AJ115" s="6">
        <f t="shared" si="69"/>
        <v>6.1074562869228119E-2</v>
      </c>
      <c r="AK115" s="6">
        <f t="shared" si="70"/>
        <v>7.6729075288984455E-2</v>
      </c>
      <c r="AL115" s="6">
        <f t="shared" si="71"/>
        <v>8.705745282944774E-2</v>
      </c>
      <c r="AM115" s="6">
        <f t="shared" si="72"/>
        <v>9.3925330139817881E-2</v>
      </c>
      <c r="AN115" s="6">
        <f t="shared" si="73"/>
        <v>9.8616268578685107E-2</v>
      </c>
      <c r="AO115" s="6">
        <f t="shared" si="74"/>
        <v>0.10192001665139318</v>
      </c>
      <c r="AP115" s="6">
        <f t="shared" si="75"/>
        <v>0.10431596730986015</v>
      </c>
      <c r="AQ115" s="6">
        <f t="shared" si="76"/>
        <v>0.10610006523693651</v>
      </c>
      <c r="AR115" s="6">
        <f t="shared" si="77"/>
        <v>0.10745987949510023</v>
      </c>
      <c r="AS115" s="6">
        <f t="shared" si="78"/>
        <v>0.10851769652723597</v>
      </c>
      <c r="AT115" s="6">
        <f t="shared" si="79"/>
        <v>0.11417905623772</v>
      </c>
      <c r="AW115" s="3">
        <f t="shared" si="88"/>
        <v>2060</v>
      </c>
      <c r="AX115" s="3">
        <f t="shared" si="85"/>
        <v>151</v>
      </c>
      <c r="AY115" s="3">
        <f t="shared" si="86"/>
        <v>311060</v>
      </c>
      <c r="AZ115" s="13">
        <f t="shared" si="87"/>
        <v>8.3920086342602743E-2</v>
      </c>
      <c r="BA115" s="3">
        <f t="shared" si="95"/>
        <v>26104.18205773001</v>
      </c>
      <c r="BB115" s="3">
        <f t="shared" si="96"/>
        <v>26133.224675630579</v>
      </c>
      <c r="BC115" s="3">
        <f t="shared" si="83"/>
        <v>26149.6536944779</v>
      </c>
      <c r="BD115" s="3">
        <f t="shared" si="84"/>
        <v>52188.955555555556</v>
      </c>
    </row>
    <row r="116" spans="3:56" x14ac:dyDescent="0.45">
      <c r="C116">
        <f t="shared" si="62"/>
        <v>104</v>
      </c>
      <c r="D116" s="2">
        <f t="shared" si="100"/>
        <v>666.31545917514109</v>
      </c>
      <c r="E116" s="2">
        <f t="shared" si="100"/>
        <v>3999.8980257996254</v>
      </c>
      <c r="F116" s="2">
        <f t="shared" si="100"/>
        <v>9533.3880395249744</v>
      </c>
      <c r="G116" s="2">
        <f t="shared" si="100"/>
        <v>16011.63882616433</v>
      </c>
      <c r="H116" s="2">
        <f t="shared" si="100"/>
        <v>22748.476484562718</v>
      </c>
      <c r="I116" s="2">
        <f t="shared" si="100"/>
        <v>29486.062938148385</v>
      </c>
      <c r="J116" s="2">
        <f t="shared" si="100"/>
        <v>36147.284132774686</v>
      </c>
      <c r="K116" s="2">
        <f t="shared" si="100"/>
        <v>42719.146821732764</v>
      </c>
      <c r="L116" s="2">
        <f t="shared" si="100"/>
        <v>49208.877513666499</v>
      </c>
      <c r="M116" s="2">
        <f t="shared" si="100"/>
        <v>55628.545308302047</v>
      </c>
      <c r="N116" s="2">
        <f t="shared" si="100"/>
        <v>61990.000573139863</v>
      </c>
      <c r="O116" s="2">
        <f t="shared" si="100"/>
        <v>68303.452561441649</v>
      </c>
      <c r="P116" s="2">
        <f t="shared" si="63"/>
        <v>53954.188585269978</v>
      </c>
      <c r="R116">
        <f t="shared" si="64"/>
        <v>104</v>
      </c>
      <c r="S116" s="2">
        <f t="shared" ref="S116:Z125" si="102">$R116*S$12</f>
        <v>52000</v>
      </c>
      <c r="T116" s="2">
        <f t="shared" si="102"/>
        <v>104000</v>
      </c>
      <c r="U116" s="2">
        <f t="shared" si="102"/>
        <v>156000</v>
      </c>
      <c r="V116" s="2">
        <f t="shared" si="102"/>
        <v>208000</v>
      </c>
      <c r="W116" s="2">
        <f t="shared" si="102"/>
        <v>260000</v>
      </c>
      <c r="X116" s="2">
        <f t="shared" si="102"/>
        <v>312000</v>
      </c>
      <c r="Y116" s="2">
        <f t="shared" si="102"/>
        <v>364000</v>
      </c>
      <c r="Z116" s="2">
        <f t="shared" si="102"/>
        <v>416000</v>
      </c>
      <c r="AA116" s="2">
        <f t="shared" si="101"/>
        <v>468000</v>
      </c>
      <c r="AB116" s="2">
        <f t="shared" si="101"/>
        <v>520000</v>
      </c>
      <c r="AC116" s="2">
        <f t="shared" si="101"/>
        <v>572000</v>
      </c>
      <c r="AD116" s="2">
        <f t="shared" si="101"/>
        <v>624000</v>
      </c>
      <c r="AE116" s="2">
        <f t="shared" si="101"/>
        <v>468000</v>
      </c>
      <c r="AG116">
        <f t="shared" si="66"/>
        <v>104</v>
      </c>
      <c r="AH116" s="6">
        <f t="shared" si="67"/>
        <v>1.2813758830291174E-2</v>
      </c>
      <c r="AI116" s="6">
        <f t="shared" si="68"/>
        <v>3.8460557940381015E-2</v>
      </c>
      <c r="AJ116" s="6">
        <f t="shared" si="69"/>
        <v>6.1111461791826756E-2</v>
      </c>
      <c r="AK116" s="6">
        <f t="shared" si="70"/>
        <v>7.6979032818097745E-2</v>
      </c>
      <c r="AL116" s="6">
        <f t="shared" si="71"/>
        <v>8.7494140325241221E-2</v>
      </c>
      <c r="AM116" s="6">
        <f t="shared" si="72"/>
        <v>9.4506611981244826E-2</v>
      </c>
      <c r="AN116" s="6">
        <f t="shared" si="73"/>
        <v>9.9305725639490902E-2</v>
      </c>
      <c r="AO116" s="6">
        <f t="shared" si="74"/>
        <v>0.10269025678301145</v>
      </c>
      <c r="AP116" s="6">
        <f t="shared" si="75"/>
        <v>0.10514717417450106</v>
      </c>
      <c r="AQ116" s="6">
        <f t="shared" si="76"/>
        <v>0.10697797174673471</v>
      </c>
      <c r="AR116" s="6">
        <f t="shared" si="77"/>
        <v>0.10837412687611864</v>
      </c>
      <c r="AS116" s="6">
        <f t="shared" si="78"/>
        <v>0.10946066115615649</v>
      </c>
      <c r="AT116" s="6">
        <f t="shared" si="79"/>
        <v>0.11528672774630337</v>
      </c>
      <c r="AW116" s="3">
        <f t="shared" si="88"/>
        <v>2080</v>
      </c>
      <c r="AX116" s="3">
        <f t="shared" si="85"/>
        <v>153</v>
      </c>
      <c r="AY116" s="3">
        <f t="shared" si="86"/>
        <v>318240</v>
      </c>
      <c r="AZ116" s="13">
        <f t="shared" si="87"/>
        <v>8.5031602991184521E-2</v>
      </c>
      <c r="BA116" s="3">
        <f t="shared" si="95"/>
        <v>27060.457335914562</v>
      </c>
      <c r="BB116" s="3">
        <f t="shared" si="96"/>
        <v>27043.251023134955</v>
      </c>
      <c r="BC116" s="3">
        <f t="shared" si="83"/>
        <v>27013.024395759032</v>
      </c>
      <c r="BD116" s="3">
        <f t="shared" si="84"/>
        <v>54100.800000000003</v>
      </c>
    </row>
    <row r="117" spans="3:56" x14ac:dyDescent="0.45">
      <c r="C117">
        <f t="shared" si="62"/>
        <v>105</v>
      </c>
      <c r="D117" s="2">
        <f t="shared" si="100"/>
        <v>667.71907153790096</v>
      </c>
      <c r="E117" s="2">
        <f t="shared" si="100"/>
        <v>4025.2954810633678</v>
      </c>
      <c r="F117" s="2">
        <f t="shared" si="100"/>
        <v>9629.9314700744999</v>
      </c>
      <c r="G117" s="2">
        <f t="shared" si="100"/>
        <v>16216.426812049111</v>
      </c>
      <c r="H117" s="2">
        <f t="shared" si="100"/>
        <v>23079.75016272319</v>
      </c>
      <c r="I117" s="2">
        <f t="shared" si="100"/>
        <v>29950.40904683917</v>
      </c>
      <c r="J117" s="2">
        <f t="shared" si="100"/>
        <v>36745.91655085994</v>
      </c>
      <c r="K117" s="2">
        <f t="shared" si="100"/>
        <v>43451.140410548498</v>
      </c>
      <c r="L117" s="2">
        <f t="shared" si="100"/>
        <v>50072.600768888675</v>
      </c>
      <c r="M117" s="2">
        <f t="shared" si="100"/>
        <v>56622.252329796909</v>
      </c>
      <c r="N117" s="2">
        <f t="shared" si="100"/>
        <v>63112.057282399786</v>
      </c>
      <c r="O117" s="2">
        <f t="shared" si="100"/>
        <v>69552.408445436187</v>
      </c>
      <c r="P117" s="2">
        <f t="shared" si="63"/>
        <v>54996.34974886939</v>
      </c>
      <c r="R117">
        <f t="shared" si="64"/>
        <v>105</v>
      </c>
      <c r="S117" s="2">
        <f t="shared" si="102"/>
        <v>52500</v>
      </c>
      <c r="T117" s="2">
        <f t="shared" si="102"/>
        <v>105000</v>
      </c>
      <c r="U117" s="2">
        <f t="shared" si="102"/>
        <v>157500</v>
      </c>
      <c r="V117" s="2">
        <f t="shared" si="102"/>
        <v>210000</v>
      </c>
      <c r="W117" s="2">
        <f t="shared" si="102"/>
        <v>262500</v>
      </c>
      <c r="X117" s="2">
        <f t="shared" si="102"/>
        <v>315000</v>
      </c>
      <c r="Y117" s="2">
        <f t="shared" si="102"/>
        <v>367500</v>
      </c>
      <c r="Z117" s="2">
        <f t="shared" si="102"/>
        <v>420000</v>
      </c>
      <c r="AA117" s="2">
        <f t="shared" si="101"/>
        <v>472500</v>
      </c>
      <c r="AB117" s="2">
        <f t="shared" si="101"/>
        <v>525000</v>
      </c>
      <c r="AC117" s="2">
        <f t="shared" si="101"/>
        <v>577500</v>
      </c>
      <c r="AD117" s="2">
        <f t="shared" si="101"/>
        <v>630000</v>
      </c>
      <c r="AE117" s="2">
        <f t="shared" si="101"/>
        <v>472500</v>
      </c>
      <c r="AG117">
        <f t="shared" si="66"/>
        <v>105</v>
      </c>
      <c r="AH117" s="6">
        <f t="shared" si="67"/>
        <v>1.2718458505483829E-2</v>
      </c>
      <c r="AI117" s="6">
        <f t="shared" si="68"/>
        <v>3.8336147438698738E-2</v>
      </c>
      <c r="AJ117" s="6">
        <f t="shared" si="69"/>
        <v>6.1142422032219049E-2</v>
      </c>
      <c r="AK117" s="6">
        <f t="shared" si="70"/>
        <v>7.7221080057376712E-2</v>
      </c>
      <c r="AL117" s="6">
        <f t="shared" si="71"/>
        <v>8.7922857762755005E-2</v>
      </c>
      <c r="AM117" s="6">
        <f t="shared" si="72"/>
        <v>9.5080663640759275E-2</v>
      </c>
      <c r="AN117" s="6">
        <f t="shared" si="73"/>
        <v>9.9988888573768545E-2</v>
      </c>
      <c r="AO117" s="6">
        <f t="shared" si="74"/>
        <v>0.10345509621559167</v>
      </c>
      <c r="AP117" s="6">
        <f t="shared" si="75"/>
        <v>0.10597375824103424</v>
      </c>
      <c r="AQ117" s="6">
        <f t="shared" si="76"/>
        <v>0.10785190919961316</v>
      </c>
      <c r="AR117" s="6">
        <f t="shared" si="77"/>
        <v>0.10928494767515115</v>
      </c>
      <c r="AS117" s="6">
        <f t="shared" si="78"/>
        <v>0.11040064832608919</v>
      </c>
      <c r="AT117" s="6">
        <f t="shared" si="79"/>
        <v>0.11639439100289818</v>
      </c>
      <c r="AW117" s="3">
        <f t="shared" si="88"/>
        <v>2100</v>
      </c>
      <c r="AX117" s="3">
        <f t="shared" si="85"/>
        <v>154</v>
      </c>
      <c r="AY117" s="3">
        <f t="shared" si="86"/>
        <v>323400</v>
      </c>
      <c r="AZ117" s="13">
        <f t="shared" si="87"/>
        <v>8.558736131547541E-2</v>
      </c>
      <c r="BA117" s="3">
        <f t="shared" si="95"/>
        <v>27678.952649424748</v>
      </c>
      <c r="BB117" s="3">
        <f t="shared" si="96"/>
        <v>27703.636111710599</v>
      </c>
      <c r="BC117" s="3">
        <f t="shared" si="83"/>
        <v>27714.958147064292</v>
      </c>
      <c r="BD117" s="3">
        <f t="shared" si="84"/>
        <v>55337.333333333336</v>
      </c>
    </row>
    <row r="118" spans="3:56" x14ac:dyDescent="0.45">
      <c r="C118">
        <f t="shared" si="62"/>
        <v>106</v>
      </c>
      <c r="D118" s="2">
        <f t="shared" si="100"/>
        <v>669.08882431161157</v>
      </c>
      <c r="E118" s="2">
        <f t="shared" si="100"/>
        <v>4050.2884792948653</v>
      </c>
      <c r="F118" s="2">
        <f t="shared" si="100"/>
        <v>9725.6475938276853</v>
      </c>
      <c r="G118" s="2">
        <f t="shared" si="100"/>
        <v>16420.52866239801</v>
      </c>
      <c r="H118" s="2">
        <f t="shared" si="100"/>
        <v>23411.069655501709</v>
      </c>
      <c r="I118" s="2">
        <f t="shared" si="100"/>
        <v>30415.906058889181</v>
      </c>
      <c r="J118" s="2">
        <f t="shared" si="100"/>
        <v>37346.995256660244</v>
      </c>
      <c r="K118" s="2">
        <f t="shared" si="100"/>
        <v>44186.957591492828</v>
      </c>
      <c r="L118" s="2">
        <f t="shared" si="100"/>
        <v>50941.550047559416</v>
      </c>
      <c r="M118" s="2">
        <f t="shared" si="100"/>
        <v>57622.585133501372</v>
      </c>
      <c r="N118" s="2">
        <f t="shared" si="100"/>
        <v>64242.124240349011</v>
      </c>
      <c r="O118" s="2">
        <f t="shared" si="100"/>
        <v>70810.73883349949</v>
      </c>
      <c r="P118" s="2">
        <f t="shared" si="63"/>
        <v>56048.475983097429</v>
      </c>
      <c r="R118">
        <f t="shared" si="64"/>
        <v>106</v>
      </c>
      <c r="S118" s="2">
        <f t="shared" si="102"/>
        <v>53000</v>
      </c>
      <c r="T118" s="2">
        <f t="shared" si="102"/>
        <v>106000</v>
      </c>
      <c r="U118" s="2">
        <f t="shared" si="102"/>
        <v>159000</v>
      </c>
      <c r="V118" s="2">
        <f t="shared" si="102"/>
        <v>212000</v>
      </c>
      <c r="W118" s="2">
        <f t="shared" si="102"/>
        <v>265000</v>
      </c>
      <c r="X118" s="2">
        <f t="shared" si="102"/>
        <v>318000</v>
      </c>
      <c r="Y118" s="2">
        <f t="shared" si="102"/>
        <v>371000</v>
      </c>
      <c r="Z118" s="2">
        <f t="shared" si="102"/>
        <v>424000</v>
      </c>
      <c r="AA118" s="2">
        <f t="shared" si="101"/>
        <v>477000</v>
      </c>
      <c r="AB118" s="2">
        <f t="shared" si="101"/>
        <v>530000</v>
      </c>
      <c r="AC118" s="2">
        <f t="shared" si="101"/>
        <v>583000</v>
      </c>
      <c r="AD118" s="2">
        <f t="shared" si="101"/>
        <v>636000</v>
      </c>
      <c r="AE118" s="2">
        <f t="shared" si="101"/>
        <v>477000</v>
      </c>
      <c r="AG118">
        <f t="shared" si="66"/>
        <v>106</v>
      </c>
      <c r="AH118" s="6">
        <f t="shared" si="67"/>
        <v>1.2624317439841728E-2</v>
      </c>
      <c r="AI118" s="6">
        <f t="shared" si="68"/>
        <v>3.821026867259307E-2</v>
      </c>
      <c r="AJ118" s="6">
        <f t="shared" si="69"/>
        <v>6.1167594929733872E-2</v>
      </c>
      <c r="AK118" s="6">
        <f t="shared" si="70"/>
        <v>7.7455323879235899E-2</v>
      </c>
      <c r="AL118" s="6">
        <f t="shared" si="71"/>
        <v>8.8343659077364939E-2</v>
      </c>
      <c r="AM118" s="6">
        <f t="shared" si="72"/>
        <v>9.5647503329840192E-2</v>
      </c>
      <c r="AN118" s="6">
        <f t="shared" si="73"/>
        <v>0.10066575540878772</v>
      </c>
      <c r="AO118" s="6">
        <f t="shared" si="74"/>
        <v>0.10421452262144534</v>
      </c>
      <c r="AP118" s="6">
        <f t="shared" si="75"/>
        <v>0.10679570240578494</v>
      </c>
      <c r="AQ118" s="6">
        <f t="shared" si="76"/>
        <v>0.10872185874245542</v>
      </c>
      <c r="AR118" s="6">
        <f t="shared" si="77"/>
        <v>0.1101923228822453</v>
      </c>
      <c r="AS118" s="6">
        <f t="shared" si="78"/>
        <v>0.11133763967531367</v>
      </c>
      <c r="AT118" s="6">
        <f t="shared" si="79"/>
        <v>0.11750204608615814</v>
      </c>
      <c r="AW118" s="3">
        <f t="shared" si="88"/>
        <v>2120</v>
      </c>
      <c r="AX118" s="3">
        <f t="shared" si="85"/>
        <v>156</v>
      </c>
      <c r="AY118" s="3">
        <f t="shared" si="86"/>
        <v>330720</v>
      </c>
      <c r="AZ118" s="13">
        <f t="shared" si="87"/>
        <v>8.6698877964057189E-2</v>
      </c>
      <c r="BA118" s="3">
        <f t="shared" si="95"/>
        <v>28673.052920272992</v>
      </c>
      <c r="BB118" s="3">
        <f t="shared" si="96"/>
        <v>28649.525908712487</v>
      </c>
      <c r="BC118" s="3">
        <f t="shared" si="83"/>
        <v>28612.195156992111</v>
      </c>
      <c r="BD118" s="3">
        <f t="shared" si="84"/>
        <v>57324.800000000003</v>
      </c>
    </row>
    <row r="119" spans="3:56" x14ac:dyDescent="0.45">
      <c r="C119">
        <f t="shared" si="62"/>
        <v>107</v>
      </c>
      <c r="D119" s="2">
        <f t="shared" si="100"/>
        <v>670.42575005246624</v>
      </c>
      <c r="E119" s="2">
        <f t="shared" si="100"/>
        <v>4074.8833169948275</v>
      </c>
      <c r="F119" s="2">
        <f t="shared" si="100"/>
        <v>9820.5342652782583</v>
      </c>
      <c r="G119" s="2">
        <f t="shared" si="100"/>
        <v>16623.920452463299</v>
      </c>
      <c r="H119" s="2">
        <f t="shared" si="100"/>
        <v>23742.390313925996</v>
      </c>
      <c r="I119" s="2">
        <f t="shared" si="100"/>
        <v>30882.495293544096</v>
      </c>
      <c r="J119" s="2">
        <f t="shared" si="100"/>
        <v>37950.453775217014</v>
      </c>
      <c r="K119" s="2">
        <f t="shared" si="100"/>
        <v>44926.52846163998</v>
      </c>
      <c r="L119" s="2">
        <f t="shared" si="100"/>
        <v>51815.654754982046</v>
      </c>
      <c r="M119" s="2">
        <f t="shared" si="100"/>
        <v>58629.474047189076</v>
      </c>
      <c r="N119" s="2">
        <f t="shared" si="100"/>
        <v>65380.133600469126</v>
      </c>
      <c r="O119" s="2">
        <f t="shared" si="100"/>
        <v>72078.378172975703</v>
      </c>
      <c r="P119" s="2">
        <f t="shared" si="63"/>
        <v>57110.567214770599</v>
      </c>
      <c r="R119">
        <f t="shared" si="64"/>
        <v>107</v>
      </c>
      <c r="S119" s="2">
        <f t="shared" si="102"/>
        <v>53500</v>
      </c>
      <c r="T119" s="2">
        <f t="shared" si="102"/>
        <v>107000</v>
      </c>
      <c r="U119" s="2">
        <f t="shared" si="102"/>
        <v>160500</v>
      </c>
      <c r="V119" s="2">
        <f t="shared" si="102"/>
        <v>214000</v>
      </c>
      <c r="W119" s="2">
        <f t="shared" si="102"/>
        <v>267500</v>
      </c>
      <c r="X119" s="2">
        <f t="shared" si="102"/>
        <v>321000</v>
      </c>
      <c r="Y119" s="2">
        <f t="shared" si="102"/>
        <v>374500</v>
      </c>
      <c r="Z119" s="2">
        <f t="shared" si="102"/>
        <v>428000</v>
      </c>
      <c r="AA119" s="2">
        <f t="shared" si="101"/>
        <v>481500</v>
      </c>
      <c r="AB119" s="2">
        <f t="shared" si="101"/>
        <v>535000</v>
      </c>
      <c r="AC119" s="2">
        <f t="shared" si="101"/>
        <v>588500</v>
      </c>
      <c r="AD119" s="2">
        <f t="shared" si="101"/>
        <v>642000</v>
      </c>
      <c r="AE119" s="2">
        <f t="shared" si="101"/>
        <v>481500</v>
      </c>
      <c r="AG119">
        <f t="shared" si="66"/>
        <v>107</v>
      </c>
      <c r="AH119" s="6">
        <f t="shared" si="67"/>
        <v>1.2531322430887219E-2</v>
      </c>
      <c r="AI119" s="6">
        <f t="shared" si="68"/>
        <v>3.8083021654157265E-2</v>
      </c>
      <c r="AJ119" s="6">
        <f t="shared" si="69"/>
        <v>6.1187129378680739E-2</v>
      </c>
      <c r="AK119" s="6">
        <f t="shared" si="70"/>
        <v>7.7681871273192982E-2</v>
      </c>
      <c r="AL119" s="6">
        <f t="shared" si="71"/>
        <v>8.875659930439625E-2</v>
      </c>
      <c r="AM119" s="6">
        <f t="shared" si="72"/>
        <v>9.6207150447177869E-2</v>
      </c>
      <c r="AN119" s="6">
        <f t="shared" si="73"/>
        <v>0.10133632516746867</v>
      </c>
      <c r="AO119" s="6">
        <f t="shared" si="74"/>
        <v>0.10496852444308406</v>
      </c>
      <c r="AP119" s="6">
        <f t="shared" si="75"/>
        <v>0.10761299014534173</v>
      </c>
      <c r="AQ119" s="6">
        <f t="shared" si="76"/>
        <v>0.10958780195736276</v>
      </c>
      <c r="AR119" s="6">
        <f t="shared" si="77"/>
        <v>0.11109623381558051</v>
      </c>
      <c r="AS119" s="6">
        <f t="shared" si="78"/>
        <v>0.11227161709186247</v>
      </c>
      <c r="AT119" s="6">
        <f t="shared" si="79"/>
        <v>0.1186096930732515</v>
      </c>
      <c r="AW119" s="3">
        <f t="shared" si="88"/>
        <v>2140</v>
      </c>
      <c r="AX119" s="3">
        <f t="shared" si="85"/>
        <v>157</v>
      </c>
      <c r="AY119" s="3">
        <f t="shared" si="86"/>
        <v>335980</v>
      </c>
      <c r="AZ119" s="13">
        <f t="shared" si="87"/>
        <v>8.7254636288348078E-2</v>
      </c>
      <c r="BA119" s="3">
        <f t="shared" si="95"/>
        <v>29315.812700159186</v>
      </c>
      <c r="BB119" s="3">
        <f t="shared" si="96"/>
        <v>29335.72929564659</v>
      </c>
      <c r="BC119" s="3">
        <f t="shared" si="83"/>
        <v>29341.504944990967</v>
      </c>
      <c r="BD119" s="3">
        <f t="shared" si="84"/>
        <v>58609.844444444447</v>
      </c>
    </row>
    <row r="120" spans="3:56" x14ac:dyDescent="0.45">
      <c r="C120">
        <f t="shared" si="62"/>
        <v>108</v>
      </c>
      <c r="D120" s="2">
        <f t="shared" si="100"/>
        <v>671.73084430097492</v>
      </c>
      <c r="E120" s="2">
        <f t="shared" si="100"/>
        <v>4099.0862577499702</v>
      </c>
      <c r="F120" s="2">
        <f t="shared" si="100"/>
        <v>9914.5898334814428</v>
      </c>
      <c r="G120" s="2">
        <f t="shared" si="100"/>
        <v>16826.579124003332</v>
      </c>
      <c r="H120" s="2">
        <f t="shared" si="100"/>
        <v>24073.668322912374</v>
      </c>
      <c r="I120" s="2">
        <f t="shared" si="100"/>
        <v>31350.118678665007</v>
      </c>
      <c r="J120" s="2">
        <f t="shared" si="100"/>
        <v>38556.225989237348</v>
      </c>
      <c r="K120" s="2">
        <f t="shared" si="100"/>
        <v>45669.783263307763</v>
      </c>
      <c r="L120" s="2">
        <f t="shared" si="100"/>
        <v>52694.844279914272</v>
      </c>
      <c r="M120" s="2">
        <f t="shared" si="100"/>
        <v>59642.849264958735</v>
      </c>
      <c r="N120" s="2">
        <f t="shared" si="100"/>
        <v>66526.017300245294</v>
      </c>
      <c r="O120" s="2">
        <f t="shared" si="100"/>
        <v>73355.260638672626</v>
      </c>
      <c r="P120" s="2">
        <f t="shared" si="63"/>
        <v>58182.623371393624</v>
      </c>
      <c r="R120">
        <f t="shared" si="64"/>
        <v>108</v>
      </c>
      <c r="S120" s="2">
        <f t="shared" si="102"/>
        <v>54000</v>
      </c>
      <c r="T120" s="2">
        <f t="shared" si="102"/>
        <v>108000</v>
      </c>
      <c r="U120" s="2">
        <f t="shared" si="102"/>
        <v>162000</v>
      </c>
      <c r="V120" s="2">
        <f t="shared" si="102"/>
        <v>216000</v>
      </c>
      <c r="W120" s="2">
        <f t="shared" si="102"/>
        <v>270000</v>
      </c>
      <c r="X120" s="2">
        <f t="shared" si="102"/>
        <v>324000</v>
      </c>
      <c r="Y120" s="2">
        <f t="shared" si="102"/>
        <v>378000</v>
      </c>
      <c r="Z120" s="2">
        <f t="shared" si="102"/>
        <v>432000</v>
      </c>
      <c r="AA120" s="2">
        <f t="shared" si="101"/>
        <v>486000</v>
      </c>
      <c r="AB120" s="2">
        <f t="shared" si="101"/>
        <v>540000</v>
      </c>
      <c r="AC120" s="2">
        <f t="shared" si="101"/>
        <v>594000</v>
      </c>
      <c r="AD120" s="2">
        <f t="shared" si="101"/>
        <v>648000</v>
      </c>
      <c r="AE120" s="2">
        <f t="shared" si="101"/>
        <v>486000</v>
      </c>
      <c r="AG120">
        <f t="shared" si="66"/>
        <v>108</v>
      </c>
      <c r="AH120" s="6">
        <f t="shared" si="67"/>
        <v>1.2439460079647684E-2</v>
      </c>
      <c r="AI120" s="6">
        <f t="shared" si="68"/>
        <v>3.7954502386573795E-2</v>
      </c>
      <c r="AJ120" s="6">
        <f t="shared" si="69"/>
        <v>6.1201171811613844E-2</v>
      </c>
      <c r="AK120" s="6">
        <f t="shared" si="70"/>
        <v>7.790082927779321E-2</v>
      </c>
      <c r="AL120" s="6">
        <f t="shared" si="71"/>
        <v>8.9161734529305092E-2</v>
      </c>
      <c r="AM120" s="6">
        <f t="shared" si="72"/>
        <v>9.6759625551435205E-2</v>
      </c>
      <c r="AN120" s="6">
        <f t="shared" si="73"/>
        <v>0.10200059785512526</v>
      </c>
      <c r="AO120" s="6">
        <f t="shared" si="74"/>
        <v>0.10571709088728649</v>
      </c>
      <c r="AP120" s="6">
        <f t="shared" si="75"/>
        <v>0.10842560551422689</v>
      </c>
      <c r="AQ120" s="6">
        <f t="shared" si="76"/>
        <v>0.11044972086103469</v>
      </c>
      <c r="AR120" s="6">
        <f t="shared" si="77"/>
        <v>0.11199666212162507</v>
      </c>
      <c r="AS120" s="6">
        <f t="shared" si="78"/>
        <v>0.11320256271400096</v>
      </c>
      <c r="AT120" s="6">
        <f t="shared" si="79"/>
        <v>0.11971733203990458</v>
      </c>
      <c r="AW120" s="3">
        <f t="shared" si="88"/>
        <v>2160</v>
      </c>
      <c r="AX120" s="3">
        <f t="shared" si="85"/>
        <v>159</v>
      </c>
      <c r="AY120" s="3">
        <f t="shared" si="86"/>
        <v>343440</v>
      </c>
      <c r="AZ120" s="13">
        <f t="shared" si="87"/>
        <v>8.836615293692987E-2</v>
      </c>
      <c r="BA120" s="3">
        <f t="shared" si="95"/>
        <v>30348.471564659194</v>
      </c>
      <c r="BB120" s="3">
        <f t="shared" si="96"/>
        <v>30318.175595432629</v>
      </c>
      <c r="BC120" s="3">
        <f t="shared" si="83"/>
        <v>30273.259707467834</v>
      </c>
      <c r="BD120" s="3">
        <f t="shared" si="84"/>
        <v>60674.400000000001</v>
      </c>
    </row>
    <row r="121" spans="3:56" x14ac:dyDescent="0.45">
      <c r="C121">
        <f t="shared" si="62"/>
        <v>109</v>
      </c>
      <c r="D121" s="2">
        <f t="shared" si="100"/>
        <v>673.00506705671694</v>
      </c>
      <c r="E121" s="2">
        <f t="shared" si="100"/>
        <v>4122.9035270110844</v>
      </c>
      <c r="F121" s="2">
        <f t="shared" si="100"/>
        <v>10007.813121502055</v>
      </c>
      <c r="G121" s="2">
        <f t="shared" si="100"/>
        <v>17028.482471486739</v>
      </c>
      <c r="H121" s="2">
        <f t="shared" si="100"/>
        <v>24404.860701007223</v>
      </c>
      <c r="I121" s="2">
        <f t="shared" si="100"/>
        <v>31818.718759220152</v>
      </c>
      <c r="J121" s="2">
        <f t="shared" si="100"/>
        <v>39164.246151166946</v>
      </c>
      <c r="K121" s="2">
        <f t="shared" si="100"/>
        <v>46416.652396687823</v>
      </c>
      <c r="L121" s="2">
        <f t="shared" si="100"/>
        <v>53579.048006370911</v>
      </c>
      <c r="M121" s="2">
        <f t="shared" si="100"/>
        <v>60662.640857715982</v>
      </c>
      <c r="N121" s="2">
        <f t="shared" si="100"/>
        <v>67679.707070253833</v>
      </c>
      <c r="O121" s="2">
        <f t="shared" si="100"/>
        <v>74641.320140656491</v>
      </c>
      <c r="P121" s="2">
        <f t="shared" si="63"/>
        <v>59264.644381145539</v>
      </c>
      <c r="R121">
        <f t="shared" si="64"/>
        <v>109</v>
      </c>
      <c r="S121" s="2">
        <f t="shared" si="102"/>
        <v>54500</v>
      </c>
      <c r="T121" s="2">
        <f t="shared" si="102"/>
        <v>109000</v>
      </c>
      <c r="U121" s="2">
        <f t="shared" si="102"/>
        <v>163500</v>
      </c>
      <c r="V121" s="2">
        <f t="shared" si="102"/>
        <v>218000</v>
      </c>
      <c r="W121" s="2">
        <f t="shared" si="102"/>
        <v>272500</v>
      </c>
      <c r="X121" s="2">
        <f t="shared" si="102"/>
        <v>327000</v>
      </c>
      <c r="Y121" s="2">
        <f t="shared" si="102"/>
        <v>381500</v>
      </c>
      <c r="Z121" s="2">
        <f t="shared" si="102"/>
        <v>436000</v>
      </c>
      <c r="AA121" s="2">
        <f t="shared" si="101"/>
        <v>490500</v>
      </c>
      <c r="AB121" s="2">
        <f t="shared" si="101"/>
        <v>545000</v>
      </c>
      <c r="AC121" s="2">
        <f t="shared" si="101"/>
        <v>599500</v>
      </c>
      <c r="AD121" s="2">
        <f t="shared" si="101"/>
        <v>654000</v>
      </c>
      <c r="AE121" s="2">
        <f t="shared" si="101"/>
        <v>490500</v>
      </c>
      <c r="AG121">
        <f t="shared" si="66"/>
        <v>109</v>
      </c>
      <c r="AH121" s="6">
        <f t="shared" si="67"/>
        <v>1.2348716826728751E-2</v>
      </c>
      <c r="AI121" s="6">
        <f t="shared" si="68"/>
        <v>3.7824803000101694E-2</v>
      </c>
      <c r="AJ121" s="6">
        <f t="shared" si="69"/>
        <v>6.120986618655691E-2</v>
      </c>
      <c r="AK121" s="6">
        <f t="shared" si="70"/>
        <v>7.8112304915076786E-2</v>
      </c>
      <c r="AL121" s="6">
        <f t="shared" si="71"/>
        <v>8.9559121838558617E-2</v>
      </c>
      <c r="AM121" s="6">
        <f t="shared" si="72"/>
        <v>9.7304950334006574E-2</v>
      </c>
      <c r="AN121" s="6">
        <f t="shared" si="73"/>
        <v>0.10265857444604704</v>
      </c>
      <c r="AO121" s="6">
        <f t="shared" si="74"/>
        <v>0.10646021191900877</v>
      </c>
      <c r="AP121" s="6">
        <f t="shared" si="75"/>
        <v>0.10923353314244834</v>
      </c>
      <c r="AQ121" s="6">
        <f t="shared" si="76"/>
        <v>0.11130759790406602</v>
      </c>
      <c r="AR121" s="6">
        <f t="shared" si="77"/>
        <v>0.11289358977523575</v>
      </c>
      <c r="AS121" s="6">
        <f t="shared" si="78"/>
        <v>0.11413045893066742</v>
      </c>
      <c r="AT121" s="6">
        <f t="shared" si="79"/>
        <v>0.12082496306043942</v>
      </c>
      <c r="AW121" s="3">
        <f t="shared" si="88"/>
        <v>2180</v>
      </c>
      <c r="AX121" s="3">
        <f t="shared" si="85"/>
        <v>160</v>
      </c>
      <c r="AY121" s="3">
        <f t="shared" si="86"/>
        <v>348800</v>
      </c>
      <c r="AZ121" s="13">
        <f t="shared" si="87"/>
        <v>8.892191126122076E-2</v>
      </c>
      <c r="BA121" s="3">
        <f t="shared" si="95"/>
        <v>31015.962647913802</v>
      </c>
      <c r="BB121" s="3">
        <f t="shared" si="96"/>
        <v>31030.692318880978</v>
      </c>
      <c r="BC121" s="3">
        <f t="shared" si="83"/>
        <v>31030.469132037309</v>
      </c>
      <c r="BD121" s="3">
        <f t="shared" si="84"/>
        <v>62008.888888888891</v>
      </c>
    </row>
    <row r="122" spans="3:56" x14ac:dyDescent="0.45">
      <c r="C122">
        <f t="shared" si="62"/>
        <v>110</v>
      </c>
      <c r="D122" s="2">
        <f t="shared" si="100"/>
        <v>674.2493441915733</v>
      </c>
      <c r="E122" s="2">
        <f t="shared" si="100"/>
        <v>4146.3413073197216</v>
      </c>
      <c r="F122" s="2">
        <f t="shared" si="100"/>
        <v>10100.203406364539</v>
      </c>
      <c r="G122" s="2">
        <f t="shared" si="100"/>
        <v>17229.609128063141</v>
      </c>
      <c r="H122" s="2">
        <f t="shared" si="100"/>
        <v>24735.925299589962</v>
      </c>
      <c r="I122" s="2">
        <f t="shared" si="100"/>
        <v>32288.238705291711</v>
      </c>
      <c r="J122" s="2">
        <f t="shared" si="100"/>
        <v>39774.448894922716</v>
      </c>
      <c r="K122" s="2">
        <f t="shared" si="100"/>
        <v>47167.066432263084</v>
      </c>
      <c r="L122" s="2">
        <f t="shared" si="100"/>
        <v>54468.19532530279</v>
      </c>
      <c r="M122" s="2">
        <f t="shared" si="100"/>
        <v>61688.778783588765</v>
      </c>
      <c r="N122" s="2">
        <f t="shared" si="100"/>
        <v>68841.134443218878</v>
      </c>
      <c r="O122" s="2">
        <f t="shared" si="100"/>
        <v>75936.490332036803</v>
      </c>
      <c r="P122" s="2">
        <f t="shared" si="63"/>
        <v>60356.630172868448</v>
      </c>
      <c r="R122">
        <f t="shared" si="64"/>
        <v>110</v>
      </c>
      <c r="S122" s="2">
        <f t="shared" si="102"/>
        <v>55000</v>
      </c>
      <c r="T122" s="2">
        <f t="shared" si="102"/>
        <v>110000</v>
      </c>
      <c r="U122" s="2">
        <f t="shared" si="102"/>
        <v>165000</v>
      </c>
      <c r="V122" s="2">
        <f t="shared" si="102"/>
        <v>220000</v>
      </c>
      <c r="W122" s="2">
        <f t="shared" si="102"/>
        <v>275000</v>
      </c>
      <c r="X122" s="2">
        <f t="shared" si="102"/>
        <v>330000</v>
      </c>
      <c r="Y122" s="2">
        <f t="shared" si="102"/>
        <v>385000</v>
      </c>
      <c r="Z122" s="2">
        <f t="shared" si="102"/>
        <v>440000</v>
      </c>
      <c r="AA122" s="2">
        <f t="shared" si="101"/>
        <v>495000</v>
      </c>
      <c r="AB122" s="2">
        <f t="shared" si="101"/>
        <v>550000</v>
      </c>
      <c r="AC122" s="2">
        <f t="shared" si="101"/>
        <v>605000</v>
      </c>
      <c r="AD122" s="2">
        <f t="shared" si="101"/>
        <v>660000</v>
      </c>
      <c r="AE122" s="2">
        <f t="shared" si="101"/>
        <v>495000</v>
      </c>
      <c r="AG122">
        <f t="shared" si="66"/>
        <v>110</v>
      </c>
      <c r="AH122" s="6">
        <f t="shared" si="67"/>
        <v>1.2259078985301333E-2</v>
      </c>
      <c r="AI122" s="6">
        <f t="shared" si="68"/>
        <v>3.7694011884724744E-2</v>
      </c>
      <c r="AJ122" s="6">
        <f t="shared" si="69"/>
        <v>6.12133539779669E-2</v>
      </c>
      <c r="AK122" s="6">
        <f t="shared" si="70"/>
        <v>7.8316405127559732E-2</v>
      </c>
      <c r="AL122" s="6">
        <f t="shared" si="71"/>
        <v>8.9948819271236227E-2</v>
      </c>
      <c r="AM122" s="6">
        <f t="shared" si="72"/>
        <v>9.7843147591793064E-2</v>
      </c>
      <c r="AN122" s="6">
        <f t="shared" si="73"/>
        <v>0.10331025686992913</v>
      </c>
      <c r="AO122" s="6">
        <f t="shared" si="74"/>
        <v>0.10719787825514338</v>
      </c>
      <c r="AP122" s="6">
        <f t="shared" si="75"/>
        <v>0.11003675823293493</v>
      </c>
      <c r="AQ122" s="6">
        <f t="shared" si="76"/>
        <v>0.1121614159701614</v>
      </c>
      <c r="AR122" s="6">
        <f t="shared" si="77"/>
        <v>0.11378699907970062</v>
      </c>
      <c r="AS122" s="6">
        <f t="shared" si="78"/>
        <v>0.11505528838187394</v>
      </c>
      <c r="AT122" s="6">
        <f t="shared" si="79"/>
        <v>0.12193258620781505</v>
      </c>
      <c r="AW122" s="3">
        <f t="shared" si="88"/>
        <v>2200</v>
      </c>
      <c r="AX122" s="3">
        <f t="shared" si="85"/>
        <v>162</v>
      </c>
      <c r="AY122" s="3">
        <f t="shared" si="86"/>
        <v>356400</v>
      </c>
      <c r="AZ122" s="13">
        <f t="shared" si="87"/>
        <v>9.0033427909802538E-2</v>
      </c>
      <c r="BA122" s="3">
        <f t="shared" si="95"/>
        <v>32087.913707053624</v>
      </c>
      <c r="BB122" s="3">
        <f t="shared" si="96"/>
        <v>32050.388174740856</v>
      </c>
      <c r="BC122" s="3">
        <f t="shared" si="83"/>
        <v>31997.393091000875</v>
      </c>
      <c r="BD122" s="3">
        <f t="shared" si="84"/>
        <v>64152</v>
      </c>
    </row>
    <row r="123" spans="3:56" x14ac:dyDescent="0.45">
      <c r="C123">
        <f t="shared" si="62"/>
        <v>111</v>
      </c>
      <c r="D123" s="2">
        <f t="shared" ref="D123:O132" si="103">$C$7*BL_MBPS*BL_KM^2*D$12^3*$C123^2/((EM_KM*D$12)^2+(2*PI()*AVG_SUN_DIST_KM*$C123)^2)</f>
        <v>675.4645688038737</v>
      </c>
      <c r="E123" s="2">
        <f t="shared" si="103"/>
        <v>4169.4057339567144</v>
      </c>
      <c r="F123" s="2">
        <f t="shared" si="103"/>
        <v>10191.760399508583</v>
      </c>
      <c r="G123" s="2">
        <f t="shared" si="103"/>
        <v>17429.938551327945</v>
      </c>
      <c r="H123" s="2">
        <f t="shared" si="103"/>
        <v>25066.820801555816</v>
      </c>
      <c r="I123" s="2">
        <f t="shared" si="103"/>
        <v>32758.62231960415</v>
      </c>
      <c r="J123" s="2">
        <f t="shared" si="103"/>
        <v>40386.769247285738</v>
      </c>
      <c r="K123" s="2">
        <f t="shared" si="103"/>
        <v>47920.956123010226</v>
      </c>
      <c r="L123" s="2">
        <f t="shared" si="103"/>
        <v>55362.215646149576</v>
      </c>
      <c r="M123" s="2">
        <f t="shared" si="103"/>
        <v>62721.19289827405</v>
      </c>
      <c r="N123" s="2">
        <f t="shared" si="103"/>
        <v>70010.230763035666</v>
      </c>
      <c r="O123" s="2">
        <f t="shared" si="103"/>
        <v>77240.704616739706</v>
      </c>
      <c r="P123" s="2">
        <f t="shared" si="63"/>
        <v>61458.580676054276</v>
      </c>
      <c r="R123">
        <f t="shared" si="64"/>
        <v>111</v>
      </c>
      <c r="S123" s="2">
        <f t="shared" si="102"/>
        <v>55500</v>
      </c>
      <c r="T123" s="2">
        <f t="shared" si="102"/>
        <v>111000</v>
      </c>
      <c r="U123" s="2">
        <f t="shared" si="102"/>
        <v>166500</v>
      </c>
      <c r="V123" s="2">
        <f t="shared" si="102"/>
        <v>222000</v>
      </c>
      <c r="W123" s="2">
        <f t="shared" si="102"/>
        <v>277500</v>
      </c>
      <c r="X123" s="2">
        <f t="shared" si="102"/>
        <v>333000</v>
      </c>
      <c r="Y123" s="2">
        <f t="shared" si="102"/>
        <v>388500</v>
      </c>
      <c r="Z123" s="2">
        <f t="shared" si="102"/>
        <v>444000</v>
      </c>
      <c r="AA123" s="2">
        <f t="shared" si="101"/>
        <v>499500</v>
      </c>
      <c r="AB123" s="2">
        <f t="shared" si="101"/>
        <v>555000</v>
      </c>
      <c r="AC123" s="2">
        <f t="shared" si="101"/>
        <v>610500</v>
      </c>
      <c r="AD123" s="2">
        <f t="shared" si="101"/>
        <v>666000</v>
      </c>
      <c r="AE123" s="2">
        <f t="shared" si="101"/>
        <v>499500</v>
      </c>
      <c r="AG123">
        <f t="shared" si="66"/>
        <v>111</v>
      </c>
      <c r="AH123" s="6">
        <f t="shared" si="67"/>
        <v>1.2170532771240968E-2</v>
      </c>
      <c r="AI123" s="6">
        <f t="shared" si="68"/>
        <v>3.7562213819429861E-2</v>
      </c>
      <c r="AJ123" s="6">
        <f t="shared" si="69"/>
        <v>6.121177417122272E-2</v>
      </c>
      <c r="AK123" s="6">
        <f t="shared" si="70"/>
        <v>7.8513236717693446E-2</v>
      </c>
      <c r="AL123" s="6">
        <f t="shared" si="71"/>
        <v>9.0330885771372313E-2</v>
      </c>
      <c r="AM123" s="6">
        <f t="shared" si="72"/>
        <v>9.8374241200012466E-2</v>
      </c>
      <c r="AN123" s="6">
        <f t="shared" si="73"/>
        <v>0.10395564799816148</v>
      </c>
      <c r="AO123" s="6">
        <f t="shared" si="74"/>
        <v>0.10793008135813115</v>
      </c>
      <c r="AP123" s="6">
        <f t="shared" si="75"/>
        <v>0.110835266558858</v>
      </c>
      <c r="AQ123" s="6">
        <f t="shared" si="76"/>
        <v>0.11301115837526855</v>
      </c>
      <c r="AR123" s="6">
        <f t="shared" si="77"/>
        <v>0.11467687266672509</v>
      </c>
      <c r="AS123" s="6">
        <f t="shared" si="78"/>
        <v>0.11597703395906862</v>
      </c>
      <c r="AT123" s="6">
        <f t="shared" si="79"/>
        <v>0.12304020155366222</v>
      </c>
      <c r="AW123" s="3">
        <f t="shared" si="88"/>
        <v>2220</v>
      </c>
      <c r="AX123" s="3">
        <f t="shared" si="85"/>
        <v>163</v>
      </c>
      <c r="AY123" s="3">
        <f t="shared" si="86"/>
        <v>361860</v>
      </c>
      <c r="AZ123" s="13">
        <f t="shared" si="87"/>
        <v>9.0589186234093427E-2</v>
      </c>
      <c r="BA123" s="3">
        <f t="shared" si="95"/>
        <v>32780.602930669047</v>
      </c>
      <c r="BB123" s="3">
        <f t="shared" si="96"/>
        <v>32789.713272856294</v>
      </c>
      <c r="BC123" s="3">
        <f t="shared" si="83"/>
        <v>32783.025751988069</v>
      </c>
      <c r="BD123" s="3">
        <f t="shared" si="84"/>
        <v>65536.866666666669</v>
      </c>
    </row>
    <row r="124" spans="3:56" x14ac:dyDescent="0.45">
      <c r="C124">
        <f t="shared" si="62"/>
        <v>112</v>
      </c>
      <c r="D124" s="2">
        <f t="shared" si="103"/>
        <v>676.6516025158229</v>
      </c>
      <c r="E124" s="2">
        <f t="shared" si="103"/>
        <v>4192.1028909870047</v>
      </c>
      <c r="F124" s="2">
        <f t="shared" si="103"/>
        <v>10282.484227752369</v>
      </c>
      <c r="G124" s="2">
        <f t="shared" si="103"/>
        <v>17629.451008908087</v>
      </c>
      <c r="H124" s="2">
        <f t="shared" si="103"/>
        <v>25397.506719496669</v>
      </c>
      <c r="I124" s="2">
        <f t="shared" si="103"/>
        <v>33229.814044580824</v>
      </c>
      <c r="J124" s="2">
        <f t="shared" si="103"/>
        <v>41001.142638954785</v>
      </c>
      <c r="K124" s="2">
        <f t="shared" si="103"/>
        <v>48678.252416385476</v>
      </c>
      <c r="L124" s="2">
        <f t="shared" si="103"/>
        <v>56261.038408263928</v>
      </c>
      <c r="M124" s="2">
        <f t="shared" si="103"/>
        <v>63759.812965313613</v>
      </c>
      <c r="N124" s="2">
        <f t="shared" si="103"/>
        <v>71186.927193759213</v>
      </c>
      <c r="O124" s="2">
        <f t="shared" si="103"/>
        <v>78553.896157268231</v>
      </c>
      <c r="P124" s="2">
        <f t="shared" si="63"/>
        <v>62570.49582083409</v>
      </c>
      <c r="R124">
        <f t="shared" si="64"/>
        <v>112</v>
      </c>
      <c r="S124" s="2">
        <f t="shared" si="102"/>
        <v>56000</v>
      </c>
      <c r="T124" s="2">
        <f t="shared" si="102"/>
        <v>112000</v>
      </c>
      <c r="U124" s="2">
        <f t="shared" si="102"/>
        <v>168000</v>
      </c>
      <c r="V124" s="2">
        <f t="shared" si="102"/>
        <v>224000</v>
      </c>
      <c r="W124" s="2">
        <f t="shared" si="102"/>
        <v>280000</v>
      </c>
      <c r="X124" s="2">
        <f t="shared" si="102"/>
        <v>336000</v>
      </c>
      <c r="Y124" s="2">
        <f t="shared" si="102"/>
        <v>392000</v>
      </c>
      <c r="Z124" s="2">
        <f t="shared" si="102"/>
        <v>448000</v>
      </c>
      <c r="AA124" s="2">
        <f t="shared" si="101"/>
        <v>504000</v>
      </c>
      <c r="AB124" s="2">
        <f t="shared" si="101"/>
        <v>560000</v>
      </c>
      <c r="AC124" s="2">
        <f t="shared" si="101"/>
        <v>616000</v>
      </c>
      <c r="AD124" s="2">
        <f t="shared" si="101"/>
        <v>672000</v>
      </c>
      <c r="AE124" s="2">
        <f t="shared" si="101"/>
        <v>504000</v>
      </c>
      <c r="AG124">
        <f t="shared" si="66"/>
        <v>112</v>
      </c>
      <c r="AH124" s="6">
        <f t="shared" si="67"/>
        <v>1.2083064330639695E-2</v>
      </c>
      <c r="AI124" s="6">
        <f t="shared" si="68"/>
        <v>3.7429490098098255E-2</v>
      </c>
      <c r="AJ124" s="6">
        <f t="shared" si="69"/>
        <v>6.120526326043077E-2</v>
      </c>
      <c r="AK124" s="6">
        <f t="shared" si="70"/>
        <v>7.870290628976824E-2</v>
      </c>
      <c r="AL124" s="6">
        <f t="shared" si="71"/>
        <v>9.0705381141059527E-2</v>
      </c>
      <c r="AM124" s="6">
        <f t="shared" si="72"/>
        <v>9.8898256085061975E-2</v>
      </c>
      <c r="AN124" s="6">
        <f t="shared" si="73"/>
        <v>0.1045947516299867</v>
      </c>
      <c r="AO124" s="6">
        <f t="shared" si="74"/>
        <v>0.10865681342943187</v>
      </c>
      <c r="AP124" s="6">
        <f t="shared" si="75"/>
        <v>0.11162904446084113</v>
      </c>
      <c r="AQ124" s="6">
        <f t="shared" si="76"/>
        <v>0.11385680886663145</v>
      </c>
      <c r="AR124" s="6">
        <f t="shared" si="77"/>
        <v>0.11556319349636236</v>
      </c>
      <c r="AS124" s="6">
        <f t="shared" si="78"/>
        <v>0.11689567880545867</v>
      </c>
      <c r="AT124" s="6">
        <f t="shared" si="79"/>
        <v>0.1241478091683216</v>
      </c>
      <c r="AW124" s="3">
        <f t="shared" si="88"/>
        <v>2240</v>
      </c>
      <c r="AX124" s="3">
        <f t="shared" si="85"/>
        <v>164</v>
      </c>
      <c r="AY124" s="3">
        <f t="shared" si="86"/>
        <v>367360</v>
      </c>
      <c r="AZ124" s="13">
        <f t="shared" si="87"/>
        <v>9.1144944558384317E-2</v>
      </c>
      <c r="BA124" s="3">
        <f t="shared" si="95"/>
        <v>33483.006832968065</v>
      </c>
      <c r="BB124" s="3">
        <f t="shared" si="96"/>
        <v>33540.115229429895</v>
      </c>
      <c r="BC124" s="3">
        <f t="shared" si="83"/>
        <v>33580.95538995188</v>
      </c>
      <c r="BD124" s="3">
        <f t="shared" si="84"/>
        <v>66941.155555555553</v>
      </c>
    </row>
    <row r="125" spans="3:56" x14ac:dyDescent="0.45">
      <c r="C125">
        <f t="shared" si="62"/>
        <v>113</v>
      </c>
      <c r="D125" s="2">
        <f t="shared" si="103"/>
        <v>677.81127671650381</v>
      </c>
      <c r="E125" s="2">
        <f t="shared" si="103"/>
        <v>4214.4388076764517</v>
      </c>
      <c r="F125" s="2">
        <f t="shared" si="103"/>
        <v>10372.375414764354</v>
      </c>
      <c r="G125" s="2">
        <f t="shared" si="103"/>
        <v>17828.127563894141</v>
      </c>
      <c r="H125" s="2">
        <f t="shared" si="103"/>
        <v>25727.943393398193</v>
      </c>
      <c r="I125" s="2">
        <f t="shared" si="103"/>
        <v>33701.758968935806</v>
      </c>
      <c r="J125" s="2">
        <f t="shared" si="103"/>
        <v>41617.504915261161</v>
      </c>
      <c r="K125" s="2">
        <f t="shared" si="103"/>
        <v>49438.886466091702</v>
      </c>
      <c r="L125" s="2">
        <f t="shared" si="103"/>
        <v>57164.593092204661</v>
      </c>
      <c r="M125" s="2">
        <f t="shared" si="103"/>
        <v>64804.568666296611</v>
      </c>
      <c r="N125" s="2">
        <f t="shared" si="103"/>
        <v>72371.154728556008</v>
      </c>
      <c r="O125" s="2">
        <f t="shared" si="103"/>
        <v>79875.997882448268</v>
      </c>
      <c r="P125" s="2">
        <f t="shared" si="63"/>
        <v>63692.375537965825</v>
      </c>
      <c r="R125">
        <f t="shared" si="64"/>
        <v>113</v>
      </c>
      <c r="S125" s="2">
        <f t="shared" si="102"/>
        <v>56500</v>
      </c>
      <c r="T125" s="2">
        <f t="shared" si="102"/>
        <v>113000</v>
      </c>
      <c r="U125" s="2">
        <f t="shared" si="102"/>
        <v>169500</v>
      </c>
      <c r="V125" s="2">
        <f t="shared" si="102"/>
        <v>226000</v>
      </c>
      <c r="W125" s="2">
        <f t="shared" si="102"/>
        <v>282500</v>
      </c>
      <c r="X125" s="2">
        <f t="shared" si="102"/>
        <v>339000</v>
      </c>
      <c r="Y125" s="2">
        <f t="shared" si="102"/>
        <v>395500</v>
      </c>
      <c r="Z125" s="2">
        <f t="shared" si="102"/>
        <v>452000</v>
      </c>
      <c r="AA125" s="2">
        <f t="shared" si="101"/>
        <v>508500</v>
      </c>
      <c r="AB125" s="2">
        <f t="shared" si="101"/>
        <v>565000</v>
      </c>
      <c r="AC125" s="2">
        <f t="shared" si="101"/>
        <v>621500</v>
      </c>
      <c r="AD125" s="2">
        <f t="shared" si="101"/>
        <v>678000</v>
      </c>
      <c r="AE125" s="2">
        <f t="shared" si="101"/>
        <v>508500</v>
      </c>
      <c r="AG125">
        <f t="shared" si="66"/>
        <v>113</v>
      </c>
      <c r="AH125" s="6">
        <f t="shared" si="67"/>
        <v>1.1996659764893872E-2</v>
      </c>
      <c r="AI125" s="6">
        <f t="shared" si="68"/>
        <v>3.7295918652003997E-2</v>
      </c>
      <c r="AJ125" s="6">
        <f t="shared" si="69"/>
        <v>6.1193955249347218E-2</v>
      </c>
      <c r="AK125" s="6">
        <f t="shared" si="70"/>
        <v>7.8885520194221861E-2</v>
      </c>
      <c r="AL125" s="6">
        <f t="shared" si="71"/>
        <v>9.1072365994329885E-2</v>
      </c>
      <c r="AM125" s="6">
        <f t="shared" si="72"/>
        <v>9.941521819745075E-2</v>
      </c>
      <c r="AN125" s="6">
        <f t="shared" si="73"/>
        <v>0.10522757247853644</v>
      </c>
      <c r="AO125" s="6">
        <f t="shared" si="74"/>
        <v>0.10937806740285774</v>
      </c>
      <c r="AP125" s="6">
        <f t="shared" si="75"/>
        <v>0.1124180788440603</v>
      </c>
      <c r="AQ125" s="6">
        <f t="shared" si="76"/>
        <v>0.11469835162176391</v>
      </c>
      <c r="AR125" s="6">
        <f t="shared" si="77"/>
        <v>0.11644594485688818</v>
      </c>
      <c r="AS125" s="6">
        <f t="shared" si="78"/>
        <v>0.11781120631629538</v>
      </c>
      <c r="AT125" s="6">
        <f t="shared" si="79"/>
        <v>0.12525540912087674</v>
      </c>
      <c r="AW125" s="3">
        <f t="shared" si="88"/>
        <v>2260</v>
      </c>
      <c r="AX125" s="3">
        <f t="shared" si="85"/>
        <v>166</v>
      </c>
      <c r="AY125" s="3">
        <f t="shared" si="86"/>
        <v>375160</v>
      </c>
      <c r="AZ125" s="13">
        <f t="shared" si="87"/>
        <v>9.2256461206966095E-2</v>
      </c>
      <c r="BA125" s="3">
        <f t="shared" si="95"/>
        <v>34610.933986405398</v>
      </c>
      <c r="BB125" s="3">
        <f t="shared" si="96"/>
        <v>34613.980249015971</v>
      </c>
      <c r="BC125" s="3">
        <f t="shared" si="83"/>
        <v>34600.34984863281</v>
      </c>
      <c r="BD125" s="3">
        <f t="shared" si="84"/>
        <v>69196.177777777775</v>
      </c>
    </row>
    <row r="126" spans="3:56" x14ac:dyDescent="0.45">
      <c r="C126">
        <f t="shared" si="62"/>
        <v>114</v>
      </c>
      <c r="D126" s="2">
        <f t="shared" si="103"/>
        <v>678.94439375269087</v>
      </c>
      <c r="E126" s="2">
        <f t="shared" si="103"/>
        <v>4236.4194552575591</v>
      </c>
      <c r="F126" s="2">
        <f t="shared" si="103"/>
        <v>10461.434863043247</v>
      </c>
      <c r="G126" s="2">
        <f t="shared" si="103"/>
        <v>18025.950060143568</v>
      </c>
      <c r="H126" s="2">
        <f t="shared" si="103"/>
        <v>26058.091987871365</v>
      </c>
      <c r="I126" s="2">
        <f t="shared" si="103"/>
        <v>34174.402833808068</v>
      </c>
      <c r="J126" s="2">
        <f t="shared" si="103"/>
        <v>42235.792346545903</v>
      </c>
      <c r="K126" s="2">
        <f t="shared" si="103"/>
        <v>50202.789643625591</v>
      </c>
      <c r="L126" s="2">
        <f t="shared" si="103"/>
        <v>58072.809230896979</v>
      </c>
      <c r="M126" s="2">
        <f t="shared" si="103"/>
        <v>65855.389610986982</v>
      </c>
      <c r="N126" s="2">
        <f t="shared" si="103"/>
        <v>73562.844198617327</v>
      </c>
      <c r="O126" s="2">
        <f t="shared" si="103"/>
        <v>81206.942495158204</v>
      </c>
      <c r="P126" s="2">
        <f t="shared" si="63"/>
        <v>64824.219758823165</v>
      </c>
      <c r="R126">
        <f t="shared" si="64"/>
        <v>114</v>
      </c>
      <c r="S126" s="2">
        <f t="shared" ref="S126:Z135" si="104">$R126*S$12</f>
        <v>57000</v>
      </c>
      <c r="T126" s="2">
        <f t="shared" si="104"/>
        <v>114000</v>
      </c>
      <c r="U126" s="2">
        <f t="shared" si="104"/>
        <v>171000</v>
      </c>
      <c r="V126" s="2">
        <f t="shared" si="104"/>
        <v>228000</v>
      </c>
      <c r="W126" s="2">
        <f t="shared" si="104"/>
        <v>285000</v>
      </c>
      <c r="X126" s="2">
        <f t="shared" si="104"/>
        <v>342000</v>
      </c>
      <c r="Y126" s="2">
        <f t="shared" si="104"/>
        <v>399000</v>
      </c>
      <c r="Z126" s="2">
        <f t="shared" si="104"/>
        <v>456000</v>
      </c>
      <c r="AA126" s="2">
        <f t="shared" si="101"/>
        <v>513000</v>
      </c>
      <c r="AB126" s="2">
        <f t="shared" si="101"/>
        <v>570000</v>
      </c>
      <c r="AC126" s="2">
        <f t="shared" si="101"/>
        <v>627000</v>
      </c>
      <c r="AD126" s="2">
        <f t="shared" si="101"/>
        <v>684000</v>
      </c>
      <c r="AE126" s="2">
        <f t="shared" si="101"/>
        <v>513000</v>
      </c>
      <c r="AG126">
        <f t="shared" si="66"/>
        <v>114</v>
      </c>
      <c r="AH126" s="6">
        <f t="shared" si="67"/>
        <v>1.1911305153555981E-2</v>
      </c>
      <c r="AI126" s="6">
        <f t="shared" si="68"/>
        <v>3.7161574168925959E-2</v>
      </c>
      <c r="AJ126" s="6">
        <f t="shared" si="69"/>
        <v>6.1177981655223666E-2</v>
      </c>
      <c r="AK126" s="6">
        <f t="shared" si="70"/>
        <v>7.90611844743139E-2</v>
      </c>
      <c r="AL126" s="6">
        <f t="shared" si="71"/>
        <v>9.1431901711829355E-2</v>
      </c>
      <c r="AM126" s="6">
        <f t="shared" si="72"/>
        <v>9.9925154484818909E-2</v>
      </c>
      <c r="AN126" s="6">
        <f t="shared" si="73"/>
        <v>0.10585411615675665</v>
      </c>
      <c r="AO126" s="6">
        <f t="shared" si="74"/>
        <v>0.11009383693777541</v>
      </c>
      <c r="AP126" s="6">
        <f t="shared" si="75"/>
        <v>0.11320235717523777</v>
      </c>
      <c r="AQ126" s="6">
        <f t="shared" si="76"/>
        <v>0.11553577124734558</v>
      </c>
      <c r="AR126" s="6">
        <f t="shared" si="77"/>
        <v>0.11732511036462094</v>
      </c>
      <c r="AS126" s="6">
        <f t="shared" si="78"/>
        <v>0.11872360013912019</v>
      </c>
      <c r="AT126" s="6">
        <f t="shared" si="79"/>
        <v>0.12636300147918744</v>
      </c>
      <c r="AW126" s="3">
        <f t="shared" si="88"/>
        <v>2280</v>
      </c>
      <c r="AX126" s="3">
        <f t="shared" si="85"/>
        <v>167</v>
      </c>
      <c r="AY126" s="3">
        <f t="shared" si="86"/>
        <v>380760</v>
      </c>
      <c r="AZ126" s="13">
        <f t="shared" si="87"/>
        <v>9.2812219531256984E-2</v>
      </c>
      <c r="BA126" s="3">
        <f t="shared" si="95"/>
        <v>35339.180708721411</v>
      </c>
      <c r="BB126" s="3">
        <f t="shared" si="96"/>
        <v>35391.887758325924</v>
      </c>
      <c r="BC126" s="3">
        <f t="shared" si="83"/>
        <v>35427.450606048202</v>
      </c>
      <c r="BD126" s="3">
        <f t="shared" si="84"/>
        <v>70652.133333333331</v>
      </c>
    </row>
    <row r="127" spans="3:56" x14ac:dyDescent="0.45">
      <c r="C127">
        <f t="shared" si="62"/>
        <v>115</v>
      </c>
      <c r="D127" s="2">
        <f t="shared" si="103"/>
        <v>680.05172806962969</v>
      </c>
      <c r="E127" s="2">
        <f t="shared" si="103"/>
        <v>4258.0507440221227</v>
      </c>
      <c r="F127" s="2">
        <f t="shared" si="103"/>
        <v>10549.663836404736</v>
      </c>
      <c r="G127" s="2">
        <f t="shared" si="103"/>
        <v>18222.901107478432</v>
      </c>
      <c r="H127" s="2">
        <f t="shared" si="103"/>
        <v>26387.914488936272</v>
      </c>
      <c r="I127" s="2">
        <f t="shared" si="103"/>
        <v>34647.692038445537</v>
      </c>
      <c r="J127" s="2">
        <f t="shared" si="103"/>
        <v>42855.94163820042</v>
      </c>
      <c r="K127" s="2">
        <f t="shared" si="103"/>
        <v>50969.893549603228</v>
      </c>
      <c r="L127" s="2">
        <f t="shared" si="103"/>
        <v>58985.616420657148</v>
      </c>
      <c r="M127" s="2">
        <f t="shared" si="103"/>
        <v>66912.205347373398</v>
      </c>
      <c r="N127" s="2">
        <f t="shared" si="103"/>
        <v>74761.926282031971</v>
      </c>
      <c r="O127" s="2">
        <f t="shared" si="103"/>
        <v>82546.662480041559</v>
      </c>
      <c r="P127" s="2">
        <f t="shared" si="63"/>
        <v>65966.028415385386</v>
      </c>
      <c r="R127">
        <f t="shared" si="64"/>
        <v>115</v>
      </c>
      <c r="S127" s="2">
        <f t="shared" si="104"/>
        <v>57500</v>
      </c>
      <c r="T127" s="2">
        <f t="shared" si="104"/>
        <v>115000</v>
      </c>
      <c r="U127" s="2">
        <f t="shared" si="104"/>
        <v>172500</v>
      </c>
      <c r="V127" s="2">
        <f t="shared" si="104"/>
        <v>230000</v>
      </c>
      <c r="W127" s="2">
        <f t="shared" si="104"/>
        <v>287500</v>
      </c>
      <c r="X127" s="2">
        <f t="shared" si="104"/>
        <v>345000</v>
      </c>
      <c r="Y127" s="2">
        <f t="shared" si="104"/>
        <v>402500</v>
      </c>
      <c r="Z127" s="2">
        <f t="shared" si="104"/>
        <v>460000</v>
      </c>
      <c r="AA127" s="2">
        <f t="shared" si="101"/>
        <v>517500</v>
      </c>
      <c r="AB127" s="2">
        <f t="shared" si="101"/>
        <v>575000</v>
      </c>
      <c r="AC127" s="2">
        <f t="shared" si="101"/>
        <v>632500</v>
      </c>
      <c r="AD127" s="2">
        <f t="shared" si="101"/>
        <v>690000</v>
      </c>
      <c r="AE127" s="2">
        <f t="shared" si="101"/>
        <v>517500</v>
      </c>
      <c r="AG127">
        <f t="shared" si="66"/>
        <v>115</v>
      </c>
      <c r="AH127" s="6">
        <f t="shared" si="67"/>
        <v>1.1826986575123995E-2</v>
      </c>
      <c r="AI127" s="6">
        <f t="shared" si="68"/>
        <v>3.7026528208888021E-2</v>
      </c>
      <c r="AJ127" s="6">
        <f t="shared" si="69"/>
        <v>6.1157471515389771E-2</v>
      </c>
      <c r="AK127" s="6">
        <f t="shared" si="70"/>
        <v>7.9230004815123614E-2</v>
      </c>
      <c r="AL127" s="6">
        <f t="shared" si="71"/>
        <v>9.1784050396300082E-2</v>
      </c>
      <c r="AM127" s="6">
        <f t="shared" si="72"/>
        <v>0.10042809286505953</v>
      </c>
      <c r="AN127" s="6">
        <f t="shared" si="73"/>
        <v>0.10647438916323086</v>
      </c>
      <c r="AO127" s="6">
        <f t="shared" si="74"/>
        <v>0.11080411641218094</v>
      </c>
      <c r="AP127" s="6">
        <f t="shared" si="75"/>
        <v>0.11398186747953072</v>
      </c>
      <c r="AQ127" s="6">
        <f t="shared" si="76"/>
        <v>0.11636905277804069</v>
      </c>
      <c r="AR127" s="6">
        <f t="shared" si="77"/>
        <v>0.11820067396368691</v>
      </c>
      <c r="AS127" s="6">
        <f t="shared" si="78"/>
        <v>0.11963284417397327</v>
      </c>
      <c r="AT127" s="6">
        <f t="shared" si="79"/>
        <v>0.12747058630992344</v>
      </c>
      <c r="AW127" s="3">
        <f t="shared" si="88"/>
        <v>2300</v>
      </c>
      <c r="AX127" s="3">
        <f t="shared" si="85"/>
        <v>169</v>
      </c>
      <c r="AY127" s="3">
        <f t="shared" si="86"/>
        <v>388700</v>
      </c>
      <c r="AZ127" s="13">
        <f t="shared" si="87"/>
        <v>9.3923736179838777E-2</v>
      </c>
      <c r="BA127" s="3">
        <f t="shared" si="95"/>
        <v>36508.156253103334</v>
      </c>
      <c r="BB127" s="3">
        <f t="shared" si="96"/>
        <v>36504.681338803377</v>
      </c>
      <c r="BC127" s="3">
        <f t="shared" si="83"/>
        <v>36483.616465765554</v>
      </c>
      <c r="BD127" s="3">
        <f t="shared" si="84"/>
        <v>72989.222222222219</v>
      </c>
    </row>
    <row r="128" spans="3:56" x14ac:dyDescent="0.45">
      <c r="C128">
        <f t="shared" si="62"/>
        <v>116</v>
      </c>
      <c r="D128" s="2">
        <f t="shared" si="103"/>
        <v>681.13402730386883</v>
      </c>
      <c r="E128" s="2">
        <f t="shared" si="103"/>
        <v>4279.3385207199854</v>
      </c>
      <c r="F128" s="2">
        <f t="shared" si="103"/>
        <v>10637.063942972507</v>
      </c>
      <c r="G128" s="2">
        <f t="shared" si="103"/>
        <v>18418.964066800203</v>
      </c>
      <c r="H128" s="2">
        <f t="shared" si="103"/>
        <v>26717.373700376054</v>
      </c>
      <c r="I128" s="2">
        <f t="shared" si="103"/>
        <v>35121.573645446435</v>
      </c>
      <c r="J128" s="2">
        <f t="shared" si="103"/>
        <v>43477.889940371853</v>
      </c>
      <c r="K128" s="2">
        <f t="shared" si="103"/>
        <v>51740.130024862927</v>
      </c>
      <c r="L128" s="2">
        <f t="shared" si="103"/>
        <v>59902.944332080056</v>
      </c>
      <c r="M128" s="2">
        <f t="shared" si="103"/>
        <v>67974.945371640002</v>
      </c>
      <c r="N128" s="2">
        <f t="shared" si="103"/>
        <v>75968.331512617093</v>
      </c>
      <c r="O128" s="2">
        <f t="shared" si="103"/>
        <v>83895.090111200509</v>
      </c>
      <c r="P128" s="2">
        <f t="shared" si="63"/>
        <v>67117.801440226031</v>
      </c>
      <c r="R128">
        <f t="shared" si="64"/>
        <v>116</v>
      </c>
      <c r="S128" s="2">
        <f t="shared" si="104"/>
        <v>58000</v>
      </c>
      <c r="T128" s="2">
        <f t="shared" si="104"/>
        <v>116000</v>
      </c>
      <c r="U128" s="2">
        <f t="shared" si="104"/>
        <v>174000</v>
      </c>
      <c r="V128" s="2">
        <f t="shared" si="104"/>
        <v>232000</v>
      </c>
      <c r="W128" s="2">
        <f t="shared" si="104"/>
        <v>290000</v>
      </c>
      <c r="X128" s="2">
        <f t="shared" si="104"/>
        <v>348000</v>
      </c>
      <c r="Y128" s="2">
        <f t="shared" si="104"/>
        <v>406000</v>
      </c>
      <c r="Z128" s="2">
        <f t="shared" si="104"/>
        <v>464000</v>
      </c>
      <c r="AA128" s="2">
        <f t="shared" si="101"/>
        <v>522000</v>
      </c>
      <c r="AB128" s="2">
        <f t="shared" si="101"/>
        <v>580000</v>
      </c>
      <c r="AC128" s="2">
        <f t="shared" si="101"/>
        <v>638000</v>
      </c>
      <c r="AD128" s="2">
        <f t="shared" si="101"/>
        <v>696000</v>
      </c>
      <c r="AE128" s="2">
        <f t="shared" si="101"/>
        <v>522000</v>
      </c>
      <c r="AG128">
        <f t="shared" si="66"/>
        <v>116</v>
      </c>
      <c r="AH128" s="6">
        <f t="shared" si="67"/>
        <v>1.1743690125928774E-2</v>
      </c>
      <c r="AI128" s="6">
        <f t="shared" si="68"/>
        <v>3.6890849316551601E-2</v>
      </c>
      <c r="AJ128" s="6">
        <f t="shared" si="69"/>
        <v>6.1132551396393717E-2</v>
      </c>
      <c r="AK128" s="6">
        <f t="shared" si="70"/>
        <v>7.9392086494828457E-2</v>
      </c>
      <c r="AL128" s="6">
        <f t="shared" si="71"/>
        <v>9.2128874828882948E-2</v>
      </c>
      <c r="AM128" s="6">
        <f t="shared" si="72"/>
        <v>0.10092406219955873</v>
      </c>
      <c r="AN128" s="6">
        <f t="shared" si="73"/>
        <v>0.10708839886791097</v>
      </c>
      <c r="AO128" s="6">
        <f t="shared" si="74"/>
        <v>0.11150890091565285</v>
      </c>
      <c r="AP128" s="6">
        <f t="shared" si="75"/>
        <v>0.11475659833731812</v>
      </c>
      <c r="AQ128" s="6">
        <f t="shared" si="76"/>
        <v>0.11719818167524139</v>
      </c>
      <c r="AR128" s="6">
        <f t="shared" si="77"/>
        <v>0.11907261992573212</v>
      </c>
      <c r="AS128" s="6">
        <f t="shared" si="78"/>
        <v>0.12053892257356395</v>
      </c>
      <c r="AT128" s="6">
        <f t="shared" si="79"/>
        <v>0.12857816367859393</v>
      </c>
      <c r="AW128" s="3">
        <f t="shared" si="88"/>
        <v>2320</v>
      </c>
      <c r="AX128" s="3">
        <f t="shared" si="85"/>
        <v>170</v>
      </c>
      <c r="AY128" s="3">
        <f t="shared" si="86"/>
        <v>394400</v>
      </c>
      <c r="AZ128" s="13">
        <f t="shared" si="87"/>
        <v>9.4479494504129666E-2</v>
      </c>
      <c r="BA128" s="3">
        <f t="shared" si="95"/>
        <v>37262.712632428738</v>
      </c>
      <c r="BB128" s="3">
        <f t="shared" si="96"/>
        <v>37310.58943901943</v>
      </c>
      <c r="BC128" s="3">
        <f t="shared" si="83"/>
        <v>37340.411942657345</v>
      </c>
      <c r="BD128" s="3">
        <f t="shared" si="84"/>
        <v>74497.777777777781</v>
      </c>
    </row>
    <row r="129" spans="3:56" x14ac:dyDescent="0.45">
      <c r="C129">
        <f t="shared" si="62"/>
        <v>117</v>
      </c>
      <c r="D129" s="2">
        <f t="shared" si="103"/>
        <v>682.19201333016019</v>
      </c>
      <c r="E129" s="2">
        <f t="shared" si="103"/>
        <v>4300.2885662441386</v>
      </c>
      <c r="F129" s="2">
        <f t="shared" si="103"/>
        <v>10723.637118670222</v>
      </c>
      <c r="G129" s="2">
        <f t="shared" si="103"/>
        <v>18614.12303514302</v>
      </c>
      <c r="H129" s="2">
        <f t="shared" si="103"/>
        <v>27046.433239678649</v>
      </c>
      <c r="I129" s="2">
        <f t="shared" si="103"/>
        <v>35595.995385565853</v>
      </c>
      <c r="J129" s="2">
        <f t="shared" si="103"/>
        <v>44101.57485733489</v>
      </c>
      <c r="K129" s="2">
        <f t="shared" si="103"/>
        <v>52513.431161344102</v>
      </c>
      <c r="L129" s="2">
        <f t="shared" si="103"/>
        <v>60824.722720787475</v>
      </c>
      <c r="M129" s="2">
        <f t="shared" si="103"/>
        <v>69043.539138055581</v>
      </c>
      <c r="N129" s="2">
        <f t="shared" si="103"/>
        <v>77181.990288705172</v>
      </c>
      <c r="O129" s="2">
        <f t="shared" si="103"/>
        <v>85252.157459869297</v>
      </c>
      <c r="P129" s="2">
        <f t="shared" si="63"/>
        <v>68279.538766503087</v>
      </c>
      <c r="R129">
        <f t="shared" si="64"/>
        <v>117</v>
      </c>
      <c r="S129" s="2">
        <f t="shared" si="104"/>
        <v>58500</v>
      </c>
      <c r="T129" s="2">
        <f t="shared" si="104"/>
        <v>117000</v>
      </c>
      <c r="U129" s="2">
        <f t="shared" si="104"/>
        <v>175500</v>
      </c>
      <c r="V129" s="2">
        <f t="shared" si="104"/>
        <v>234000</v>
      </c>
      <c r="W129" s="2">
        <f t="shared" si="104"/>
        <v>292500</v>
      </c>
      <c r="X129" s="2">
        <f t="shared" si="104"/>
        <v>351000</v>
      </c>
      <c r="Y129" s="2">
        <f t="shared" si="104"/>
        <v>409500</v>
      </c>
      <c r="Z129" s="2">
        <f t="shared" si="104"/>
        <v>468000</v>
      </c>
      <c r="AA129" s="2">
        <f t="shared" si="101"/>
        <v>526500</v>
      </c>
      <c r="AB129" s="2">
        <f t="shared" si="101"/>
        <v>585000</v>
      </c>
      <c r="AC129" s="2">
        <f t="shared" si="101"/>
        <v>643500</v>
      </c>
      <c r="AD129" s="2">
        <f t="shared" si="101"/>
        <v>702000</v>
      </c>
      <c r="AE129" s="2">
        <f t="shared" si="101"/>
        <v>526500</v>
      </c>
      <c r="AG129">
        <f t="shared" si="66"/>
        <v>117</v>
      </c>
      <c r="AH129" s="6">
        <f t="shared" si="67"/>
        <v>1.1661401937267696E-2</v>
      </c>
      <c r="AI129" s="6">
        <f t="shared" si="68"/>
        <v>3.6754603130291781E-2</v>
      </c>
      <c r="AJ129" s="6">
        <f t="shared" si="69"/>
        <v>6.110334540552833E-2</v>
      </c>
      <c r="AK129" s="6">
        <f t="shared" si="70"/>
        <v>7.954753433821804E-2</v>
      </c>
      <c r="AL129" s="6">
        <f t="shared" si="71"/>
        <v>9.2466438426251796E-2</v>
      </c>
      <c r="AM129" s="6">
        <f t="shared" si="72"/>
        <v>0.10141309226656939</v>
      </c>
      <c r="AN129" s="6">
        <f t="shared" si="73"/>
        <v>0.1076961534977653</v>
      </c>
      <c r="AO129" s="6">
        <f t="shared" si="74"/>
        <v>0.11220818624218826</v>
      </c>
      <c r="AP129" s="6">
        <f t="shared" si="75"/>
        <v>0.11552653888088789</v>
      </c>
      <c r="AQ129" s="6">
        <f t="shared" si="76"/>
        <v>0.11802314382573603</v>
      </c>
      <c r="AR129" s="6">
        <f t="shared" si="77"/>
        <v>0.11994093284958068</v>
      </c>
      <c r="AS129" s="6">
        <f t="shared" si="78"/>
        <v>0.12144181974340355</v>
      </c>
      <c r="AT129" s="6">
        <f t="shared" si="79"/>
        <v>0.1296857336495785</v>
      </c>
      <c r="AW129" s="3">
        <f t="shared" si="88"/>
        <v>2340</v>
      </c>
      <c r="AX129" s="3">
        <f t="shared" si="85"/>
        <v>172</v>
      </c>
      <c r="AY129" s="3">
        <f t="shared" si="86"/>
        <v>402480</v>
      </c>
      <c r="AZ129" s="13">
        <f t="shared" si="87"/>
        <v>9.5591011152711444E-2</v>
      </c>
      <c r="BA129" s="3">
        <f t="shared" si="95"/>
        <v>38473.470168743304</v>
      </c>
      <c r="BB129" s="3">
        <f t="shared" si="96"/>
        <v>38463.00463366288</v>
      </c>
      <c r="BC129" s="3">
        <f t="shared" si="83"/>
        <v>38434.000647184315</v>
      </c>
      <c r="BD129" s="3">
        <f t="shared" si="84"/>
        <v>76918.399999999994</v>
      </c>
    </row>
    <row r="130" spans="3:56" x14ac:dyDescent="0.45">
      <c r="C130">
        <f t="shared" ref="C130:C193" si="105">C129+1</f>
        <v>118</v>
      </c>
      <c r="D130" s="2">
        <f t="shared" si="103"/>
        <v>683.22638326436731</v>
      </c>
      <c r="E130" s="2">
        <f t="shared" si="103"/>
        <v>4320.9065935834324</v>
      </c>
      <c r="F130" s="2">
        <f t="shared" si="103"/>
        <v>10809.385611210208</v>
      </c>
      <c r="G130" s="2">
        <f t="shared" si="103"/>
        <v>18808.362830685921</v>
      </c>
      <c r="H130" s="2">
        <f t="shared" si="103"/>
        <v>27375.057533583684</v>
      </c>
      <c r="I130" s="2">
        <f t="shared" si="103"/>
        <v>36070.905662095298</v>
      </c>
      <c r="J130" s="2">
        <f t="shared" si="103"/>
        <v>44726.93445653165</v>
      </c>
      <c r="K130" s="2">
        <f t="shared" si="103"/>
        <v>53289.729312741343</v>
      </c>
      <c r="L130" s="2">
        <f t="shared" si="103"/>
        <v>61750.881438035147</v>
      </c>
      <c r="M130" s="2">
        <f t="shared" si="103"/>
        <v>70117.916068779756</v>
      </c>
      <c r="N130" s="2">
        <f t="shared" si="103"/>
        <v>78402.832881885304</v>
      </c>
      <c r="O130" s="2">
        <f t="shared" si="103"/>
        <v>86617.796402066058</v>
      </c>
      <c r="P130" s="2">
        <f t="shared" ref="P130:P193" si="106">P$279*$C130^P$280</f>
        <v>69451.240327948384</v>
      </c>
      <c r="R130">
        <f t="shared" ref="R130:R193" si="107">R129+1</f>
        <v>118</v>
      </c>
      <c r="S130" s="2">
        <f t="shared" si="104"/>
        <v>59000</v>
      </c>
      <c r="T130" s="2">
        <f t="shared" si="104"/>
        <v>118000</v>
      </c>
      <c r="U130" s="2">
        <f t="shared" si="104"/>
        <v>177000</v>
      </c>
      <c r="V130" s="2">
        <f t="shared" si="104"/>
        <v>236000</v>
      </c>
      <c r="W130" s="2">
        <f t="shared" si="104"/>
        <v>295000</v>
      </c>
      <c r="X130" s="2">
        <f t="shared" si="104"/>
        <v>354000</v>
      </c>
      <c r="Y130" s="2">
        <f t="shared" si="104"/>
        <v>413000</v>
      </c>
      <c r="Z130" s="2">
        <f t="shared" si="104"/>
        <v>472000</v>
      </c>
      <c r="AA130" s="2">
        <f t="shared" ref="AA130:AE180" si="108">$R130*AA$12</f>
        <v>531000</v>
      </c>
      <c r="AB130" s="2">
        <f t="shared" si="108"/>
        <v>590000</v>
      </c>
      <c r="AC130" s="2">
        <f t="shared" si="108"/>
        <v>649000</v>
      </c>
      <c r="AD130" s="2">
        <f t="shared" si="108"/>
        <v>708000</v>
      </c>
      <c r="AE130" s="2">
        <f t="shared" si="108"/>
        <v>531000</v>
      </c>
      <c r="AG130">
        <f t="shared" ref="AG130:AG193" si="109">AG129+1</f>
        <v>118</v>
      </c>
      <c r="AH130" s="6">
        <f t="shared" ref="AH130:AH193" si="110">D130/S130</f>
        <v>1.158010819092148E-2</v>
      </c>
      <c r="AI130" s="6">
        <f t="shared" ref="AI130:AI193" si="111">E130/T130</f>
        <v>3.6617852487995192E-2</v>
      </c>
      <c r="AJ130" s="6">
        <f t="shared" ref="AJ130:AJ193" si="112">F130/U130</f>
        <v>6.1069975204577444E-2</v>
      </c>
      <c r="AK130" s="6">
        <f t="shared" ref="AK130:AK193" si="113">G130/V130</f>
        <v>7.9696452672397972E-2</v>
      </c>
      <c r="AL130" s="6">
        <f t="shared" ref="AL130:AL193" si="114">H130/W130</f>
        <v>9.2796805198588753E-2</v>
      </c>
      <c r="AM130" s="6">
        <f t="shared" ref="AM130:AM193" si="115">I130/X130</f>
        <v>0.10189521373473248</v>
      </c>
      <c r="AN130" s="6">
        <f t="shared" ref="AN130:AN193" si="116">J130/Y130</f>
        <v>0.10829766212235266</v>
      </c>
      <c r="AO130" s="6">
        <f t="shared" ref="AO130:AO193" si="117">K130/Z130</f>
        <v>0.11290196888292657</v>
      </c>
      <c r="AP130" s="6">
        <f t="shared" ref="AP130:AP193" si="118">L130/AA130</f>
        <v>0.11629167879102664</v>
      </c>
      <c r="AQ130" s="6">
        <f t="shared" ref="AQ130:AQ193" si="119">M130/AB130</f>
        <v>0.11884392554030467</v>
      </c>
      <c r="AR130" s="6">
        <f t="shared" ref="AR130:AR193" si="120">N130/AC130</f>
        <v>0.12080559766084022</v>
      </c>
      <c r="AS130" s="6">
        <f t="shared" ref="AS130:AS193" si="121">O130/AD130</f>
        <v>0.12234152034190121</v>
      </c>
      <c r="AT130" s="6">
        <f t="shared" ref="AT130:AT193" si="122">P130/AE130</f>
        <v>0.13079329628615516</v>
      </c>
      <c r="AW130" s="3">
        <f t="shared" si="88"/>
        <v>2360</v>
      </c>
      <c r="AX130" s="3">
        <f t="shared" si="85"/>
        <v>173</v>
      </c>
      <c r="AY130" s="3">
        <f t="shared" si="86"/>
        <v>408280</v>
      </c>
      <c r="AZ130" s="13">
        <f t="shared" si="87"/>
        <v>9.6146769477002333E-2</v>
      </c>
      <c r="BA130" s="3">
        <f t="shared" si="95"/>
        <v>39254.803042070511</v>
      </c>
      <c r="BB130" s="3">
        <f t="shared" si="96"/>
        <v>39297.408362951093</v>
      </c>
      <c r="BC130" s="3">
        <f t="shared" si="83"/>
        <v>39321.014443541557</v>
      </c>
      <c r="BD130" s="3">
        <f t="shared" si="84"/>
        <v>78480.488888888896</v>
      </c>
    </row>
    <row r="131" spans="3:56" x14ac:dyDescent="0.45">
      <c r="C131">
        <f t="shared" si="105"/>
        <v>119</v>
      </c>
      <c r="D131" s="2">
        <f t="shared" si="103"/>
        <v>684.23781042425503</v>
      </c>
      <c r="E131" s="2">
        <f t="shared" si="103"/>
        <v>4341.1982460251711</v>
      </c>
      <c r="F131" s="2">
        <f t="shared" si="103"/>
        <v>10894.311964573932</v>
      </c>
      <c r="G131" s="2">
        <f t="shared" si="103"/>
        <v>19001.668977743509</v>
      </c>
      <c r="H131" s="2">
        <f t="shared" si="103"/>
        <v>27703.211813251914</v>
      </c>
      <c r="I131" s="2">
        <f t="shared" si="103"/>
        <v>36546.253554823401</v>
      </c>
      <c r="J131" s="2">
        <f t="shared" si="103"/>
        <v>45353.907277281738</v>
      </c>
      <c r="K131" s="2">
        <f t="shared" si="103"/>
        <v>54068.957104932699</v>
      </c>
      <c r="L131" s="2">
        <f t="shared" si="103"/>
        <v>62681.350441177063</v>
      </c>
      <c r="M131" s="2">
        <f t="shared" si="103"/>
        <v>71198.005563583763</v>
      </c>
      <c r="N131" s="2">
        <f t="shared" si="103"/>
        <v>79630.789445697636</v>
      </c>
      <c r="O131" s="2">
        <f t="shared" si="103"/>
        <v>87991.93862622141</v>
      </c>
      <c r="P131" s="2">
        <f t="shared" si="106"/>
        <v>70632.906058858585</v>
      </c>
      <c r="R131">
        <f t="shared" si="107"/>
        <v>119</v>
      </c>
      <c r="S131" s="2">
        <f t="shared" si="104"/>
        <v>59500</v>
      </c>
      <c r="T131" s="2">
        <f t="shared" si="104"/>
        <v>119000</v>
      </c>
      <c r="U131" s="2">
        <f t="shared" si="104"/>
        <v>178500</v>
      </c>
      <c r="V131" s="2">
        <f t="shared" si="104"/>
        <v>238000</v>
      </c>
      <c r="W131" s="2">
        <f t="shared" si="104"/>
        <v>297500</v>
      </c>
      <c r="X131" s="2">
        <f t="shared" si="104"/>
        <v>357000</v>
      </c>
      <c r="Y131" s="2">
        <f t="shared" si="104"/>
        <v>416500</v>
      </c>
      <c r="Z131" s="2">
        <f t="shared" si="104"/>
        <v>476000</v>
      </c>
      <c r="AA131" s="2">
        <f t="shared" si="108"/>
        <v>535500</v>
      </c>
      <c r="AB131" s="2">
        <f t="shared" si="108"/>
        <v>595000</v>
      </c>
      <c r="AC131" s="2">
        <f t="shared" si="108"/>
        <v>654500</v>
      </c>
      <c r="AD131" s="2">
        <f t="shared" si="108"/>
        <v>714000</v>
      </c>
      <c r="AE131" s="2">
        <f t="shared" si="108"/>
        <v>535500</v>
      </c>
      <c r="AG131">
        <f t="shared" si="109"/>
        <v>119</v>
      </c>
      <c r="AH131" s="6">
        <f t="shared" si="110"/>
        <v>1.1499795133180757E-2</v>
      </c>
      <c r="AI131" s="6">
        <f t="shared" si="111"/>
        <v>3.6480657529623289E-2</v>
      </c>
      <c r="AJ131" s="6">
        <f t="shared" si="112"/>
        <v>6.1032560025624266E-2</v>
      </c>
      <c r="AK131" s="6">
        <f t="shared" si="113"/>
        <v>7.98389452846366E-2</v>
      </c>
      <c r="AL131" s="6">
        <f t="shared" si="114"/>
        <v>9.3120039708409791E-2</v>
      </c>
      <c r="AM131" s="6">
        <f t="shared" si="115"/>
        <v>0.10237045813676023</v>
      </c>
      <c r="AN131" s="6">
        <f t="shared" si="116"/>
        <v>0.1088929346393319</v>
      </c>
      <c r="AO131" s="6">
        <f t="shared" si="117"/>
        <v>0.11359024601876617</v>
      </c>
      <c r="AP131" s="6">
        <f t="shared" si="118"/>
        <v>0.11705200829351459</v>
      </c>
      <c r="AQ131" s="6">
        <f t="shared" si="119"/>
        <v>0.11966051355224162</v>
      </c>
      <c r="AR131" s="6">
        <f t="shared" si="120"/>
        <v>0.12166659961145551</v>
      </c>
      <c r="AS131" s="6">
        <f t="shared" si="121"/>
        <v>0.12323800928042214</v>
      </c>
      <c r="AT131" s="6">
        <f t="shared" si="122"/>
        <v>0.13190085165052956</v>
      </c>
      <c r="AW131" s="3">
        <f t="shared" si="88"/>
        <v>2380</v>
      </c>
      <c r="AX131" s="3">
        <f t="shared" si="85"/>
        <v>175</v>
      </c>
      <c r="AY131" s="3">
        <f t="shared" si="86"/>
        <v>416500</v>
      </c>
      <c r="AZ131" s="13">
        <f t="shared" si="87"/>
        <v>9.7258286125584112E-2</v>
      </c>
      <c r="BA131" s="3">
        <f t="shared" si="95"/>
        <v>40508.07617130578</v>
      </c>
      <c r="BB131" s="3">
        <f t="shared" si="96"/>
        <v>40490.138225038609</v>
      </c>
      <c r="BC131" s="3">
        <f t="shared" si="83"/>
        <v>40452.677436690814</v>
      </c>
      <c r="BD131" s="3">
        <f t="shared" si="84"/>
        <v>80986.111111111109</v>
      </c>
    </row>
    <row r="132" spans="3:56" x14ac:dyDescent="0.45">
      <c r="C132">
        <f t="shared" si="105"/>
        <v>120</v>
      </c>
      <c r="D132" s="2">
        <f t="shared" si="103"/>
        <v>685.22694524995666</v>
      </c>
      <c r="E132" s="2">
        <f t="shared" si="103"/>
        <v>4361.1690955908225</v>
      </c>
      <c r="F132" s="2">
        <f t="shared" si="103"/>
        <v>10978.419003978543</v>
      </c>
      <c r="G132" s="2">
        <f t="shared" si="103"/>
        <v>19194.027691753494</v>
      </c>
      <c r="H132" s="2">
        <f t="shared" si="103"/>
        <v>28030.862109073994</v>
      </c>
      <c r="I132" s="2">
        <f t="shared" si="103"/>
        <v>37021.988823586049</v>
      </c>
      <c r="J132" s="2">
        <f t="shared" si="103"/>
        <v>45982.432339164421</v>
      </c>
      <c r="K132" s="2">
        <f t="shared" si="103"/>
        <v>54851.047446181605</v>
      </c>
      <c r="L132" s="2">
        <f t="shared" si="103"/>
        <v>63616.059803985176</v>
      </c>
      <c r="M132" s="2">
        <f t="shared" si="103"/>
        <v>72283.737009484597</v>
      </c>
      <c r="N132" s="2">
        <f t="shared" si="103"/>
        <v>80865.7900242787</v>
      </c>
      <c r="O132" s="2">
        <f t="shared" si="103"/>
        <v>89374.515640783022</v>
      </c>
      <c r="P132" s="2">
        <f t="shared" si="106"/>
        <v>71824.535894085071</v>
      </c>
      <c r="R132">
        <f t="shared" si="107"/>
        <v>120</v>
      </c>
      <c r="S132" s="2">
        <f t="shared" si="104"/>
        <v>60000</v>
      </c>
      <c r="T132" s="2">
        <f t="shared" si="104"/>
        <v>120000</v>
      </c>
      <c r="U132" s="2">
        <f t="shared" si="104"/>
        <v>180000</v>
      </c>
      <c r="V132" s="2">
        <f t="shared" si="104"/>
        <v>240000</v>
      </c>
      <c r="W132" s="2">
        <f t="shared" si="104"/>
        <v>300000</v>
      </c>
      <c r="X132" s="2">
        <f t="shared" si="104"/>
        <v>360000</v>
      </c>
      <c r="Y132" s="2">
        <f t="shared" si="104"/>
        <v>420000</v>
      </c>
      <c r="Z132" s="2">
        <f t="shared" si="104"/>
        <v>480000</v>
      </c>
      <c r="AA132" s="2">
        <f t="shared" si="108"/>
        <v>540000</v>
      </c>
      <c r="AB132" s="2">
        <f t="shared" si="108"/>
        <v>600000</v>
      </c>
      <c r="AC132" s="2">
        <f t="shared" si="108"/>
        <v>660000</v>
      </c>
      <c r="AD132" s="2">
        <f t="shared" si="108"/>
        <v>720000</v>
      </c>
      <c r="AE132" s="2">
        <f t="shared" si="108"/>
        <v>540000</v>
      </c>
      <c r="AG132">
        <f t="shared" si="109"/>
        <v>120</v>
      </c>
      <c r="AH132" s="6">
        <f t="shared" si="110"/>
        <v>1.1420449087499278E-2</v>
      </c>
      <c r="AI132" s="6">
        <f t="shared" si="111"/>
        <v>3.6343075796590185E-2</v>
      </c>
      <c r="AJ132" s="6">
        <f t="shared" si="112"/>
        <v>6.0991216688769681E-2</v>
      </c>
      <c r="AK132" s="6">
        <f t="shared" si="113"/>
        <v>7.9975115382306228E-2</v>
      </c>
      <c r="AL132" s="6">
        <f t="shared" si="114"/>
        <v>9.3436207030246646E-2</v>
      </c>
      <c r="AM132" s="6">
        <f t="shared" si="115"/>
        <v>0.10283885784329458</v>
      </c>
      <c r="AN132" s="6">
        <f t="shared" si="116"/>
        <v>0.10948198175991529</v>
      </c>
      <c r="AO132" s="6">
        <f t="shared" si="117"/>
        <v>0.11427301551287834</v>
      </c>
      <c r="AP132" s="6">
        <f t="shared" si="118"/>
        <v>0.1178075181555281</v>
      </c>
      <c r="AQ132" s="6">
        <f t="shared" si="119"/>
        <v>0.12047289501580766</v>
      </c>
      <c r="AR132" s="6">
        <f t="shared" si="120"/>
        <v>0.12252392427921015</v>
      </c>
      <c r="AS132" s="6">
        <f t="shared" si="121"/>
        <v>0.12413127172330975</v>
      </c>
      <c r="AT132" s="6">
        <f t="shared" si="122"/>
        <v>0.13300839980386125</v>
      </c>
      <c r="AW132" s="3">
        <f t="shared" si="88"/>
        <v>2400</v>
      </c>
      <c r="AX132" s="3">
        <f t="shared" si="85"/>
        <v>176</v>
      </c>
      <c r="AY132" s="3">
        <f t="shared" si="86"/>
        <v>422400</v>
      </c>
      <c r="AZ132" s="13">
        <f t="shared" si="87"/>
        <v>9.7814044449875001E-2</v>
      </c>
      <c r="BA132" s="3">
        <f t="shared" si="95"/>
        <v>41316.6523756272</v>
      </c>
      <c r="BB132" s="3">
        <f t="shared" si="96"/>
        <v>41353.532621562183</v>
      </c>
      <c r="BC132" s="3">
        <f t="shared" si="83"/>
        <v>41370.433152469152</v>
      </c>
      <c r="BD132" s="3">
        <f t="shared" si="84"/>
        <v>82602.666666666672</v>
      </c>
    </row>
    <row r="133" spans="3:56" x14ac:dyDescent="0.45">
      <c r="C133">
        <f t="shared" si="105"/>
        <v>121</v>
      </c>
      <c r="D133" s="2">
        <f t="shared" ref="D133:O142" si="123">$C$7*BL_MBPS*BL_KM^2*D$12^3*$C133^2/((EM_KM*D$12)^2+(2*PI()*AVG_SUN_DIST_KM*$C133)^2)</f>
        <v>686.19441618585415</v>
      </c>
      <c r="E133" s="2">
        <f t="shared" si="123"/>
        <v>4380.8246416889779</v>
      </c>
      <c r="F133" s="2">
        <f t="shared" si="123"/>
        <v>11061.709821323264</v>
      </c>
      <c r="G133" s="2">
        <f t="shared" si="123"/>
        <v>19385.42586427875</v>
      </c>
      <c r="H133" s="2">
        <f t="shared" si="123"/>
        <v>28357.975245135625</v>
      </c>
      <c r="I133" s="2">
        <f t="shared" si="123"/>
        <v>37498.061911414057</v>
      </c>
      <c r="J133" s="2">
        <f t="shared" si="123"/>
        <v>46612.449150075387</v>
      </c>
      <c r="K133" s="2">
        <f t="shared" si="123"/>
        <v>55635.933537111792</v>
      </c>
      <c r="L133" s="2">
        <f t="shared" si="123"/>
        <v>64554.939726822988</v>
      </c>
      <c r="M133" s="2">
        <f t="shared" si="123"/>
        <v>73375.039790290306</v>
      </c>
      <c r="N133" s="2">
        <f t="shared" si="123"/>
        <v>82107.764560956653</v>
      </c>
      <c r="O133" s="2">
        <f t="shared" si="123"/>
        <v>90765.458781794194</v>
      </c>
      <c r="P133" s="2">
        <f t="shared" si="106"/>
        <v>73026.129769024963</v>
      </c>
      <c r="R133">
        <f t="shared" si="107"/>
        <v>121</v>
      </c>
      <c r="S133" s="2">
        <f t="shared" si="104"/>
        <v>60500</v>
      </c>
      <c r="T133" s="2">
        <f t="shared" si="104"/>
        <v>121000</v>
      </c>
      <c r="U133" s="2">
        <f t="shared" si="104"/>
        <v>181500</v>
      </c>
      <c r="V133" s="2">
        <f t="shared" si="104"/>
        <v>242000</v>
      </c>
      <c r="W133" s="2">
        <f t="shared" si="104"/>
        <v>302500</v>
      </c>
      <c r="X133" s="2">
        <f t="shared" si="104"/>
        <v>363000</v>
      </c>
      <c r="Y133" s="2">
        <f t="shared" si="104"/>
        <v>423500</v>
      </c>
      <c r="Z133" s="2">
        <f t="shared" si="104"/>
        <v>484000</v>
      </c>
      <c r="AA133" s="2">
        <f t="shared" si="108"/>
        <v>544500</v>
      </c>
      <c r="AB133" s="2">
        <f t="shared" si="108"/>
        <v>605000</v>
      </c>
      <c r="AC133" s="2">
        <f t="shared" si="108"/>
        <v>665500</v>
      </c>
      <c r="AD133" s="2">
        <f t="shared" si="108"/>
        <v>726000</v>
      </c>
      <c r="AE133" s="2">
        <f t="shared" si="108"/>
        <v>544500</v>
      </c>
      <c r="AG133">
        <f t="shared" si="109"/>
        <v>121</v>
      </c>
      <c r="AH133" s="6">
        <f t="shared" si="110"/>
        <v>1.1342056465881887E-2</v>
      </c>
      <c r="AI133" s="6">
        <f t="shared" si="111"/>
        <v>3.6205162328008078E-2</v>
      </c>
      <c r="AJ133" s="6">
        <f t="shared" si="112"/>
        <v>6.0946059621615777E-2</v>
      </c>
      <c r="AK133" s="6">
        <f t="shared" si="113"/>
        <v>8.0105065554870861E-2</v>
      </c>
      <c r="AL133" s="6">
        <f t="shared" si="114"/>
        <v>9.3745372711192154E-2</v>
      </c>
      <c r="AM133" s="6">
        <f t="shared" si="115"/>
        <v>0.10330044603695332</v>
      </c>
      <c r="AN133" s="6">
        <f t="shared" si="116"/>
        <v>0.11006481499427483</v>
      </c>
      <c r="AO133" s="6">
        <f t="shared" si="117"/>
        <v>0.11495027590312354</v>
      </c>
      <c r="AP133" s="6">
        <f t="shared" si="118"/>
        <v>0.11855819968195223</v>
      </c>
      <c r="AQ133" s="6">
        <f t="shared" si="119"/>
        <v>0.12128105750461207</v>
      </c>
      <c r="AR133" s="6">
        <f t="shared" si="120"/>
        <v>0.12337755756717754</v>
      </c>
      <c r="AS133" s="6">
        <f t="shared" si="121"/>
        <v>0.1250212930878708</v>
      </c>
      <c r="AT133" s="6">
        <f t="shared" si="122"/>
        <v>0.13411594080629011</v>
      </c>
      <c r="AW133" s="3">
        <f t="shared" si="88"/>
        <v>2420</v>
      </c>
      <c r="AX133" s="3">
        <f t="shared" si="85"/>
        <v>178</v>
      </c>
      <c r="AY133" s="3">
        <f t="shared" si="86"/>
        <v>430760</v>
      </c>
      <c r="AZ133" s="13">
        <f t="shared" si="87"/>
        <v>9.892556109845678E-2</v>
      </c>
      <c r="BA133" s="3">
        <f t="shared" si="95"/>
        <v>42613.174698771239</v>
      </c>
      <c r="BB133" s="3">
        <f t="shared" si="96"/>
        <v>42587.270204375294</v>
      </c>
      <c r="BC133" s="3">
        <f t="shared" si="83"/>
        <v>42540.821878090152</v>
      </c>
      <c r="BD133" s="3">
        <f t="shared" si="84"/>
        <v>85194.755555555545</v>
      </c>
    </row>
    <row r="134" spans="3:56" x14ac:dyDescent="0.45">
      <c r="C134">
        <f t="shared" si="105"/>
        <v>122</v>
      </c>
      <c r="D134" s="2">
        <f t="shared" si="123"/>
        <v>687.14083052552644</v>
      </c>
      <c r="E134" s="2">
        <f t="shared" si="123"/>
        <v>4400.1703099705719</v>
      </c>
      <c r="F134" s="2">
        <f t="shared" si="123"/>
        <v>11144.187761108746</v>
      </c>
      <c r="G134" s="2">
        <f t="shared" si="123"/>
        <v>19575.851048040389</v>
      </c>
      <c r="H134" s="2">
        <f t="shared" si="123"/>
        <v>28684.518833355323</v>
      </c>
      <c r="I134" s="2">
        <f t="shared" si="123"/>
        <v>37974.423947287047</v>
      </c>
      <c r="J134" s="2">
        <f t="shared" si="123"/>
        <v>47243.897713960658</v>
      </c>
      <c r="K134" s="2">
        <f t="shared" si="123"/>
        <v>56423.548880454888</v>
      </c>
      <c r="L134" s="2">
        <f t="shared" si="123"/>
        <v>65497.920546671514</v>
      </c>
      <c r="M134" s="2">
        <f t="shared" si="123"/>
        <v>74471.843296054925</v>
      </c>
      <c r="N134" s="2">
        <f t="shared" si="123"/>
        <v>83356.642906794354</v>
      </c>
      <c r="O134" s="2">
        <f t="shared" si="123"/>
        <v>92164.699220445473</v>
      </c>
      <c r="P134" s="2">
        <f t="shared" si="106"/>
        <v>74237.68761961181</v>
      </c>
      <c r="R134">
        <f t="shared" si="107"/>
        <v>122</v>
      </c>
      <c r="S134" s="2">
        <f t="shared" si="104"/>
        <v>61000</v>
      </c>
      <c r="T134" s="2">
        <f t="shared" si="104"/>
        <v>122000</v>
      </c>
      <c r="U134" s="2">
        <f t="shared" si="104"/>
        <v>183000</v>
      </c>
      <c r="V134" s="2">
        <f t="shared" si="104"/>
        <v>244000</v>
      </c>
      <c r="W134" s="2">
        <f t="shared" si="104"/>
        <v>305000</v>
      </c>
      <c r="X134" s="2">
        <f t="shared" si="104"/>
        <v>366000</v>
      </c>
      <c r="Y134" s="2">
        <f t="shared" si="104"/>
        <v>427000</v>
      </c>
      <c r="Z134" s="2">
        <f t="shared" si="104"/>
        <v>488000</v>
      </c>
      <c r="AA134" s="2">
        <f t="shared" si="108"/>
        <v>549000</v>
      </c>
      <c r="AB134" s="2">
        <f t="shared" si="108"/>
        <v>610000</v>
      </c>
      <c r="AC134" s="2">
        <f t="shared" si="108"/>
        <v>671000</v>
      </c>
      <c r="AD134" s="2">
        <f t="shared" si="108"/>
        <v>732000</v>
      </c>
      <c r="AE134" s="2">
        <f t="shared" si="108"/>
        <v>549000</v>
      </c>
      <c r="AG134">
        <f t="shared" si="109"/>
        <v>122</v>
      </c>
      <c r="AH134" s="6">
        <f t="shared" si="110"/>
        <v>1.126460377910699E-2</v>
      </c>
      <c r="AI134" s="6">
        <f t="shared" si="111"/>
        <v>3.6066969753857148E-2</v>
      </c>
      <c r="AJ134" s="6">
        <f t="shared" si="112"/>
        <v>6.089720088037566E-2</v>
      </c>
      <c r="AK134" s="6">
        <f t="shared" si="113"/>
        <v>8.0228897737870453E-2</v>
      </c>
      <c r="AL134" s="6">
        <f t="shared" si="114"/>
        <v>9.4047602732312538E-2</v>
      </c>
      <c r="AM134" s="6">
        <f t="shared" si="115"/>
        <v>0.10375525668657663</v>
      </c>
      <c r="AN134" s="6">
        <f t="shared" si="116"/>
        <v>0.11064144663691021</v>
      </c>
      <c r="AO134" s="6">
        <f t="shared" si="117"/>
        <v>0.11562202639437477</v>
      </c>
      <c r="AP134" s="6">
        <f t="shared" si="118"/>
        <v>0.11930404471160568</v>
      </c>
      <c r="AQ134" s="6">
        <f t="shared" si="119"/>
        <v>0.12208498900992611</v>
      </c>
      <c r="AR134" s="6">
        <f t="shared" si="120"/>
        <v>0.12422748570312124</v>
      </c>
      <c r="AS134" s="6">
        <f t="shared" si="121"/>
        <v>0.12590805904432442</v>
      </c>
      <c r="AT134" s="6">
        <f t="shared" si="122"/>
        <v>0.13522347471696139</v>
      </c>
      <c r="AW134" s="3">
        <f t="shared" si="88"/>
        <v>2440</v>
      </c>
      <c r="AX134" s="3">
        <f t="shared" si="85"/>
        <v>179</v>
      </c>
      <c r="AY134" s="3">
        <f t="shared" si="86"/>
        <v>436760</v>
      </c>
      <c r="AZ134" s="13">
        <f t="shared" si="87"/>
        <v>9.9481319422747669E-2</v>
      </c>
      <c r="BA134" s="3">
        <f t="shared" si="95"/>
        <v>43449.461071079269</v>
      </c>
      <c r="BB134" s="3">
        <f t="shared" si="96"/>
        <v>43480.150306294272</v>
      </c>
      <c r="BC134" s="3">
        <f t="shared" si="83"/>
        <v>43489.843113214061</v>
      </c>
      <c r="BD134" s="3">
        <f t="shared" si="84"/>
        <v>86866.711111111101</v>
      </c>
    </row>
    <row r="135" spans="3:56" x14ac:dyDescent="0.45">
      <c r="C135">
        <f t="shared" si="105"/>
        <v>123</v>
      </c>
      <c r="D135" s="2">
        <f t="shared" si="123"/>
        <v>688.06677522136852</v>
      </c>
      <c r="E135" s="2">
        <f t="shared" si="123"/>
        <v>4419.2114513722427</v>
      </c>
      <c r="F135" s="2">
        <f t="shared" si="123"/>
        <v>11225.856406822082</v>
      </c>
      <c r="G135" s="2">
        <f t="shared" si="123"/>
        <v>19765.291441997695</v>
      </c>
      <c r="H135" s="2">
        <f t="shared" si="123"/>
        <v>29010.461267311282</v>
      </c>
      <c r="I135" s="2">
        <f t="shared" si="123"/>
        <v>38451.026748501958</v>
      </c>
      <c r="J135" s="2">
        <f t="shared" si="123"/>
        <v>47876.718538229972</v>
      </c>
      <c r="K135" s="2">
        <f t="shared" si="123"/>
        <v>57213.827290570254</v>
      </c>
      <c r="L135" s="2">
        <f t="shared" si="123"/>
        <v>66444.932747006285</v>
      </c>
      <c r="M135" s="2">
        <f t="shared" si="123"/>
        <v>75574.07693244156</v>
      </c>
      <c r="N135" s="2">
        <f t="shared" si="123"/>
        <v>84612.354829079108</v>
      </c>
      <c r="O135" s="2">
        <f t="shared" si="123"/>
        <v>93572.167970598166</v>
      </c>
      <c r="P135" s="2">
        <f t="shared" si="106"/>
        <v>75459.209382306668</v>
      </c>
      <c r="R135">
        <f t="shared" si="107"/>
        <v>123</v>
      </c>
      <c r="S135" s="2">
        <f t="shared" si="104"/>
        <v>61500</v>
      </c>
      <c r="T135" s="2">
        <f t="shared" si="104"/>
        <v>123000</v>
      </c>
      <c r="U135" s="2">
        <f t="shared" si="104"/>
        <v>184500</v>
      </c>
      <c r="V135" s="2">
        <f t="shared" si="104"/>
        <v>246000</v>
      </c>
      <c r="W135" s="2">
        <f t="shared" si="104"/>
        <v>307500</v>
      </c>
      <c r="X135" s="2">
        <f t="shared" si="104"/>
        <v>369000</v>
      </c>
      <c r="Y135" s="2">
        <f t="shared" si="104"/>
        <v>430500</v>
      </c>
      <c r="Z135" s="2">
        <f t="shared" si="104"/>
        <v>492000</v>
      </c>
      <c r="AA135" s="2">
        <f t="shared" si="108"/>
        <v>553500</v>
      </c>
      <c r="AB135" s="2">
        <f t="shared" si="108"/>
        <v>615000</v>
      </c>
      <c r="AC135" s="2">
        <f t="shared" si="108"/>
        <v>676500</v>
      </c>
      <c r="AD135" s="2">
        <f t="shared" si="108"/>
        <v>738000</v>
      </c>
      <c r="AE135" s="2">
        <f t="shared" si="108"/>
        <v>553500</v>
      </c>
      <c r="AG135">
        <f t="shared" si="109"/>
        <v>123</v>
      </c>
      <c r="AH135" s="6">
        <f t="shared" si="110"/>
        <v>1.1188077645875911E-2</v>
      </c>
      <c r="AI135" s="6">
        <f t="shared" si="111"/>
        <v>3.5928548385140181E-2</v>
      </c>
      <c r="AJ135" s="6">
        <f t="shared" si="112"/>
        <v>6.084475017247741E-2</v>
      </c>
      <c r="AK135" s="6">
        <f t="shared" si="113"/>
        <v>8.0346713178852419E-2</v>
      </c>
      <c r="AL135" s="6">
        <f t="shared" si="114"/>
        <v>9.4342963470931004E-2</v>
      </c>
      <c r="AM135" s="6">
        <f t="shared" si="115"/>
        <v>0.10420332452168553</v>
      </c>
      <c r="AN135" s="6">
        <f t="shared" si="116"/>
        <v>0.111211889751986</v>
      </c>
      <c r="AO135" s="6">
        <f t="shared" si="117"/>
        <v>0.11628826685075255</v>
      </c>
      <c r="AP135" s="6">
        <f t="shared" si="118"/>
        <v>0.12004504561338082</v>
      </c>
      <c r="AQ135" s="6">
        <f t="shared" si="119"/>
        <v>0.12288467793892936</v>
      </c>
      <c r="AR135" s="6">
        <f t="shared" si="120"/>
        <v>0.12507369523884568</v>
      </c>
      <c r="AS135" s="6">
        <f t="shared" si="121"/>
        <v>0.12679155551571566</v>
      </c>
      <c r="AT135" s="6">
        <f t="shared" si="122"/>
        <v>0.13633100159404998</v>
      </c>
      <c r="AW135" s="3">
        <f t="shared" si="88"/>
        <v>2460</v>
      </c>
      <c r="AX135" s="3">
        <f t="shared" si="85"/>
        <v>181</v>
      </c>
      <c r="AY135" s="3">
        <f t="shared" si="86"/>
        <v>445260</v>
      </c>
      <c r="AZ135" s="13">
        <f t="shared" si="87"/>
        <v>0.10059283607132946</v>
      </c>
      <c r="BA135" s="3">
        <f t="shared" si="95"/>
        <v>44789.966189120154</v>
      </c>
      <c r="BB135" s="3">
        <f t="shared" si="96"/>
        <v>44755.588663117829</v>
      </c>
      <c r="BC135" s="3">
        <f t="shared" si="83"/>
        <v>44699.60901519053</v>
      </c>
      <c r="BD135" s="3">
        <f t="shared" si="84"/>
        <v>89546.733333333337</v>
      </c>
    </row>
    <row r="136" spans="3:56" x14ac:dyDescent="0.45">
      <c r="C136">
        <f t="shared" si="105"/>
        <v>124</v>
      </c>
      <c r="D136" s="2">
        <f t="shared" si="123"/>
        <v>688.97281766040771</v>
      </c>
      <c r="E136" s="2">
        <f t="shared" si="123"/>
        <v>4437.9533413344498</v>
      </c>
      <c r="F136" s="2">
        <f t="shared" si="123"/>
        <v>11306.719567779692</v>
      </c>
      <c r="G136" s="2">
        <f t="shared" si="123"/>
        <v>19953.735876489569</v>
      </c>
      <c r="H136" s="2">
        <f t="shared" si="123"/>
        <v>29335.771715773128</v>
      </c>
      <c r="I136" s="2">
        <f t="shared" si="123"/>
        <v>38927.822822664726</v>
      </c>
      <c r="J136" s="2">
        <f t="shared" si="123"/>
        <v>48510.852640852849</v>
      </c>
      <c r="K136" s="2">
        <f t="shared" si="123"/>
        <v>58006.702902737117</v>
      </c>
      <c r="L136" s="2">
        <f t="shared" si="123"/>
        <v>67395.906967524017</v>
      </c>
      <c r="M136" s="2">
        <f t="shared" si="123"/>
        <v>76681.670129991704</v>
      </c>
      <c r="N136" s="2">
        <f t="shared" si="123"/>
        <v>85874.830019757457</v>
      </c>
      <c r="O136" s="2">
        <f t="shared" si="123"/>
        <v>94987.795896277967</v>
      </c>
      <c r="P136" s="2">
        <f t="shared" si="106"/>
        <v>76690.694994090431</v>
      </c>
      <c r="R136">
        <f t="shared" si="107"/>
        <v>124</v>
      </c>
      <c r="S136" s="2">
        <f t="shared" ref="S136:Z145" si="124">$R136*S$12</f>
        <v>62000</v>
      </c>
      <c r="T136" s="2">
        <f t="shared" si="124"/>
        <v>124000</v>
      </c>
      <c r="U136" s="2">
        <f t="shared" si="124"/>
        <v>186000</v>
      </c>
      <c r="V136" s="2">
        <f t="shared" si="124"/>
        <v>248000</v>
      </c>
      <c r="W136" s="2">
        <f t="shared" si="124"/>
        <v>310000</v>
      </c>
      <c r="X136" s="2">
        <f t="shared" si="124"/>
        <v>372000</v>
      </c>
      <c r="Y136" s="2">
        <f t="shared" si="124"/>
        <v>434000</v>
      </c>
      <c r="Z136" s="2">
        <f t="shared" si="124"/>
        <v>496000</v>
      </c>
      <c r="AA136" s="2">
        <f t="shared" si="108"/>
        <v>558000</v>
      </c>
      <c r="AB136" s="2">
        <f t="shared" si="108"/>
        <v>620000</v>
      </c>
      <c r="AC136" s="2">
        <f t="shared" si="108"/>
        <v>682000</v>
      </c>
      <c r="AD136" s="2">
        <f t="shared" si="108"/>
        <v>744000</v>
      </c>
      <c r="AE136" s="2">
        <f t="shared" si="108"/>
        <v>558000</v>
      </c>
      <c r="AG136">
        <f t="shared" si="109"/>
        <v>124</v>
      </c>
      <c r="AH136" s="6">
        <f t="shared" si="110"/>
        <v>1.1112464800974317E-2</v>
      </c>
      <c r="AI136" s="6">
        <f t="shared" si="111"/>
        <v>3.5789946301084272E-2</v>
      </c>
      <c r="AJ136" s="6">
        <f t="shared" si="112"/>
        <v>6.0788814880535974E-2</v>
      </c>
      <c r="AK136" s="6">
        <f t="shared" si="113"/>
        <v>8.0458612405199872E-2</v>
      </c>
      <c r="AL136" s="6">
        <f t="shared" si="114"/>
        <v>9.4631521663784288E-2</v>
      </c>
      <c r="AM136" s="6">
        <f t="shared" si="115"/>
        <v>0.10464468500716324</v>
      </c>
      <c r="AN136" s="6">
        <f t="shared" si="116"/>
        <v>0.11177615815864712</v>
      </c>
      <c r="AO136" s="6">
        <f t="shared" si="117"/>
        <v>0.11694899778777644</v>
      </c>
      <c r="AP136" s="6">
        <f t="shared" si="118"/>
        <v>0.12078119528230111</v>
      </c>
      <c r="AQ136" s="6">
        <f t="shared" si="119"/>
        <v>0.12368011311288984</v>
      </c>
      <c r="AR136" s="6">
        <f t="shared" si="120"/>
        <v>0.12591617304949773</v>
      </c>
      <c r="AS136" s="6">
        <f t="shared" si="121"/>
        <v>0.12767176867779298</v>
      </c>
      <c r="AT136" s="6">
        <f t="shared" si="122"/>
        <v>0.13743852149478572</v>
      </c>
      <c r="AW136" s="3">
        <f t="shared" si="88"/>
        <v>2480</v>
      </c>
      <c r="AX136" s="3">
        <f t="shared" si="85"/>
        <v>182</v>
      </c>
      <c r="AY136" s="3">
        <f t="shared" si="86"/>
        <v>451360</v>
      </c>
      <c r="AZ136" s="13">
        <f t="shared" si="87"/>
        <v>0.10114859439562035</v>
      </c>
      <c r="BA136" s="3">
        <f t="shared" si="95"/>
        <v>45654.429566407198</v>
      </c>
      <c r="BB136" s="3">
        <f t="shared" si="96"/>
        <v>45678.44950858986</v>
      </c>
      <c r="BC136" s="3">
        <f t="shared" si="83"/>
        <v>45680.419369555391</v>
      </c>
      <c r="BD136" s="3">
        <f t="shared" si="84"/>
        <v>91275.022222222222</v>
      </c>
    </row>
    <row r="137" spans="3:56" x14ac:dyDescent="0.45">
      <c r="C137">
        <f t="shared" si="105"/>
        <v>125</v>
      </c>
      <c r="D137" s="2">
        <f t="shared" si="123"/>
        <v>689.85950640778583</v>
      </c>
      <c r="E137" s="2">
        <f t="shared" si="123"/>
        <v>4456.4011791818139</v>
      </c>
      <c r="F137" s="2">
        <f t="shared" si="123"/>
        <v>11386.781266419954</v>
      </c>
      <c r="G137" s="2">
        <f t="shared" si="123"/>
        <v>20141.173798451651</v>
      </c>
      <c r="H137" s="2">
        <f t="shared" si="123"/>
        <v>29660.420115954334</v>
      </c>
      <c r="I137" s="2">
        <f t="shared" si="123"/>
        <v>39404.765369314053</v>
      </c>
      <c r="J137" s="2">
        <f t="shared" si="123"/>
        <v>49146.241557140005</v>
      </c>
      <c r="K137" s="2">
        <f t="shared" si="123"/>
        <v>58802.110182218683</v>
      </c>
      <c r="L137" s="2">
        <f t="shared" si="123"/>
        <v>68350.774013717659</v>
      </c>
      <c r="M137" s="2">
        <f t="shared" si="123"/>
        <v>77794.552353299543</v>
      </c>
      <c r="N137" s="2">
        <f t="shared" si="123"/>
        <v>87143.998103813545</v>
      </c>
      <c r="O137" s="2">
        <f t="shared" si="123"/>
        <v>96411.513719137874</v>
      </c>
      <c r="P137" s="2">
        <f t="shared" si="106"/>
        <v>77932.144392454007</v>
      </c>
      <c r="R137">
        <f t="shared" si="107"/>
        <v>125</v>
      </c>
      <c r="S137" s="2">
        <f t="shared" si="124"/>
        <v>62500</v>
      </c>
      <c r="T137" s="2">
        <f t="shared" si="124"/>
        <v>125000</v>
      </c>
      <c r="U137" s="2">
        <f t="shared" si="124"/>
        <v>187500</v>
      </c>
      <c r="V137" s="2">
        <f t="shared" si="124"/>
        <v>250000</v>
      </c>
      <c r="W137" s="2">
        <f t="shared" si="124"/>
        <v>312500</v>
      </c>
      <c r="X137" s="2">
        <f t="shared" si="124"/>
        <v>375000</v>
      </c>
      <c r="Y137" s="2">
        <f t="shared" si="124"/>
        <v>437500</v>
      </c>
      <c r="Z137" s="2">
        <f t="shared" si="124"/>
        <v>500000</v>
      </c>
      <c r="AA137" s="2">
        <f t="shared" si="108"/>
        <v>562500</v>
      </c>
      <c r="AB137" s="2">
        <f t="shared" si="108"/>
        <v>625000</v>
      </c>
      <c r="AC137" s="2">
        <f t="shared" si="108"/>
        <v>687500</v>
      </c>
      <c r="AD137" s="2">
        <f t="shared" si="108"/>
        <v>750000</v>
      </c>
      <c r="AE137" s="2">
        <f t="shared" si="108"/>
        <v>562500</v>
      </c>
      <c r="AG137">
        <f t="shared" si="109"/>
        <v>125</v>
      </c>
      <c r="AH137" s="6">
        <f t="shared" si="110"/>
        <v>1.1037752102524574E-2</v>
      </c>
      <c r="AI137" s="6">
        <f t="shared" si="111"/>
        <v>3.5651209433454512E-2</v>
      </c>
      <c r="AJ137" s="6">
        <f t="shared" si="112"/>
        <v>6.0729500087573086E-2</v>
      </c>
      <c r="AK137" s="6">
        <f t="shared" si="113"/>
        <v>8.0564695193806601E-2</v>
      </c>
      <c r="AL137" s="6">
        <f t="shared" si="114"/>
        <v>9.4913344371053865E-2</v>
      </c>
      <c r="AM137" s="6">
        <f t="shared" si="115"/>
        <v>0.10507937431817081</v>
      </c>
      <c r="AN137" s="6">
        <f t="shared" si="116"/>
        <v>0.11233426641632001</v>
      </c>
      <c r="AO137" s="6">
        <f t="shared" si="117"/>
        <v>0.11760422036443736</v>
      </c>
      <c r="AP137" s="6">
        <f t="shared" si="118"/>
        <v>0.12151248713549806</v>
      </c>
      <c r="AQ137" s="6">
        <f t="shared" si="119"/>
        <v>0.12447128376527927</v>
      </c>
      <c r="AR137" s="6">
        <f t="shared" si="120"/>
        <v>0.12675490633281969</v>
      </c>
      <c r="AS137" s="6">
        <f t="shared" si="121"/>
        <v>0.1285486849588505</v>
      </c>
      <c r="AT137" s="6">
        <f t="shared" si="122"/>
        <v>0.13854603447547378</v>
      </c>
      <c r="AW137" s="3">
        <f t="shared" si="88"/>
        <v>2500</v>
      </c>
      <c r="AX137" s="3">
        <f t="shared" si="85"/>
        <v>184</v>
      </c>
      <c r="AY137" s="3">
        <f t="shared" si="86"/>
        <v>460000</v>
      </c>
      <c r="AZ137" s="13">
        <f t="shared" si="87"/>
        <v>0.10226011104420213</v>
      </c>
      <c r="BA137" s="3">
        <f t="shared" si="95"/>
        <v>47039.65108033298</v>
      </c>
      <c r="BB137" s="3">
        <f t="shared" si="96"/>
        <v>46996.28169271168</v>
      </c>
      <c r="BC137" s="3">
        <f t="shared" si="83"/>
        <v>46930.213891802981</v>
      </c>
      <c r="BD137" s="3">
        <f t="shared" si="84"/>
        <v>94044.444444444438</v>
      </c>
    </row>
    <row r="138" spans="3:56" x14ac:dyDescent="0.45">
      <c r="C138">
        <f t="shared" si="105"/>
        <v>126</v>
      </c>
      <c r="D138" s="2">
        <f t="shared" si="123"/>
        <v>690.72737191931412</v>
      </c>
      <c r="E138" s="2">
        <f t="shared" si="123"/>
        <v>4474.560087653781</v>
      </c>
      <c r="F138" s="2">
        <f t="shared" si="123"/>
        <v>11466.045726037095</v>
      </c>
      <c r="G138" s="2">
        <f t="shared" si="123"/>
        <v>20327.595256721994</v>
      </c>
      <c r="H138" s="2">
        <f t="shared" si="123"/>
        <v>29984.377166500672</v>
      </c>
      <c r="I138" s="2">
        <f t="shared" si="123"/>
        <v>39881.808281185673</v>
      </c>
      <c r="J138" s="2">
        <f t="shared" si="123"/>
        <v>49782.827346213417</v>
      </c>
      <c r="K138" s="2">
        <f t="shared" si="123"/>
        <v>59599.983933098702</v>
      </c>
      <c r="L138" s="2">
        <f t="shared" si="123"/>
        <v>69309.464866298862</v>
      </c>
      <c r="M138" s="2">
        <f t="shared" si="123"/>
        <v>78912.653110089668</v>
      </c>
      <c r="N138" s="2">
        <f t="shared" si="123"/>
        <v>88419.788647589638</v>
      </c>
      <c r="O138" s="2">
        <f t="shared" si="123"/>
        <v>97843.252025889058</v>
      </c>
      <c r="P138" s="2">
        <f t="shared" si="106"/>
        <v>79183.557515390698</v>
      </c>
      <c r="R138">
        <f t="shared" si="107"/>
        <v>126</v>
      </c>
      <c r="S138" s="2">
        <f t="shared" si="124"/>
        <v>63000</v>
      </c>
      <c r="T138" s="2">
        <f t="shared" si="124"/>
        <v>126000</v>
      </c>
      <c r="U138" s="2">
        <f t="shared" si="124"/>
        <v>189000</v>
      </c>
      <c r="V138" s="2">
        <f t="shared" si="124"/>
        <v>252000</v>
      </c>
      <c r="W138" s="2">
        <f t="shared" si="124"/>
        <v>315000</v>
      </c>
      <c r="X138" s="2">
        <f t="shared" si="124"/>
        <v>378000</v>
      </c>
      <c r="Y138" s="2">
        <f t="shared" si="124"/>
        <v>441000</v>
      </c>
      <c r="Z138" s="2">
        <f t="shared" si="124"/>
        <v>504000</v>
      </c>
      <c r="AA138" s="2">
        <f t="shared" si="108"/>
        <v>567000</v>
      </c>
      <c r="AB138" s="2">
        <f t="shared" si="108"/>
        <v>630000</v>
      </c>
      <c r="AC138" s="2">
        <f t="shared" si="108"/>
        <v>693000</v>
      </c>
      <c r="AD138" s="2">
        <f t="shared" si="108"/>
        <v>756000</v>
      </c>
      <c r="AE138" s="2">
        <f t="shared" si="108"/>
        <v>567000</v>
      </c>
      <c r="AG138">
        <f t="shared" si="109"/>
        <v>126</v>
      </c>
      <c r="AH138" s="6">
        <f t="shared" si="110"/>
        <v>1.0963926538401812E-2</v>
      </c>
      <c r="AI138" s="6">
        <f t="shared" si="111"/>
        <v>3.5512381648045883E-2</v>
      </c>
      <c r="AJ138" s="6">
        <f t="shared" si="112"/>
        <v>6.0666908603370873E-2</v>
      </c>
      <c r="AK138" s="6">
        <f t="shared" si="113"/>
        <v>8.0665060542547601E-2</v>
      </c>
      <c r="AL138" s="6">
        <f t="shared" si="114"/>
        <v>9.5188498941271973E-2</v>
      </c>
      <c r="AM138" s="6">
        <f t="shared" si="115"/>
        <v>0.10550742931530602</v>
      </c>
      <c r="AN138" s="6">
        <f t="shared" si="116"/>
        <v>0.11288622981000775</v>
      </c>
      <c r="AO138" s="6">
        <f t="shared" si="117"/>
        <v>0.11825393637519584</v>
      </c>
      <c r="AP138" s="6">
        <f t="shared" si="118"/>
        <v>0.12223891510811087</v>
      </c>
      <c r="AQ138" s="6">
        <f t="shared" si="119"/>
        <v>0.12525817953982488</v>
      </c>
      <c r="AR138" s="6">
        <f t="shared" si="120"/>
        <v>0.12758988260835447</v>
      </c>
      <c r="AS138" s="6">
        <f t="shared" si="121"/>
        <v>0.12942229103953579</v>
      </c>
      <c r="AT138" s="6">
        <f t="shared" si="122"/>
        <v>0.13965354059151799</v>
      </c>
      <c r="AW138" s="3">
        <f t="shared" si="88"/>
        <v>2520</v>
      </c>
      <c r="AX138" s="3">
        <f t="shared" si="85"/>
        <v>185</v>
      </c>
      <c r="AY138" s="3">
        <f t="shared" si="86"/>
        <v>466200</v>
      </c>
      <c r="AZ138" s="13">
        <f t="shared" si="87"/>
        <v>0.10281586936849302</v>
      </c>
      <c r="BA138" s="3">
        <f t="shared" si="95"/>
        <v>47932.758299591442</v>
      </c>
      <c r="BB138" s="3">
        <f t="shared" si="96"/>
        <v>47949.618319891502</v>
      </c>
      <c r="BC138" s="3">
        <f t="shared" si="83"/>
        <v>47943.336965276882</v>
      </c>
      <c r="BD138" s="3">
        <f t="shared" si="84"/>
        <v>95830</v>
      </c>
    </row>
    <row r="139" spans="3:56" x14ac:dyDescent="0.45">
      <c r="C139">
        <f t="shared" si="105"/>
        <v>127</v>
      </c>
      <c r="D139" s="2">
        <f t="shared" si="123"/>
        <v>691.57692722444892</v>
      </c>
      <c r="E139" s="2">
        <f t="shared" si="123"/>
        <v>4492.4351125744861</v>
      </c>
      <c r="F139" s="2">
        <f t="shared" si="123"/>
        <v>11544.517358947549</v>
      </c>
      <c r="G139" s="2">
        <f t="shared" si="123"/>
        <v>20512.990887447795</v>
      </c>
      <c r="H139" s="2">
        <f t="shared" si="123"/>
        <v>30307.614320229673</v>
      </c>
      <c r="I139" s="2">
        <f t="shared" si="123"/>
        <v>40358.906145126195</v>
      </c>
      <c r="J139" s="2">
        <f t="shared" si="123"/>
        <v>50420.55259716812</v>
      </c>
      <c r="K139" s="2">
        <f t="shared" si="123"/>
        <v>60400.259306890352</v>
      </c>
      <c r="L139" s="2">
        <f t="shared" si="123"/>
        <v>70271.910690466641</v>
      </c>
      <c r="M139" s="2">
        <f t="shared" si="123"/>
        <v>80035.901960196672</v>
      </c>
      <c r="N139" s="2">
        <f t="shared" si="123"/>
        <v>89702.131167047337</v>
      </c>
      <c r="O139" s="2">
        <f t="shared" si="123"/>
        <v>99282.941275698322</v>
      </c>
      <c r="P139" s="2">
        <f t="shared" si="106"/>
        <v>80444.934301388843</v>
      </c>
      <c r="R139">
        <f t="shared" si="107"/>
        <v>127</v>
      </c>
      <c r="S139" s="2">
        <f t="shared" si="124"/>
        <v>63500</v>
      </c>
      <c r="T139" s="2">
        <f t="shared" si="124"/>
        <v>127000</v>
      </c>
      <c r="U139" s="2">
        <f t="shared" si="124"/>
        <v>190500</v>
      </c>
      <c r="V139" s="2">
        <f t="shared" si="124"/>
        <v>254000</v>
      </c>
      <c r="W139" s="2">
        <f t="shared" si="124"/>
        <v>317500</v>
      </c>
      <c r="X139" s="2">
        <f t="shared" si="124"/>
        <v>381000</v>
      </c>
      <c r="Y139" s="2">
        <f t="shared" si="124"/>
        <v>444500</v>
      </c>
      <c r="Z139" s="2">
        <f t="shared" si="124"/>
        <v>508000</v>
      </c>
      <c r="AA139" s="2">
        <f t="shared" si="108"/>
        <v>571500</v>
      </c>
      <c r="AB139" s="2">
        <f t="shared" si="108"/>
        <v>635000</v>
      </c>
      <c r="AC139" s="2">
        <f t="shared" si="108"/>
        <v>698500</v>
      </c>
      <c r="AD139" s="2">
        <f t="shared" si="108"/>
        <v>762000</v>
      </c>
      <c r="AE139" s="2">
        <f t="shared" si="108"/>
        <v>571500</v>
      </c>
      <c r="AG139">
        <f t="shared" si="109"/>
        <v>127</v>
      </c>
      <c r="AH139" s="6">
        <f t="shared" si="110"/>
        <v>1.0890975231881086E-2</v>
      </c>
      <c r="AI139" s="6">
        <f t="shared" si="111"/>
        <v>3.5373504823421151E-2</v>
      </c>
      <c r="AJ139" s="6">
        <f t="shared" si="112"/>
        <v>6.0601140991850648E-2</v>
      </c>
      <c r="AK139" s="6">
        <f t="shared" si="113"/>
        <v>8.0759806643495261E-2</v>
      </c>
      <c r="AL139" s="6">
        <f t="shared" si="114"/>
        <v>9.5457052977101331E-2</v>
      </c>
      <c r="AM139" s="6">
        <f t="shared" si="115"/>
        <v>0.10592888752001627</v>
      </c>
      <c r="AN139" s="6">
        <f t="shared" si="116"/>
        <v>0.11343206433558632</v>
      </c>
      <c r="AO139" s="6">
        <f t="shared" si="117"/>
        <v>0.11889814824191014</v>
      </c>
      <c r="AP139" s="6">
        <f t="shared" si="118"/>
        <v>0.12296047364911049</v>
      </c>
      <c r="AQ139" s="6">
        <f t="shared" si="119"/>
        <v>0.1260407904884987</v>
      </c>
      <c r="AR139" s="6">
        <f t="shared" si="120"/>
        <v>0.12842108971660321</v>
      </c>
      <c r="AS139" s="6">
        <f t="shared" si="121"/>
        <v>0.13029257385262247</v>
      </c>
      <c r="AT139" s="6">
        <f t="shared" si="122"/>
        <v>0.14076103989744329</v>
      </c>
      <c r="AW139" s="3">
        <f t="shared" si="88"/>
        <v>2540</v>
      </c>
      <c r="AX139" s="3">
        <f t="shared" si="85"/>
        <v>187</v>
      </c>
      <c r="AY139" s="3">
        <f t="shared" si="86"/>
        <v>474980</v>
      </c>
      <c r="AZ139" s="13">
        <f t="shared" si="87"/>
        <v>0.1039273860170748</v>
      </c>
      <c r="BA139" s="3">
        <f t="shared" si="95"/>
        <v>49363.429810390189</v>
      </c>
      <c r="BB139" s="3">
        <f t="shared" si="96"/>
        <v>49310.537384602176</v>
      </c>
      <c r="BC139" s="3">
        <f t="shared" si="83"/>
        <v>49233.81155174115</v>
      </c>
      <c r="BD139" s="3">
        <f t="shared" si="84"/>
        <v>98690.288888888885</v>
      </c>
    </row>
    <row r="140" spans="3:56" x14ac:dyDescent="0.45">
      <c r="C140">
        <f t="shared" si="105"/>
        <v>128</v>
      </c>
      <c r="D140" s="2">
        <f t="shared" si="123"/>
        <v>692.40866858097536</v>
      </c>
      <c r="E140" s="2">
        <f t="shared" si="123"/>
        <v>4510.0312226512888</v>
      </c>
      <c r="F140" s="2">
        <f t="shared" si="123"/>
        <v>11622.200755079824</v>
      </c>
      <c r="G140" s="2">
        <f t="shared" si="123"/>
        <v>20697.351899604604</v>
      </c>
      <c r="H140" s="2">
        <f t="shared" si="123"/>
        <v>30630.103776635988</v>
      </c>
      <c r="I140" s="2">
        <f t="shared" si="123"/>
        <v>40836.014242665173</v>
      </c>
      <c r="J140" s="2">
        <f t="shared" si="123"/>
        <v>51059.360434929229</v>
      </c>
      <c r="K140" s="2">
        <f t="shared" si="123"/>
        <v>61202.871810917939</v>
      </c>
      <c r="L140" s="2">
        <f t="shared" si="123"/>
        <v>71238.042845021424</v>
      </c>
      <c r="M140" s="2">
        <f t="shared" si="123"/>
        <v>81164.228524445571</v>
      </c>
      <c r="N140" s="2">
        <f t="shared" si="123"/>
        <v>90990.955135968485</v>
      </c>
      <c r="O140" s="2">
        <f t="shared" si="123"/>
        <v>100730.511807551</v>
      </c>
      <c r="P140" s="2">
        <f t="shared" si="106"/>
        <v>81716.274689423153</v>
      </c>
      <c r="R140">
        <f t="shared" si="107"/>
        <v>128</v>
      </c>
      <c r="S140" s="2">
        <f t="shared" si="124"/>
        <v>64000</v>
      </c>
      <c r="T140" s="2">
        <f t="shared" si="124"/>
        <v>128000</v>
      </c>
      <c r="U140" s="2">
        <f t="shared" si="124"/>
        <v>192000</v>
      </c>
      <c r="V140" s="2">
        <f t="shared" si="124"/>
        <v>256000</v>
      </c>
      <c r="W140" s="2">
        <f t="shared" si="124"/>
        <v>320000</v>
      </c>
      <c r="X140" s="2">
        <f t="shared" si="124"/>
        <v>384000</v>
      </c>
      <c r="Y140" s="2">
        <f t="shared" si="124"/>
        <v>448000</v>
      </c>
      <c r="Z140" s="2">
        <f t="shared" si="124"/>
        <v>512000</v>
      </c>
      <c r="AA140" s="2">
        <f t="shared" si="108"/>
        <v>576000</v>
      </c>
      <c r="AB140" s="2">
        <f t="shared" si="108"/>
        <v>640000</v>
      </c>
      <c r="AC140" s="2">
        <f t="shared" si="108"/>
        <v>704000</v>
      </c>
      <c r="AD140" s="2">
        <f t="shared" si="108"/>
        <v>768000</v>
      </c>
      <c r="AE140" s="2">
        <f t="shared" si="108"/>
        <v>576000</v>
      </c>
      <c r="AG140">
        <f t="shared" si="109"/>
        <v>128</v>
      </c>
      <c r="AH140" s="6">
        <f t="shared" si="110"/>
        <v>1.081888544657774E-2</v>
      </c>
      <c r="AI140" s="6">
        <f t="shared" si="111"/>
        <v>3.5234618926963196E-2</v>
      </c>
      <c r="AJ140" s="6">
        <f t="shared" si="112"/>
        <v>6.0532295599374085E-2</v>
      </c>
      <c r="AK140" s="6">
        <f t="shared" si="113"/>
        <v>8.0849030857830489E-2</v>
      </c>
      <c r="AL140" s="6">
        <f t="shared" si="114"/>
        <v>9.5719074301987464E-2</v>
      </c>
      <c r="AM140" s="6">
        <f t="shared" si="115"/>
        <v>0.10634378709027388</v>
      </c>
      <c r="AN140" s="6">
        <f t="shared" si="116"/>
        <v>0.11397178668510989</v>
      </c>
      <c r="AO140" s="6">
        <f t="shared" si="117"/>
        <v>0.1195368590056991</v>
      </c>
      <c r="AP140" s="6">
        <f t="shared" si="118"/>
        <v>0.12367715771705108</v>
      </c>
      <c r="AQ140" s="6">
        <f t="shared" si="119"/>
        <v>0.12681910706944621</v>
      </c>
      <c r="AR140" s="6">
        <f t="shared" si="120"/>
        <v>0.12924851581813704</v>
      </c>
      <c r="AS140" s="6">
        <f t="shared" si="121"/>
        <v>0.13115952058274868</v>
      </c>
      <c r="AT140" s="6">
        <f t="shared" si="122"/>
        <v>0.14186853244691519</v>
      </c>
      <c r="AW140" s="3">
        <f t="shared" si="88"/>
        <v>2560</v>
      </c>
      <c r="AX140" s="3">
        <f t="shared" si="85"/>
        <v>188</v>
      </c>
      <c r="AY140" s="3">
        <f t="shared" si="86"/>
        <v>481280</v>
      </c>
      <c r="AZ140" s="13">
        <f t="shared" si="87"/>
        <v>0.10448314434136569</v>
      </c>
      <c r="BA140" s="3">
        <f t="shared" si="95"/>
        <v>50285.64770861248</v>
      </c>
      <c r="BB140" s="3">
        <f t="shared" si="96"/>
        <v>50294.844831642185</v>
      </c>
      <c r="BC140" s="3">
        <f t="shared" si="83"/>
        <v>50279.770944166688</v>
      </c>
      <c r="BD140" s="3">
        <f t="shared" si="84"/>
        <v>100534.04444444444</v>
      </c>
    </row>
    <row r="141" spans="3:56" x14ac:dyDescent="0.45">
      <c r="C141">
        <f t="shared" si="105"/>
        <v>129</v>
      </c>
      <c r="D141" s="2">
        <f t="shared" si="123"/>
        <v>693.2230761026359</v>
      </c>
      <c r="E141" s="2">
        <f t="shared" si="123"/>
        <v>4527.3533093921233</v>
      </c>
      <c r="F141" s="2">
        <f t="shared" si="123"/>
        <v>11699.100670978649</v>
      </c>
      <c r="G141" s="2">
        <f t="shared" si="123"/>
        <v>20880.670060638709</v>
      </c>
      <c r="H141" s="2">
        <f t="shared" si="123"/>
        <v>30951.818474176896</v>
      </c>
      <c r="I141" s="2">
        <f t="shared" si="123"/>
        <v>41313.088550254273</v>
      </c>
      <c r="J141" s="2">
        <f t="shared" si="123"/>
        <v>51699.194525807681</v>
      </c>
      <c r="K141" s="2">
        <f t="shared" si="123"/>
        <v>62007.75731647198</v>
      </c>
      <c r="L141" s="2">
        <f t="shared" si="123"/>
        <v>72207.792891323406</v>
      </c>
      <c r="M141" s="2">
        <f t="shared" si="123"/>
        <v>82297.562493431382</v>
      </c>
      <c r="N141" s="2">
        <f t="shared" si="123"/>
        <v>92286.189994093889</v>
      </c>
      <c r="O141" s="2">
        <f t="shared" si="123"/>
        <v>102185.89384757837</v>
      </c>
      <c r="P141" s="2">
        <f t="shared" si="106"/>
        <v>82997.5786189473</v>
      </c>
      <c r="R141">
        <f t="shared" si="107"/>
        <v>129</v>
      </c>
      <c r="S141" s="2">
        <f t="shared" si="124"/>
        <v>64500</v>
      </c>
      <c r="T141" s="2">
        <f t="shared" si="124"/>
        <v>129000</v>
      </c>
      <c r="U141" s="2">
        <f t="shared" si="124"/>
        <v>193500</v>
      </c>
      <c r="V141" s="2">
        <f t="shared" si="124"/>
        <v>258000</v>
      </c>
      <c r="W141" s="2">
        <f t="shared" si="124"/>
        <v>322500</v>
      </c>
      <c r="X141" s="2">
        <f t="shared" si="124"/>
        <v>387000</v>
      </c>
      <c r="Y141" s="2">
        <f t="shared" si="124"/>
        <v>451500</v>
      </c>
      <c r="Z141" s="2">
        <f t="shared" si="124"/>
        <v>516000</v>
      </c>
      <c r="AA141" s="2">
        <f t="shared" si="108"/>
        <v>580500</v>
      </c>
      <c r="AB141" s="2">
        <f t="shared" si="108"/>
        <v>645000</v>
      </c>
      <c r="AC141" s="2">
        <f t="shared" si="108"/>
        <v>709500</v>
      </c>
      <c r="AD141" s="2">
        <f t="shared" si="108"/>
        <v>774000</v>
      </c>
      <c r="AE141" s="2">
        <f t="shared" si="108"/>
        <v>580500</v>
      </c>
      <c r="AG141">
        <f t="shared" si="109"/>
        <v>129</v>
      </c>
      <c r="AH141" s="6">
        <f t="shared" si="110"/>
        <v>1.074764459073854E-2</v>
      </c>
      <c r="AI141" s="6">
        <f t="shared" si="111"/>
        <v>3.5095762088311035E-2</v>
      </c>
      <c r="AJ141" s="6">
        <f t="shared" si="112"/>
        <v>6.0460468583868984E-2</v>
      </c>
      <c r="AK141" s="6">
        <f t="shared" si="113"/>
        <v>8.0932829692398095E-2</v>
      </c>
      <c r="AL141" s="6">
        <f t="shared" si="114"/>
        <v>9.5974630927680299E-2</v>
      </c>
      <c r="AM141" s="6">
        <f t="shared" si="115"/>
        <v>0.10675216679652268</v>
      </c>
      <c r="AN141" s="6">
        <f t="shared" si="116"/>
        <v>0.11450541423213219</v>
      </c>
      <c r="AO141" s="6">
        <f t="shared" si="117"/>
        <v>0.12017007231874414</v>
      </c>
      <c r="AP141" s="6">
        <f t="shared" si="118"/>
        <v>0.12438896277575091</v>
      </c>
      <c r="AQ141" s="6">
        <f t="shared" si="119"/>
        <v>0.12759312014485485</v>
      </c>
      <c r="AR141" s="6">
        <f t="shared" si="120"/>
        <v>0.13007214939266229</v>
      </c>
      <c r="AS141" s="6">
        <f t="shared" si="121"/>
        <v>0.13202311866612193</v>
      </c>
      <c r="AT141" s="6">
        <f t="shared" si="122"/>
        <v>0.14297601829276022</v>
      </c>
      <c r="AW141" s="3">
        <f t="shared" si="88"/>
        <v>2580</v>
      </c>
      <c r="AX141" s="3">
        <f t="shared" si="85"/>
        <v>189</v>
      </c>
      <c r="AY141" s="3">
        <f t="shared" si="86"/>
        <v>487620</v>
      </c>
      <c r="AZ141" s="13">
        <f t="shared" si="87"/>
        <v>0.10503890266565657</v>
      </c>
      <c r="BA141" s="3">
        <f t="shared" si="95"/>
        <v>51219.069717827457</v>
      </c>
      <c r="BB141" s="3">
        <f t="shared" si="96"/>
        <v>51291.927053985812</v>
      </c>
      <c r="BC141" s="3">
        <f t="shared" ref="BC141:BC204" si="125">IMPROVEMENT_V2*BL_MBPS*BL_KM^2*AW141^3*AX141^2/((EM_KM*AW141)^2+(2*PI()*AVG_SUN_DIST_KM*AX141)^2)</f>
        <v>51339.912186070855</v>
      </c>
      <c r="BD141" s="3">
        <f t="shared" ref="BD141:BD204" si="126">IMPROVEMENT_V2*BL_MBPS*BL_KM^2*AW141*AX141^2/EM_KM^2</f>
        <v>102400.20000000001</v>
      </c>
    </row>
    <row r="142" spans="3:56" x14ac:dyDescent="0.45">
      <c r="C142">
        <f t="shared" si="105"/>
        <v>130</v>
      </c>
      <c r="D142" s="2">
        <f t="shared" si="123"/>
        <v>694.02061436088502</v>
      </c>
      <c r="E142" s="2">
        <f t="shared" si="123"/>
        <v>4544.4061871323665</v>
      </c>
      <c r="F142" s="2">
        <f t="shared" si="123"/>
        <v>11775.222019214032</v>
      </c>
      <c r="G142" s="2">
        <f t="shared" si="123"/>
        <v>21062.937682242798</v>
      </c>
      <c r="H142" s="2">
        <f t="shared" si="123"/>
        <v>31272.73208235221</v>
      </c>
      <c r="I142" s="2">
        <f t="shared" si="123"/>
        <v>41790.085739182439</v>
      </c>
      <c r="J142" s="2">
        <f t="shared" si="123"/>
        <v>52339.999082758171</v>
      </c>
      <c r="K142" s="2">
        <f t="shared" si="123"/>
        <v>62814.852066738022</v>
      </c>
      <c r="L142" s="2">
        <f t="shared" si="123"/>
        <v>73181.092602094621</v>
      </c>
      <c r="M142" s="2">
        <f t="shared" si="123"/>
        <v>83435.833636196796</v>
      </c>
      <c r="N142" s="2">
        <f t="shared" si="123"/>
        <v>93587.765155198926</v>
      </c>
      <c r="O142" s="2">
        <f t="shared" si="123"/>
        <v>103649.01751634799</v>
      </c>
      <c r="P142" s="2">
        <f t="shared" si="106"/>
        <v>84288.846029886525</v>
      </c>
      <c r="R142">
        <f t="shared" si="107"/>
        <v>130</v>
      </c>
      <c r="S142" s="2">
        <f t="shared" si="124"/>
        <v>65000</v>
      </c>
      <c r="T142" s="2">
        <f t="shared" si="124"/>
        <v>130000</v>
      </c>
      <c r="U142" s="2">
        <f t="shared" si="124"/>
        <v>195000</v>
      </c>
      <c r="V142" s="2">
        <f t="shared" si="124"/>
        <v>260000</v>
      </c>
      <c r="W142" s="2">
        <f t="shared" si="124"/>
        <v>325000</v>
      </c>
      <c r="X142" s="2">
        <f t="shared" si="124"/>
        <v>390000</v>
      </c>
      <c r="Y142" s="2">
        <f t="shared" si="124"/>
        <v>455000</v>
      </c>
      <c r="Z142" s="2">
        <f t="shared" si="124"/>
        <v>520000</v>
      </c>
      <c r="AA142" s="2">
        <f t="shared" si="108"/>
        <v>585000</v>
      </c>
      <c r="AB142" s="2">
        <f t="shared" si="108"/>
        <v>650000</v>
      </c>
      <c r="AC142" s="2">
        <f t="shared" si="108"/>
        <v>715000</v>
      </c>
      <c r="AD142" s="2">
        <f t="shared" si="108"/>
        <v>780000</v>
      </c>
      <c r="AE142" s="2">
        <f t="shared" si="108"/>
        <v>585000</v>
      </c>
      <c r="AG142">
        <f t="shared" si="109"/>
        <v>130</v>
      </c>
      <c r="AH142" s="6">
        <f t="shared" si="110"/>
        <v>1.0677240220936692E-2</v>
      </c>
      <c r="AI142" s="6">
        <f t="shared" si="111"/>
        <v>3.4956970670248971E-2</v>
      </c>
      <c r="AJ142" s="6">
        <f t="shared" si="112"/>
        <v>6.0385753944687343E-2</v>
      </c>
      <c r="AK142" s="6">
        <f t="shared" si="113"/>
        <v>8.1011298777856913E-2</v>
      </c>
      <c r="AL142" s="6">
        <f t="shared" si="114"/>
        <v>9.6223791022622185E-2</v>
      </c>
      <c r="AM142" s="6">
        <f t="shared" si="115"/>
        <v>0.1071540659979037</v>
      </c>
      <c r="AN142" s="6">
        <f t="shared" si="116"/>
        <v>0.11503296501705093</v>
      </c>
      <c r="AO142" s="6">
        <f t="shared" si="117"/>
        <v>0.12079779243603465</v>
      </c>
      <c r="AP142" s="6">
        <f t="shared" si="118"/>
        <v>0.12509588478990533</v>
      </c>
      <c r="AQ142" s="6">
        <f t="shared" si="119"/>
        <v>0.12836282097876431</v>
      </c>
      <c r="AR142" s="6">
        <f t="shared" si="120"/>
        <v>0.13089197923804047</v>
      </c>
      <c r="AS142" s="6">
        <f t="shared" si="121"/>
        <v>0.13288335579018973</v>
      </c>
      <c r="AT142" s="6">
        <f t="shared" si="122"/>
        <v>0.14408349748698551</v>
      </c>
      <c r="AW142" s="3">
        <f t="shared" si="88"/>
        <v>2600</v>
      </c>
      <c r="AX142" s="3">
        <f t="shared" ref="AX142:AX205" si="127">ROUND($BB$7*AW142,0)</f>
        <v>191</v>
      </c>
      <c r="AY142" s="3">
        <f t="shared" ref="AY142:AY205" si="128">AW142*AX142</f>
        <v>496600</v>
      </c>
      <c r="AZ142" s="13">
        <f t="shared" ref="AZ142:AZ205" si="129">$AX$7*AX142+$AY$7</f>
        <v>0.10615041931423835</v>
      </c>
      <c r="BA142" s="3">
        <f t="shared" si="95"/>
        <v>52714.298231450768</v>
      </c>
      <c r="BB142" s="3">
        <f t="shared" si="96"/>
        <v>52715.317135285579</v>
      </c>
      <c r="BC142" s="3">
        <f t="shared" si="125"/>
        <v>52690.896350016912</v>
      </c>
      <c r="BD142" s="3">
        <f t="shared" si="126"/>
        <v>105389.55555555555</v>
      </c>
    </row>
    <row r="143" spans="3:56" x14ac:dyDescent="0.45">
      <c r="C143">
        <f t="shared" si="105"/>
        <v>131</v>
      </c>
      <c r="D143" s="2">
        <f t="shared" ref="D143:O152" si="130">$C$7*BL_MBPS*BL_KM^2*D$12^3*$C143^2/((EM_KM*D$12)^2+(2*PI()*AVG_SUN_DIST_KM*$C143)^2)</f>
        <v>694.80173296189764</v>
      </c>
      <c r="E143" s="2">
        <f t="shared" si="130"/>
        <v>4561.194593162516</v>
      </c>
      <c r="F143" s="2">
        <f t="shared" si="130"/>
        <v>11850.569858185769</v>
      </c>
      <c r="G143" s="2">
        <f t="shared" si="130"/>
        <v>21244.147606274077</v>
      </c>
      <c r="H143" s="2">
        <f t="shared" si="130"/>
        <v>31592.818993592206</v>
      </c>
      <c r="I143" s="2">
        <f t="shared" si="130"/>
        <v>42266.963175175821</v>
      </c>
      <c r="J143" s="2">
        <f t="shared" si="130"/>
        <v>52981.718870343255</v>
      </c>
      <c r="K143" s="2">
        <f t="shared" si="130"/>
        <v>63624.092684499941</v>
      </c>
      <c r="L143" s="2">
        <f t="shared" si="130"/>
        <v>74157.873970063898</v>
      </c>
      <c r="M143" s="2">
        <f t="shared" si="130"/>
        <v>84578.971808806804</v>
      </c>
      <c r="N143" s="2">
        <f t="shared" si="130"/>
        <v>94895.610015104787</v>
      </c>
      <c r="O143" s="2">
        <f t="shared" si="130"/>
        <v>105119.81283611619</v>
      </c>
      <c r="P143" s="2">
        <f t="shared" si="106"/>
        <v>85590.076862630405</v>
      </c>
      <c r="R143">
        <f t="shared" si="107"/>
        <v>131</v>
      </c>
      <c r="S143" s="2">
        <f t="shared" si="124"/>
        <v>65500</v>
      </c>
      <c r="T143" s="2">
        <f t="shared" si="124"/>
        <v>131000</v>
      </c>
      <c r="U143" s="2">
        <f t="shared" si="124"/>
        <v>196500</v>
      </c>
      <c r="V143" s="2">
        <f t="shared" si="124"/>
        <v>262000</v>
      </c>
      <c r="W143" s="2">
        <f t="shared" si="124"/>
        <v>327500</v>
      </c>
      <c r="X143" s="2">
        <f t="shared" si="124"/>
        <v>393000</v>
      </c>
      <c r="Y143" s="2">
        <f t="shared" si="124"/>
        <v>458500</v>
      </c>
      <c r="Z143" s="2">
        <f t="shared" si="124"/>
        <v>524000</v>
      </c>
      <c r="AA143" s="2">
        <f t="shared" si="108"/>
        <v>589500</v>
      </c>
      <c r="AB143" s="2">
        <f t="shared" si="108"/>
        <v>655000</v>
      </c>
      <c r="AC143" s="2">
        <f t="shared" si="108"/>
        <v>720500</v>
      </c>
      <c r="AD143" s="2">
        <f t="shared" si="108"/>
        <v>786000</v>
      </c>
      <c r="AE143" s="2">
        <f t="shared" si="108"/>
        <v>589500</v>
      </c>
      <c r="AG143">
        <f t="shared" si="109"/>
        <v>131</v>
      </c>
      <c r="AH143" s="6">
        <f t="shared" si="110"/>
        <v>1.0607660045219812E-2</v>
      </c>
      <c r="AI143" s="6">
        <f t="shared" si="111"/>
        <v>3.4818279337118445E-2</v>
      </c>
      <c r="AJ143" s="6">
        <f t="shared" si="112"/>
        <v>6.0308243553108237E-2</v>
      </c>
      <c r="AK143" s="6">
        <f t="shared" si="113"/>
        <v>8.1084532848374344E-2</v>
      </c>
      <c r="AL143" s="6">
        <f t="shared" si="114"/>
        <v>9.6466622881197575E-2</v>
      </c>
      <c r="AM143" s="6">
        <f t="shared" si="115"/>
        <v>0.10754952461876799</v>
      </c>
      <c r="AN143" s="6">
        <f t="shared" si="116"/>
        <v>0.11555445773248256</v>
      </c>
      <c r="AO143" s="6">
        <f t="shared" si="117"/>
        <v>0.12142002420706095</v>
      </c>
      <c r="AP143" s="6">
        <f t="shared" si="118"/>
        <v>0.12579792022063427</v>
      </c>
      <c r="AQ143" s="6">
        <f t="shared" si="119"/>
        <v>0.12912820123481955</v>
      </c>
      <c r="AR143" s="6">
        <f t="shared" si="120"/>
        <v>0.13170799446926409</v>
      </c>
      <c r="AS143" s="6">
        <f t="shared" si="121"/>
        <v>0.13374021989327761</v>
      </c>
      <c r="AT143" s="6">
        <f t="shared" si="122"/>
        <v>0.14519097008079798</v>
      </c>
      <c r="AW143" s="3">
        <f t="shared" ref="AW143:AW206" si="131">AW142+$AW$13</f>
        <v>2620</v>
      </c>
      <c r="AX143" s="3">
        <f t="shared" si="127"/>
        <v>192</v>
      </c>
      <c r="AY143" s="3">
        <f t="shared" si="128"/>
        <v>503040</v>
      </c>
      <c r="AZ143" s="13">
        <f t="shared" si="129"/>
        <v>0.10670617763852924</v>
      </c>
      <c r="BA143" s="3">
        <f t="shared" si="95"/>
        <v>53677.475599285754</v>
      </c>
      <c r="BB143" s="3">
        <f t="shared" si="96"/>
        <v>53744.067355568724</v>
      </c>
      <c r="BC143" s="3">
        <f t="shared" si="125"/>
        <v>53784.621794012623</v>
      </c>
      <c r="BD143" s="3">
        <f t="shared" si="126"/>
        <v>107315.2</v>
      </c>
    </row>
    <row r="144" spans="3:56" x14ac:dyDescent="0.45">
      <c r="C144">
        <f t="shared" si="105"/>
        <v>132</v>
      </c>
      <c r="D144" s="2">
        <f t="shared" si="130"/>
        <v>695.56686709991436</v>
      </c>
      <c r="E144" s="2">
        <f t="shared" si="130"/>
        <v>4577.723187948498</v>
      </c>
      <c r="F144" s="2">
        <f t="shared" si="130"/>
        <v>11925.149382313808</v>
      </c>
      <c r="G144" s="2">
        <f t="shared" si="130"/>
        <v>21424.293190823526</v>
      </c>
      <c r="H144" s="2">
        <f t="shared" si="130"/>
        <v>31912.054314967085</v>
      </c>
      <c r="I144" s="2">
        <f t="shared" si="130"/>
        <v>42743.678917691461</v>
      </c>
      <c r="J144" s="2">
        <f t="shared" si="130"/>
        <v>53624.299209407211</v>
      </c>
      <c r="K144" s="2">
        <f t="shared" si="130"/>
        <v>64435.416179618733</v>
      </c>
      <c r="L144" s="2">
        <f t="shared" si="130"/>
        <v>75138.069216453994</v>
      </c>
      <c r="M144" s="2">
        <f t="shared" si="130"/>
        <v>85726.906962818903</v>
      </c>
      <c r="N144" s="2">
        <f t="shared" si="130"/>
        <v>96209.653959624004</v>
      </c>
      <c r="O144" s="2">
        <f t="shared" si="130"/>
        <v>106598.20973804139</v>
      </c>
      <c r="P144" s="2">
        <f t="shared" si="106"/>
        <v>86901.27105802561</v>
      </c>
      <c r="R144">
        <f t="shared" si="107"/>
        <v>132</v>
      </c>
      <c r="S144" s="2">
        <f t="shared" si="124"/>
        <v>66000</v>
      </c>
      <c r="T144" s="2">
        <f t="shared" si="124"/>
        <v>132000</v>
      </c>
      <c r="U144" s="2">
        <f t="shared" si="124"/>
        <v>198000</v>
      </c>
      <c r="V144" s="2">
        <f t="shared" si="124"/>
        <v>264000</v>
      </c>
      <c r="W144" s="2">
        <f t="shared" si="124"/>
        <v>330000</v>
      </c>
      <c r="X144" s="2">
        <f t="shared" si="124"/>
        <v>396000</v>
      </c>
      <c r="Y144" s="2">
        <f t="shared" si="124"/>
        <v>462000</v>
      </c>
      <c r="Z144" s="2">
        <f t="shared" si="124"/>
        <v>528000</v>
      </c>
      <c r="AA144" s="2">
        <f t="shared" si="108"/>
        <v>594000</v>
      </c>
      <c r="AB144" s="2">
        <f t="shared" si="108"/>
        <v>660000</v>
      </c>
      <c r="AC144" s="2">
        <f t="shared" si="108"/>
        <v>726000</v>
      </c>
      <c r="AD144" s="2">
        <f t="shared" si="108"/>
        <v>792000</v>
      </c>
      <c r="AE144" s="2">
        <f t="shared" si="108"/>
        <v>594000</v>
      </c>
      <c r="AG144">
        <f t="shared" si="109"/>
        <v>132</v>
      </c>
      <c r="AH144" s="6">
        <f t="shared" si="110"/>
        <v>1.0538891925756279E-2</v>
      </c>
      <c r="AI144" s="6">
        <f t="shared" si="111"/>
        <v>3.4679721120821953E-2</v>
      </c>
      <c r="AJ144" s="6">
        <f t="shared" si="112"/>
        <v>6.0228027183403074E-2</v>
      </c>
      <c r="AK144" s="6">
        <f t="shared" si="113"/>
        <v>8.1152625722816382E-2</v>
      </c>
      <c r="AL144" s="6">
        <f t="shared" si="114"/>
        <v>9.6703194893839647E-2</v>
      </c>
      <c r="AM144" s="6">
        <f t="shared" si="115"/>
        <v>0.10793858312548349</v>
      </c>
      <c r="AN144" s="6">
        <f t="shared" si="116"/>
        <v>0.11606991170867362</v>
      </c>
      <c r="AO144" s="6">
        <f t="shared" si="117"/>
        <v>0.12203677306745972</v>
      </c>
      <c r="AP144" s="6">
        <f t="shared" si="118"/>
        <v>0.12649506602096633</v>
      </c>
      <c r="AQ144" s="6">
        <f t="shared" si="119"/>
        <v>0.12988925297396803</v>
      </c>
      <c r="AR144" s="6">
        <f t="shared" si="120"/>
        <v>0.13252018451738842</v>
      </c>
      <c r="AS144" s="6">
        <f t="shared" si="121"/>
        <v>0.13459369916419367</v>
      </c>
      <c r="AT144" s="6">
        <f t="shared" si="122"/>
        <v>0.14629843612462223</v>
      </c>
      <c r="AW144" s="3">
        <f t="shared" si="131"/>
        <v>2640</v>
      </c>
      <c r="AX144" s="3">
        <f t="shared" si="127"/>
        <v>194</v>
      </c>
      <c r="AY144" s="3">
        <f t="shared" si="128"/>
        <v>512160</v>
      </c>
      <c r="AZ144" s="13">
        <f t="shared" si="129"/>
        <v>0.10781769428711103</v>
      </c>
      <c r="BA144" s="3">
        <f t="shared" si="95"/>
        <v>55219.910306086786</v>
      </c>
      <c r="BB144" s="3">
        <f t="shared" si="96"/>
        <v>55212.223322265381</v>
      </c>
      <c r="BC144" s="3">
        <f t="shared" si="125"/>
        <v>55177.888226623414</v>
      </c>
      <c r="BD144" s="3">
        <f t="shared" si="126"/>
        <v>110398.93333333333</v>
      </c>
    </row>
    <row r="145" spans="3:56" x14ac:dyDescent="0.45">
      <c r="C145">
        <f t="shared" si="105"/>
        <v>133</v>
      </c>
      <c r="D145" s="2">
        <f t="shared" si="130"/>
        <v>696.31643808795445</v>
      </c>
      <c r="E145" s="2">
        <f t="shared" si="130"/>
        <v>4593.996555436921</v>
      </c>
      <c r="F145" s="2">
        <f t="shared" si="130"/>
        <v>11998.965912604834</v>
      </c>
      <c r="G145" s="2">
        <f t="shared" si="130"/>
        <v>21603.36829644415</v>
      </c>
      <c r="H145" s="2">
        <f t="shared" si="130"/>
        <v>32230.413859730965</v>
      </c>
      <c r="I145" s="2">
        <f t="shared" si="130"/>
        <v>43220.19171891336</v>
      </c>
      <c r="J145" s="2">
        <f t="shared" si="130"/>
        <v>54267.685981463736</v>
      </c>
      <c r="K145" s="2">
        <f t="shared" si="130"/>
        <v>65248.75995628738</v>
      </c>
      <c r="L145" s="2">
        <f t="shared" si="130"/>
        <v>76121.610799310627</v>
      </c>
      <c r="M145" s="2">
        <f t="shared" si="130"/>
        <v>86879.569153648044</v>
      </c>
      <c r="N145" s="2">
        <f t="shared" si="130"/>
        <v>97529.826372439042</v>
      </c>
      <c r="O145" s="2">
        <f t="shared" si="130"/>
        <v>108084.1380693572</v>
      </c>
      <c r="P145" s="2">
        <f t="shared" si="106"/>
        <v>88222.428557369305</v>
      </c>
      <c r="R145">
        <f t="shared" si="107"/>
        <v>133</v>
      </c>
      <c r="S145" s="2">
        <f t="shared" si="124"/>
        <v>66500</v>
      </c>
      <c r="T145" s="2">
        <f t="shared" si="124"/>
        <v>133000</v>
      </c>
      <c r="U145" s="2">
        <f t="shared" si="124"/>
        <v>199500</v>
      </c>
      <c r="V145" s="2">
        <f t="shared" si="124"/>
        <v>266000</v>
      </c>
      <c r="W145" s="2">
        <f t="shared" si="124"/>
        <v>332500</v>
      </c>
      <c r="X145" s="2">
        <f t="shared" si="124"/>
        <v>399000</v>
      </c>
      <c r="Y145" s="2">
        <f t="shared" si="124"/>
        <v>465500</v>
      </c>
      <c r="Z145" s="2">
        <f t="shared" si="124"/>
        <v>532000</v>
      </c>
      <c r="AA145" s="2">
        <f t="shared" si="108"/>
        <v>598500</v>
      </c>
      <c r="AB145" s="2">
        <f t="shared" si="108"/>
        <v>665000</v>
      </c>
      <c r="AC145" s="2">
        <f t="shared" si="108"/>
        <v>731500</v>
      </c>
      <c r="AD145" s="2">
        <f t="shared" si="108"/>
        <v>798000</v>
      </c>
      <c r="AE145" s="2">
        <f t="shared" si="108"/>
        <v>598500</v>
      </c>
      <c r="AG145">
        <f t="shared" si="109"/>
        <v>133</v>
      </c>
      <c r="AH145" s="6">
        <f t="shared" si="110"/>
        <v>1.0470923881021872E-2</v>
      </c>
      <c r="AI145" s="6">
        <f t="shared" si="111"/>
        <v>3.4541327484488127E-2</v>
      </c>
      <c r="AJ145" s="6">
        <f t="shared" si="112"/>
        <v>6.0145192544385134E-2</v>
      </c>
      <c r="AK145" s="6">
        <f t="shared" si="113"/>
        <v>8.1215670287384023E-2</v>
      </c>
      <c r="AL145" s="6">
        <f t="shared" si="114"/>
        <v>9.6933575517987869E-2</v>
      </c>
      <c r="AM145" s="6">
        <f t="shared" si="115"/>
        <v>0.10832128250354225</v>
      </c>
      <c r="AN145" s="6">
        <f t="shared" si="116"/>
        <v>0.1165793468989554</v>
      </c>
      <c r="AO145" s="6">
        <f t="shared" si="117"/>
        <v>0.12264804503061538</v>
      </c>
      <c r="AP145" s="6">
        <f t="shared" si="118"/>
        <v>0.12718731963126254</v>
      </c>
      <c r="AQ145" s="6">
        <f t="shared" si="119"/>
        <v>0.13064596865210232</v>
      </c>
      <c r="AR145" s="6">
        <f t="shared" si="120"/>
        <v>0.13332853912841974</v>
      </c>
      <c r="AS145" s="6">
        <f t="shared" si="121"/>
        <v>0.13544378204180099</v>
      </c>
      <c r="AT145" s="6">
        <f t="shared" si="122"/>
        <v>0.14740589566811915</v>
      </c>
      <c r="AW145" s="3">
        <f t="shared" si="131"/>
        <v>2660</v>
      </c>
      <c r="AX145" s="3">
        <f t="shared" si="127"/>
        <v>195</v>
      </c>
      <c r="AY145" s="3">
        <f t="shared" si="128"/>
        <v>518700</v>
      </c>
      <c r="AZ145" s="13">
        <f t="shared" si="129"/>
        <v>0.10837345261140192</v>
      </c>
      <c r="BA145" s="3">
        <f t="shared" si="95"/>
        <v>56213.309869534176</v>
      </c>
      <c r="BB145" s="3">
        <f t="shared" si="96"/>
        <v>56273.136578654507</v>
      </c>
      <c r="BC145" s="3">
        <f t="shared" si="125"/>
        <v>56305.721472705227</v>
      </c>
      <c r="BD145" s="3">
        <f t="shared" si="126"/>
        <v>112385</v>
      </c>
    </row>
    <row r="146" spans="3:56" x14ac:dyDescent="0.45">
      <c r="C146">
        <f t="shared" si="105"/>
        <v>134</v>
      </c>
      <c r="D146" s="2">
        <f t="shared" si="130"/>
        <v>697.05085386688415</v>
      </c>
      <c r="E146" s="2">
        <f t="shared" si="130"/>
        <v>4610.0192034380834</v>
      </c>
      <c r="F146" s="2">
        <f t="shared" si="130"/>
        <v>12072.024887585381</v>
      </c>
      <c r="G146" s="2">
        <f t="shared" si="130"/>
        <v>21781.367272545529</v>
      </c>
      <c r="H146" s="2">
        <f t="shared" si="130"/>
        <v>32547.87413871313</v>
      </c>
      <c r="I146" s="2">
        <f t="shared" si="130"/>
        <v>43696.461022459953</v>
      </c>
      <c r="J146" s="2">
        <f t="shared" si="130"/>
        <v>54911.825632801556</v>
      </c>
      <c r="K146" s="2">
        <f t="shared" si="130"/>
        <v>66064.061820062867</v>
      </c>
      <c r="L146" s="2">
        <f t="shared" si="130"/>
        <v>77108.431421672591</v>
      </c>
      <c r="M146" s="2">
        <f t="shared" si="130"/>
        <v>88036.888548825082</v>
      </c>
      <c r="N146" s="2">
        <f t="shared" si="130"/>
        <v>98856.056642913012</v>
      </c>
      <c r="O146" s="2">
        <f t="shared" si="130"/>
        <v>109577.52760050436</v>
      </c>
      <c r="P146" s="2">
        <f t="shared" si="106"/>
        <v>89553.549302401298</v>
      </c>
      <c r="R146">
        <f t="shared" si="107"/>
        <v>134</v>
      </c>
      <c r="S146" s="2">
        <f t="shared" ref="S146:Z155" si="132">$R146*S$12</f>
        <v>67000</v>
      </c>
      <c r="T146" s="2">
        <f t="shared" si="132"/>
        <v>134000</v>
      </c>
      <c r="U146" s="2">
        <f t="shared" si="132"/>
        <v>201000</v>
      </c>
      <c r="V146" s="2">
        <f t="shared" si="132"/>
        <v>268000</v>
      </c>
      <c r="W146" s="2">
        <f t="shared" si="132"/>
        <v>335000</v>
      </c>
      <c r="X146" s="2">
        <f t="shared" si="132"/>
        <v>402000</v>
      </c>
      <c r="Y146" s="2">
        <f t="shared" si="132"/>
        <v>469000</v>
      </c>
      <c r="Z146" s="2">
        <f t="shared" si="132"/>
        <v>536000</v>
      </c>
      <c r="AA146" s="2">
        <f t="shared" si="108"/>
        <v>603000</v>
      </c>
      <c r="AB146" s="2">
        <f t="shared" si="108"/>
        <v>670000</v>
      </c>
      <c r="AC146" s="2">
        <f t="shared" si="108"/>
        <v>737000</v>
      </c>
      <c r="AD146" s="2">
        <f t="shared" si="108"/>
        <v>804000</v>
      </c>
      <c r="AE146" s="2">
        <f t="shared" si="108"/>
        <v>603000</v>
      </c>
      <c r="AG146">
        <f t="shared" si="109"/>
        <v>134</v>
      </c>
      <c r="AH146" s="6">
        <f t="shared" si="110"/>
        <v>1.0403744087565435E-2</v>
      </c>
      <c r="AI146" s="6">
        <f t="shared" si="111"/>
        <v>3.4403128383866291E-2</v>
      </c>
      <c r="AJ146" s="6">
        <f t="shared" si="112"/>
        <v>6.0059825311370059E-2</v>
      </c>
      <c r="AK146" s="6">
        <f t="shared" si="113"/>
        <v>8.127375847964749E-2</v>
      </c>
      <c r="AL146" s="6">
        <f t="shared" si="114"/>
        <v>9.7157833249889941E-2</v>
      </c>
      <c r="AM146" s="6">
        <f t="shared" si="115"/>
        <v>0.10869766423497501</v>
      </c>
      <c r="AN146" s="6">
        <f t="shared" si="116"/>
        <v>0.11708278386524852</v>
      </c>
      <c r="AO146" s="6">
        <f t="shared" si="117"/>
        <v>0.12325384667922176</v>
      </c>
      <c r="AP146" s="6">
        <f t="shared" si="118"/>
        <v>0.12787467897458141</v>
      </c>
      <c r="AQ146" s="6">
        <f t="shared" si="119"/>
        <v>0.13139834111764936</v>
      </c>
      <c r="AR146" s="6">
        <f t="shared" si="120"/>
        <v>0.13413304836216147</v>
      </c>
      <c r="AS146" s="6">
        <f t="shared" si="121"/>
        <v>0.13629045721455765</v>
      </c>
      <c r="AT146" s="6">
        <f t="shared" si="122"/>
        <v>0.14851334876020117</v>
      </c>
      <c r="AW146" s="3">
        <f t="shared" si="131"/>
        <v>2680</v>
      </c>
      <c r="AX146" s="3">
        <f t="shared" si="127"/>
        <v>197</v>
      </c>
      <c r="AY146" s="3">
        <f t="shared" si="128"/>
        <v>527960</v>
      </c>
      <c r="AZ146" s="13">
        <f t="shared" si="129"/>
        <v>0.1094849692599837</v>
      </c>
      <c r="BA146" s="3">
        <f t="shared" si="95"/>
        <v>57803.684370500996</v>
      </c>
      <c r="BB146" s="3">
        <f t="shared" si="96"/>
        <v>57786.75148402575</v>
      </c>
      <c r="BC146" s="3">
        <f t="shared" si="125"/>
        <v>57741.921617785381</v>
      </c>
      <c r="BD146" s="3">
        <f t="shared" si="126"/>
        <v>115564.57777777778</v>
      </c>
    </row>
    <row r="147" spans="3:56" x14ac:dyDescent="0.45">
      <c r="C147">
        <f t="shared" si="105"/>
        <v>135</v>
      </c>
      <c r="D147" s="2">
        <f t="shared" si="130"/>
        <v>697.7705094937852</v>
      </c>
      <c r="E147" s="2">
        <f t="shared" si="130"/>
        <v>4625.7955640800019</v>
      </c>
      <c r="F147" s="2">
        <f t="shared" si="130"/>
        <v>12144.331854591834</v>
      </c>
      <c r="G147" s="2">
        <f t="shared" si="130"/>
        <v>21958.284943961338</v>
      </c>
      <c r="H147" s="2">
        <f t="shared" si="130"/>
        <v>32864.412351569008</v>
      </c>
      <c r="I147" s="2">
        <f t="shared" si="130"/>
        <v>44172.446961811562</v>
      </c>
      <c r="J147" s="2">
        <f t="shared" si="130"/>
        <v>55556.665178311836</v>
      </c>
      <c r="K147" s="2">
        <f t="shared" si="130"/>
        <v>66881.259984676668</v>
      </c>
      <c r="L147" s="2">
        <f t="shared" si="130"/>
        <v>78098.464039582788</v>
      </c>
      <c r="M147" s="2">
        <f t="shared" si="130"/>
        <v>89198.795436147993</v>
      </c>
      <c r="N147" s="2">
        <f t="shared" si="130"/>
        <v>100188.27417383122</v>
      </c>
      <c r="O147" s="2">
        <f t="shared" si="130"/>
        <v>111078.3080322202</v>
      </c>
      <c r="P147" s="2">
        <f t="shared" si="106"/>
        <v>90894.633235299087</v>
      </c>
      <c r="R147">
        <f t="shared" si="107"/>
        <v>135</v>
      </c>
      <c r="S147" s="2">
        <f t="shared" si="132"/>
        <v>67500</v>
      </c>
      <c r="T147" s="2">
        <f t="shared" si="132"/>
        <v>135000</v>
      </c>
      <c r="U147" s="2">
        <f t="shared" si="132"/>
        <v>202500</v>
      </c>
      <c r="V147" s="2">
        <f t="shared" si="132"/>
        <v>270000</v>
      </c>
      <c r="W147" s="2">
        <f t="shared" si="132"/>
        <v>337500</v>
      </c>
      <c r="X147" s="2">
        <f t="shared" si="132"/>
        <v>405000</v>
      </c>
      <c r="Y147" s="2">
        <f t="shared" si="132"/>
        <v>472500</v>
      </c>
      <c r="Z147" s="2">
        <f t="shared" si="132"/>
        <v>540000</v>
      </c>
      <c r="AA147" s="2">
        <f t="shared" si="108"/>
        <v>607500</v>
      </c>
      <c r="AB147" s="2">
        <f t="shared" si="108"/>
        <v>675000</v>
      </c>
      <c r="AC147" s="2">
        <f t="shared" si="108"/>
        <v>742500</v>
      </c>
      <c r="AD147" s="2">
        <f t="shared" si="108"/>
        <v>810000</v>
      </c>
      <c r="AE147" s="2">
        <f t="shared" si="108"/>
        <v>607500</v>
      </c>
      <c r="AG147">
        <f t="shared" si="109"/>
        <v>135</v>
      </c>
      <c r="AH147" s="6">
        <f t="shared" si="110"/>
        <v>1.033734088138941E-2</v>
      </c>
      <c r="AI147" s="6">
        <f t="shared" si="111"/>
        <v>3.4265152326518535E-2</v>
      </c>
      <c r="AJ147" s="6">
        <f t="shared" si="112"/>
        <v>5.9972009158478189E-2</v>
      </c>
      <c r="AK147" s="6">
        <f t="shared" si="113"/>
        <v>8.1326981273930884E-2</v>
      </c>
      <c r="AL147" s="6">
        <f t="shared" si="114"/>
        <v>9.7376036597241505E-2</v>
      </c>
      <c r="AM147" s="6">
        <f t="shared" si="115"/>
        <v>0.10906777027607793</v>
      </c>
      <c r="AN147" s="6">
        <f t="shared" si="116"/>
        <v>0.11758024376362293</v>
      </c>
      <c r="AO147" s="6">
        <f t="shared" si="117"/>
        <v>0.12385418515680864</v>
      </c>
      <c r="AP147" s="6">
        <f t="shared" si="118"/>
        <v>0.12855714245198813</v>
      </c>
      <c r="AQ147" s="6">
        <f t="shared" si="119"/>
        <v>0.13214636360910814</v>
      </c>
      <c r="AR147" s="6">
        <f t="shared" si="120"/>
        <v>0.13493370259101847</v>
      </c>
      <c r="AS147" s="6">
        <f t="shared" si="121"/>
        <v>0.13713371362002494</v>
      </c>
      <c r="AT147" s="6">
        <f t="shared" si="122"/>
        <v>0.14962079544905199</v>
      </c>
      <c r="AW147" s="3">
        <f t="shared" si="131"/>
        <v>2700</v>
      </c>
      <c r="AX147" s="3">
        <f t="shared" si="127"/>
        <v>198</v>
      </c>
      <c r="AY147" s="3">
        <f t="shared" si="128"/>
        <v>534600</v>
      </c>
      <c r="AZ147" s="13">
        <f t="shared" si="129"/>
        <v>0.11004072758427459</v>
      </c>
      <c r="BA147" s="3">
        <f t="shared" si="95"/>
        <v>58827.772966553195</v>
      </c>
      <c r="BB147" s="3">
        <f t="shared" si="96"/>
        <v>58880.322814685082</v>
      </c>
      <c r="BC147" s="3">
        <f t="shared" si="125"/>
        <v>58904.386265917987</v>
      </c>
      <c r="BD147" s="3">
        <f t="shared" si="126"/>
        <v>117612.00000000001</v>
      </c>
    </row>
    <row r="148" spans="3:56" x14ac:dyDescent="0.45">
      <c r="C148">
        <f t="shared" si="105"/>
        <v>136</v>
      </c>
      <c r="D148" s="2">
        <f t="shared" si="130"/>
        <v>698.47578761052171</v>
      </c>
      <c r="E148" s="2">
        <f t="shared" si="130"/>
        <v>4641.3299943271295</v>
      </c>
      <c r="F148" s="2">
        <f t="shared" si="130"/>
        <v>12215.892461407611</v>
      </c>
      <c r="G148" s="2">
        <f t="shared" si="130"/>
        <v>22134.116597695884</v>
      </c>
      <c r="H148" s="2">
        <f t="shared" si="130"/>
        <v>33180.006377902711</v>
      </c>
      <c r="I148" s="2">
        <f t="shared" si="130"/>
        <v>44648.110358466751</v>
      </c>
      <c r="J148" s="2">
        <f t="shared" si="130"/>
        <v>56202.15220504185</v>
      </c>
      <c r="K148" s="2">
        <f t="shared" si="130"/>
        <v>67700.293078624643</v>
      </c>
      <c r="L148" s="2">
        <f t="shared" si="130"/>
        <v>79091.641869939689</v>
      </c>
      <c r="M148" s="2">
        <f t="shared" si="130"/>
        <v>90365.220231724379</v>
      </c>
      <c r="N148" s="2">
        <f t="shared" si="130"/>
        <v>101526.4083890724</v>
      </c>
      <c r="O148" s="2">
        <f t="shared" si="130"/>
        <v>112586.40900258493</v>
      </c>
      <c r="P148" s="2">
        <f t="shared" si="106"/>
        <v>92245.680298669671</v>
      </c>
      <c r="R148">
        <f t="shared" si="107"/>
        <v>136</v>
      </c>
      <c r="S148" s="2">
        <f t="shared" si="132"/>
        <v>68000</v>
      </c>
      <c r="T148" s="2">
        <f t="shared" si="132"/>
        <v>136000</v>
      </c>
      <c r="U148" s="2">
        <f t="shared" si="132"/>
        <v>204000</v>
      </c>
      <c r="V148" s="2">
        <f t="shared" si="132"/>
        <v>272000</v>
      </c>
      <c r="W148" s="2">
        <f t="shared" si="132"/>
        <v>340000</v>
      </c>
      <c r="X148" s="2">
        <f t="shared" si="132"/>
        <v>408000</v>
      </c>
      <c r="Y148" s="2">
        <f t="shared" si="132"/>
        <v>476000</v>
      </c>
      <c r="Z148" s="2">
        <f t="shared" si="132"/>
        <v>544000</v>
      </c>
      <c r="AA148" s="2">
        <f t="shared" si="108"/>
        <v>612000</v>
      </c>
      <c r="AB148" s="2">
        <f t="shared" si="108"/>
        <v>680000</v>
      </c>
      <c r="AC148" s="2">
        <f t="shared" si="108"/>
        <v>748000</v>
      </c>
      <c r="AD148" s="2">
        <f t="shared" si="108"/>
        <v>816000</v>
      </c>
      <c r="AE148" s="2">
        <f t="shared" si="108"/>
        <v>612000</v>
      </c>
      <c r="AG148">
        <f t="shared" si="109"/>
        <v>136</v>
      </c>
      <c r="AH148" s="6">
        <f t="shared" si="110"/>
        <v>1.0271702758978261E-2</v>
      </c>
      <c r="AI148" s="6">
        <f t="shared" si="111"/>
        <v>3.4127426428875951E-2</v>
      </c>
      <c r="AJ148" s="6">
        <f t="shared" si="112"/>
        <v>5.9881825791213782E-2</v>
      </c>
      <c r="AK148" s="6">
        <f t="shared" si="113"/>
        <v>8.1375428667999572E-2</v>
      </c>
      <c r="AL148" s="6">
        <f t="shared" si="114"/>
        <v>9.7588254052655032E-2</v>
      </c>
      <c r="AM148" s="6">
        <f t="shared" si="115"/>
        <v>0.10943164303545773</v>
      </c>
      <c r="AN148" s="6">
        <f t="shared" si="116"/>
        <v>0.11807174832991986</v>
      </c>
      <c r="AO148" s="6">
        <f t="shared" si="117"/>
        <v>0.12444906815923648</v>
      </c>
      <c r="AP148" s="6">
        <f t="shared" si="118"/>
        <v>0.12923470893780994</v>
      </c>
      <c r="AQ148" s="6">
        <f t="shared" si="119"/>
        <v>0.13289002975253586</v>
      </c>
      <c r="AR148" s="6">
        <f t="shared" si="120"/>
        <v>0.1357304924987599</v>
      </c>
      <c r="AS148" s="6">
        <f t="shared" si="121"/>
        <v>0.13797354044434429</v>
      </c>
      <c r="AT148" s="6">
        <f t="shared" si="122"/>
        <v>0.15072823578213998</v>
      </c>
      <c r="AW148" s="3">
        <f t="shared" si="131"/>
        <v>2720</v>
      </c>
      <c r="AX148" s="3">
        <f t="shared" si="127"/>
        <v>200</v>
      </c>
      <c r="AY148" s="3">
        <f t="shared" si="128"/>
        <v>544000</v>
      </c>
      <c r="AZ148" s="13">
        <f t="shared" si="129"/>
        <v>0.11115224423285637</v>
      </c>
      <c r="BA148" s="3">
        <f t="shared" si="95"/>
        <v>60466.820862673863</v>
      </c>
      <c r="BB148" s="3">
        <f t="shared" si="96"/>
        <v>60440.089712011009</v>
      </c>
      <c r="BC148" s="3">
        <f t="shared" si="125"/>
        <v>60384.171567305231</v>
      </c>
      <c r="BD148" s="3">
        <f t="shared" si="126"/>
        <v>120888.88888888889</v>
      </c>
    </row>
    <row r="149" spans="3:56" x14ac:dyDescent="0.45">
      <c r="C149">
        <f t="shared" si="105"/>
        <v>137</v>
      </c>
      <c r="D149" s="2">
        <f t="shared" si="130"/>
        <v>699.1670588933714</v>
      </c>
      <c r="E149" s="2">
        <f t="shared" si="130"/>
        <v>4656.6267765578868</v>
      </c>
      <c r="F149" s="2">
        <f t="shared" si="130"/>
        <v>12286.712448237909</v>
      </c>
      <c r="G149" s="2">
        <f t="shared" si="130"/>
        <v>22308.857969855209</v>
      </c>
      <c r="H149" s="2">
        <f t="shared" si="130"/>
        <v>33494.634768273005</v>
      </c>
      <c r="I149" s="2">
        <f t="shared" si="130"/>
        <v>45123.412719836058</v>
      </c>
      <c r="J149" s="2">
        <f t="shared" si="130"/>
        <v>56848.234875479015</v>
      </c>
      <c r="K149" s="2">
        <f t="shared" si="130"/>
        <v>68521.100151537743</v>
      </c>
      <c r="L149" s="2">
        <f t="shared" si="130"/>
        <v>80087.898398189238</v>
      </c>
      <c r="M149" s="2">
        <f t="shared" si="130"/>
        <v>91536.093487905338</v>
      </c>
      <c r="N149" s="2">
        <f t="shared" si="130"/>
        <v>102870.38874120891</v>
      </c>
      <c r="O149" s="2">
        <f t="shared" si="130"/>
        <v>114101.76009402332</v>
      </c>
      <c r="P149" s="2">
        <f t="shared" si="106"/>
        <v>93606.690435544369</v>
      </c>
      <c r="R149">
        <f t="shared" si="107"/>
        <v>137</v>
      </c>
      <c r="S149" s="2">
        <f t="shared" si="132"/>
        <v>68500</v>
      </c>
      <c r="T149" s="2">
        <f t="shared" si="132"/>
        <v>137000</v>
      </c>
      <c r="U149" s="2">
        <f t="shared" si="132"/>
        <v>205500</v>
      </c>
      <c r="V149" s="2">
        <f t="shared" si="132"/>
        <v>274000</v>
      </c>
      <c r="W149" s="2">
        <f t="shared" si="132"/>
        <v>342500</v>
      </c>
      <c r="X149" s="2">
        <f t="shared" si="132"/>
        <v>411000</v>
      </c>
      <c r="Y149" s="2">
        <f t="shared" si="132"/>
        <v>479500</v>
      </c>
      <c r="Z149" s="2">
        <f t="shared" si="132"/>
        <v>548000</v>
      </c>
      <c r="AA149" s="2">
        <f t="shared" si="108"/>
        <v>616500</v>
      </c>
      <c r="AB149" s="2">
        <f t="shared" si="108"/>
        <v>685000</v>
      </c>
      <c r="AC149" s="2">
        <f t="shared" si="108"/>
        <v>753500</v>
      </c>
      <c r="AD149" s="2">
        <f t="shared" si="108"/>
        <v>822000</v>
      </c>
      <c r="AE149" s="2">
        <f t="shared" si="108"/>
        <v>616500</v>
      </c>
      <c r="AG149">
        <f t="shared" si="109"/>
        <v>137</v>
      </c>
      <c r="AH149" s="6">
        <f t="shared" si="110"/>
        <v>1.0206818378005422E-2</v>
      </c>
      <c r="AI149" s="6">
        <f t="shared" si="111"/>
        <v>3.3989976471225453E-2</v>
      </c>
      <c r="AJ149" s="6">
        <f t="shared" si="112"/>
        <v>5.9789354979259898E-2</v>
      </c>
      <c r="AK149" s="6">
        <f t="shared" si="113"/>
        <v>8.1419189671004408E-2</v>
      </c>
      <c r="AL149" s="6">
        <f t="shared" si="114"/>
        <v>9.7794554067950373E-2</v>
      </c>
      <c r="AM149" s="6">
        <f t="shared" si="115"/>
        <v>0.10978932535239917</v>
      </c>
      <c r="AN149" s="6">
        <f t="shared" si="116"/>
        <v>0.11855731986544112</v>
      </c>
      <c r="AO149" s="6">
        <f t="shared" si="117"/>
        <v>0.12503850392616375</v>
      </c>
      <c r="AP149" s="6">
        <f t="shared" si="118"/>
        <v>0.12990737777484063</v>
      </c>
      <c r="AQ149" s="6">
        <f t="shared" si="119"/>
        <v>0.1336293335589859</v>
      </c>
      <c r="AR149" s="6">
        <f t="shared" si="120"/>
        <v>0.13652340907924207</v>
      </c>
      <c r="AS149" s="6">
        <f t="shared" si="121"/>
        <v>0.13880992712168289</v>
      </c>
      <c r="AT149" s="6">
        <f t="shared" si="122"/>
        <v>0.15183566980623581</v>
      </c>
      <c r="AW149" s="3">
        <f t="shared" si="131"/>
        <v>2740</v>
      </c>
      <c r="AX149" s="3">
        <f t="shared" si="127"/>
        <v>201</v>
      </c>
      <c r="AY149" s="3">
        <f t="shared" si="128"/>
        <v>550740</v>
      </c>
      <c r="AZ149" s="13">
        <f t="shared" si="129"/>
        <v>0.11170800255714726</v>
      </c>
      <c r="BA149" s="3">
        <f t="shared" si="95"/>
        <v>61522.065328323282</v>
      </c>
      <c r="BB149" s="3">
        <f t="shared" si="96"/>
        <v>61566.814155101958</v>
      </c>
      <c r="BC149" s="3">
        <f t="shared" si="125"/>
        <v>61581.791217425125</v>
      </c>
      <c r="BD149" s="3">
        <f t="shared" si="126"/>
        <v>122998.6</v>
      </c>
    </row>
    <row r="150" spans="3:56" x14ac:dyDescent="0.45">
      <c r="C150">
        <f t="shared" si="105"/>
        <v>138</v>
      </c>
      <c r="D150" s="2">
        <f t="shared" si="130"/>
        <v>699.84468248453891</v>
      </c>
      <c r="E150" s="2">
        <f t="shared" si="130"/>
        <v>4671.6901191954512</v>
      </c>
      <c r="F150" s="2">
        <f t="shared" si="130"/>
        <v>12356.797640012446</v>
      </c>
      <c r="G150" s="2">
        <f t="shared" si="130"/>
        <v>22482.505232767664</v>
      </c>
      <c r="H150" s="2">
        <f t="shared" si="130"/>
        <v>33808.276735093903</v>
      </c>
      <c r="I150" s="2">
        <f t="shared" si="130"/>
        <v>45598.316236881881</v>
      </c>
      <c r="J150" s="2">
        <f t="shared" si="130"/>
        <v>57494.861930569721</v>
      </c>
      <c r="K150" s="2">
        <f t="shared" si="130"/>
        <v>69343.620680334832</v>
      </c>
      <c r="L150" s="2">
        <f t="shared" si="130"/>
        <v>81087.167385856606</v>
      </c>
      <c r="M150" s="2">
        <f t="shared" si="130"/>
        <v>92711.345901108682</v>
      </c>
      <c r="N150" s="2">
        <f t="shared" si="130"/>
        <v>104220.14471903446</v>
      </c>
      <c r="O150" s="2">
        <f t="shared" si="130"/>
        <v>115624.29084026124</v>
      </c>
      <c r="P150" s="2">
        <f t="shared" si="106"/>
        <v>94977.66358937211</v>
      </c>
      <c r="R150">
        <f t="shared" si="107"/>
        <v>138</v>
      </c>
      <c r="S150" s="2">
        <f t="shared" si="132"/>
        <v>69000</v>
      </c>
      <c r="T150" s="2">
        <f t="shared" si="132"/>
        <v>138000</v>
      </c>
      <c r="U150" s="2">
        <f t="shared" si="132"/>
        <v>207000</v>
      </c>
      <c r="V150" s="2">
        <f t="shared" si="132"/>
        <v>276000</v>
      </c>
      <c r="W150" s="2">
        <f t="shared" si="132"/>
        <v>345000</v>
      </c>
      <c r="X150" s="2">
        <f t="shared" si="132"/>
        <v>414000</v>
      </c>
      <c r="Y150" s="2">
        <f t="shared" si="132"/>
        <v>483000</v>
      </c>
      <c r="Z150" s="2">
        <f t="shared" si="132"/>
        <v>552000</v>
      </c>
      <c r="AA150" s="2">
        <f t="shared" si="108"/>
        <v>621000</v>
      </c>
      <c r="AB150" s="2">
        <f t="shared" si="108"/>
        <v>690000</v>
      </c>
      <c r="AC150" s="2">
        <f t="shared" si="108"/>
        <v>759000</v>
      </c>
      <c r="AD150" s="2">
        <f t="shared" si="108"/>
        <v>828000</v>
      </c>
      <c r="AE150" s="2">
        <f t="shared" si="108"/>
        <v>621000</v>
      </c>
      <c r="AG150">
        <f t="shared" si="109"/>
        <v>138</v>
      </c>
      <c r="AH150" s="6">
        <f t="shared" si="110"/>
        <v>1.014267655774694E-2</v>
      </c>
      <c r="AI150" s="6">
        <f t="shared" si="111"/>
        <v>3.3852826950691674E-2</v>
      </c>
      <c r="AJ150" s="6">
        <f t="shared" si="112"/>
        <v>5.969467458943211E-2</v>
      </c>
      <c r="AK150" s="6">
        <f t="shared" si="113"/>
        <v>8.1458352292636468E-2</v>
      </c>
      <c r="AL150" s="6">
        <f t="shared" si="114"/>
        <v>9.799500502925769E-2</v>
      </c>
      <c r="AM150" s="6">
        <f t="shared" si="115"/>
        <v>0.1101408604755601</v>
      </c>
      <c r="AN150" s="6">
        <f t="shared" si="116"/>
        <v>0.11903698122271164</v>
      </c>
      <c r="AO150" s="6">
        <f t="shared" si="117"/>
        <v>0.12562250123249064</v>
      </c>
      <c r="AP150" s="6">
        <f t="shared" si="118"/>
        <v>0.13057514876949533</v>
      </c>
      <c r="AQ150" s="6">
        <f t="shared" si="119"/>
        <v>0.13436426942189664</v>
      </c>
      <c r="AR150" s="6">
        <f t="shared" si="120"/>
        <v>0.13731244363509151</v>
      </c>
      <c r="AS150" s="6">
        <f t="shared" si="121"/>
        <v>0.13964286333364884</v>
      </c>
      <c r="AT150" s="6">
        <f t="shared" si="122"/>
        <v>0.15294309756742691</v>
      </c>
      <c r="AW150" s="3">
        <f t="shared" si="131"/>
        <v>2760</v>
      </c>
      <c r="AX150" s="3">
        <f t="shared" si="127"/>
        <v>203</v>
      </c>
      <c r="AY150" s="3">
        <f t="shared" si="128"/>
        <v>560280</v>
      </c>
      <c r="AZ150" s="13">
        <f t="shared" si="129"/>
        <v>0.11281951920572904</v>
      </c>
      <c r="BA150" s="3">
        <f t="shared" si="95"/>
        <v>63210.520220585866</v>
      </c>
      <c r="BB150" s="3">
        <f t="shared" si="96"/>
        <v>63173.426097665862</v>
      </c>
      <c r="BC150" s="3">
        <f t="shared" si="125"/>
        <v>63105.813118988255</v>
      </c>
      <c r="BD150" s="3">
        <f t="shared" si="126"/>
        <v>126374.26666666666</v>
      </c>
    </row>
    <row r="151" spans="3:56" x14ac:dyDescent="0.45">
      <c r="C151">
        <f t="shared" si="105"/>
        <v>139</v>
      </c>
      <c r="D151" s="2">
        <f t="shared" si="130"/>
        <v>700.50900640633893</v>
      </c>
      <c r="E151" s="2">
        <f t="shared" si="130"/>
        <v>4686.5241573866633</v>
      </c>
      <c r="F151" s="2">
        <f t="shared" si="130"/>
        <v>12426.153939006688</v>
      </c>
      <c r="G151" s="2">
        <f t="shared" si="130"/>
        <v>22655.054982298403</v>
      </c>
      <c r="H151" s="2">
        <f t="shared" si="130"/>
        <v>34120.912143440932</v>
      </c>
      <c r="I151" s="2">
        <f t="shared" si="130"/>
        <v>46072.783781513019</v>
      </c>
      <c r="J151" s="2">
        <f t="shared" si="130"/>
        <v>58141.982692477242</v>
      </c>
      <c r="K151" s="2">
        <f t="shared" si="130"/>
        <v>70167.794575159191</v>
      </c>
      <c r="L151" s="2">
        <f t="shared" si="130"/>
        <v>82089.382877918208</v>
      </c>
      <c r="M151" s="2">
        <f t="shared" si="130"/>
        <v>93890.908319531867</v>
      </c>
      <c r="N151" s="2">
        <f t="shared" si="130"/>
        <v>105575.60585501858</v>
      </c>
      <c r="O151" s="2">
        <f t="shared" si="130"/>
        <v>117153.93073323584</v>
      </c>
      <c r="P151" s="2">
        <f t="shared" si="106"/>
        <v>96358.599704013104</v>
      </c>
      <c r="R151">
        <f t="shared" si="107"/>
        <v>139</v>
      </c>
      <c r="S151" s="2">
        <f t="shared" si="132"/>
        <v>69500</v>
      </c>
      <c r="T151" s="2">
        <f t="shared" si="132"/>
        <v>139000</v>
      </c>
      <c r="U151" s="2">
        <f t="shared" si="132"/>
        <v>208500</v>
      </c>
      <c r="V151" s="2">
        <f t="shared" si="132"/>
        <v>278000</v>
      </c>
      <c r="W151" s="2">
        <f t="shared" si="132"/>
        <v>347500</v>
      </c>
      <c r="X151" s="2">
        <f t="shared" si="132"/>
        <v>417000</v>
      </c>
      <c r="Y151" s="2">
        <f t="shared" si="132"/>
        <v>486500</v>
      </c>
      <c r="Z151" s="2">
        <f t="shared" si="132"/>
        <v>556000</v>
      </c>
      <c r="AA151" s="2">
        <f t="shared" si="108"/>
        <v>625500</v>
      </c>
      <c r="AB151" s="2">
        <f t="shared" si="108"/>
        <v>695000</v>
      </c>
      <c r="AC151" s="2">
        <f t="shared" si="108"/>
        <v>764500</v>
      </c>
      <c r="AD151" s="2">
        <f t="shared" si="108"/>
        <v>834000</v>
      </c>
      <c r="AE151" s="2">
        <f t="shared" si="108"/>
        <v>625500</v>
      </c>
      <c r="AG151">
        <f t="shared" si="109"/>
        <v>139</v>
      </c>
      <c r="AH151" s="6">
        <f t="shared" si="110"/>
        <v>1.0079266279227898E-2</v>
      </c>
      <c r="AI151" s="6">
        <f t="shared" si="111"/>
        <v>3.3716001132278156E-2</v>
      </c>
      <c r="AJ151" s="6">
        <f t="shared" si="112"/>
        <v>5.9597860618737113E-2</v>
      </c>
      <c r="AK151" s="6">
        <f t="shared" si="113"/>
        <v>8.1493003533447489E-2</v>
      </c>
      <c r="AL151" s="6">
        <f t="shared" si="114"/>
        <v>9.8189675232923546E-2</v>
      </c>
      <c r="AM151" s="6">
        <f t="shared" si="115"/>
        <v>0.11048629204199764</v>
      </c>
      <c r="AN151" s="6">
        <f t="shared" si="116"/>
        <v>0.11951075579132013</v>
      </c>
      <c r="AO151" s="6">
        <f t="shared" si="117"/>
        <v>0.1262010693797827</v>
      </c>
      <c r="AP151" s="6">
        <f t="shared" si="118"/>
        <v>0.1312380221869196</v>
      </c>
      <c r="AQ151" s="6">
        <f t="shared" si="119"/>
        <v>0.13509483211443435</v>
      </c>
      <c r="AR151" s="6">
        <f t="shared" si="120"/>
        <v>0.1380975877763487</v>
      </c>
      <c r="AS151" s="6">
        <f t="shared" si="121"/>
        <v>0.14047233900867606</v>
      </c>
      <c r="AT151" s="6">
        <f t="shared" si="122"/>
        <v>0.15405051911113207</v>
      </c>
      <c r="AW151" s="3">
        <f t="shared" si="131"/>
        <v>2780</v>
      </c>
      <c r="AX151" s="3">
        <f t="shared" si="127"/>
        <v>204</v>
      </c>
      <c r="AY151" s="3">
        <f t="shared" si="128"/>
        <v>567120</v>
      </c>
      <c r="AZ151" s="13">
        <f t="shared" si="129"/>
        <v>0.11337527753001994</v>
      </c>
      <c r="BA151" s="3">
        <f t="shared" si="95"/>
        <v>64297.387392824909</v>
      </c>
      <c r="BB151" s="3">
        <f t="shared" si="96"/>
        <v>64333.798691347169</v>
      </c>
      <c r="BC151" s="3">
        <f t="shared" si="125"/>
        <v>64339.111371005471</v>
      </c>
      <c r="BD151" s="3">
        <f t="shared" si="126"/>
        <v>128547.2</v>
      </c>
    </row>
    <row r="152" spans="3:56" x14ac:dyDescent="0.45">
      <c r="C152">
        <f t="shared" si="105"/>
        <v>140</v>
      </c>
      <c r="D152" s="2">
        <f t="shared" si="130"/>
        <v>701.16036795880279</v>
      </c>
      <c r="E152" s="2">
        <f t="shared" si="130"/>
        <v>4701.1329537242336</v>
      </c>
      <c r="F152" s="2">
        <f t="shared" si="130"/>
        <v>12494.787317772165</v>
      </c>
      <c r="G152" s="2">
        <f t="shared" si="130"/>
        <v>22826.504225361776</v>
      </c>
      <c r="H152" s="2">
        <f t="shared" si="130"/>
        <v>34432.521501773597</v>
      </c>
      <c r="I152" s="2">
        <f t="shared" si="130"/>
        <v>46546.778903742357</v>
      </c>
      <c r="J152" s="2">
        <f t="shared" si="130"/>
        <v>58789.547067083404</v>
      </c>
      <c r="K152" s="2">
        <f t="shared" si="130"/>
        <v>70993.562185100251</v>
      </c>
      <c r="L152" s="2">
        <f t="shared" si="130"/>
        <v>83094.479210013495</v>
      </c>
      <c r="M152" s="2">
        <f t="shared" si="130"/>
        <v>95074.711750752889</v>
      </c>
      <c r="N152" s="2">
        <f t="shared" si="130"/>
        <v>106936.70173268713</v>
      </c>
      <c r="O152" s="2">
        <f t="shared" si="130"/>
        <v>118690.60922995835</v>
      </c>
      <c r="P152" s="2">
        <f t="shared" si="106"/>
        <v>97749.49872373385</v>
      </c>
      <c r="R152">
        <f t="shared" si="107"/>
        <v>140</v>
      </c>
      <c r="S152" s="2">
        <f t="shared" si="132"/>
        <v>70000</v>
      </c>
      <c r="T152" s="2">
        <f t="shared" si="132"/>
        <v>140000</v>
      </c>
      <c r="U152" s="2">
        <f t="shared" si="132"/>
        <v>210000</v>
      </c>
      <c r="V152" s="2">
        <f t="shared" si="132"/>
        <v>280000</v>
      </c>
      <c r="W152" s="2">
        <f t="shared" si="132"/>
        <v>350000</v>
      </c>
      <c r="X152" s="2">
        <f t="shared" si="132"/>
        <v>420000</v>
      </c>
      <c r="Y152" s="2">
        <f t="shared" si="132"/>
        <v>490000</v>
      </c>
      <c r="Z152" s="2">
        <f t="shared" si="132"/>
        <v>560000</v>
      </c>
      <c r="AA152" s="2">
        <f t="shared" si="108"/>
        <v>630000</v>
      </c>
      <c r="AB152" s="2">
        <f t="shared" si="108"/>
        <v>700000</v>
      </c>
      <c r="AC152" s="2">
        <f t="shared" si="108"/>
        <v>770000</v>
      </c>
      <c r="AD152" s="2">
        <f t="shared" si="108"/>
        <v>840000</v>
      </c>
      <c r="AE152" s="2">
        <f t="shared" si="108"/>
        <v>630000</v>
      </c>
      <c r="AG152">
        <f t="shared" si="109"/>
        <v>140</v>
      </c>
      <c r="AH152" s="6">
        <f t="shared" si="110"/>
        <v>1.0016576685125754E-2</v>
      </c>
      <c r="AI152" s="6">
        <f t="shared" si="111"/>
        <v>3.3579521098030238E-2</v>
      </c>
      <c r="AJ152" s="6">
        <f t="shared" si="112"/>
        <v>5.9498987227486498E-2</v>
      </c>
      <c r="AK152" s="6">
        <f t="shared" si="113"/>
        <v>8.1523229376292056E-2</v>
      </c>
      <c r="AL152" s="6">
        <f t="shared" si="114"/>
        <v>9.8378632862210283E-2</v>
      </c>
      <c r="AM152" s="6">
        <f t="shared" si="115"/>
        <v>0.11082566405652942</v>
      </c>
      <c r="AN152" s="6">
        <f t="shared" si="116"/>
        <v>0.11997866748384368</v>
      </c>
      <c r="AO152" s="6">
        <f t="shared" si="117"/>
        <v>0.12677421818767901</v>
      </c>
      <c r="AP152" s="6">
        <f t="shared" si="118"/>
        <v>0.13189599874605318</v>
      </c>
      <c r="AQ152" s="6">
        <f t="shared" si="119"/>
        <v>0.13582101678678984</v>
      </c>
      <c r="AR152" s="6">
        <f t="shared" si="120"/>
        <v>0.1388788334190742</v>
      </c>
      <c r="AS152" s="6">
        <f t="shared" si="121"/>
        <v>0.141298344321379</v>
      </c>
      <c r="AT152" s="6">
        <f t="shared" si="122"/>
        <v>0.15515793448211723</v>
      </c>
      <c r="AW152" s="3">
        <f t="shared" si="131"/>
        <v>2800</v>
      </c>
      <c r="AX152" s="3">
        <f t="shared" si="127"/>
        <v>206</v>
      </c>
      <c r="AY152" s="3">
        <f t="shared" si="128"/>
        <v>576800</v>
      </c>
      <c r="AZ152" s="13">
        <f t="shared" si="129"/>
        <v>0.11448679417860172</v>
      </c>
      <c r="BA152" s="3">
        <f t="shared" si="95"/>
        <v>66035.982882217475</v>
      </c>
      <c r="BB152" s="3">
        <f t="shared" si="96"/>
        <v>65987.948732435441</v>
      </c>
      <c r="BC152" s="3">
        <f t="shared" si="125"/>
        <v>65908.02131664248</v>
      </c>
      <c r="BD152" s="3">
        <f t="shared" si="126"/>
        <v>132023.11111111112</v>
      </c>
    </row>
    <row r="153" spans="3:56" x14ac:dyDescent="0.45">
      <c r="C153">
        <f t="shared" si="105"/>
        <v>141</v>
      </c>
      <c r="D153" s="2">
        <f t="shared" ref="D153:O162" si="133">$C$7*BL_MBPS*BL_KM^2*D$12^3*$C153^2/((EM_KM*D$12)^2+(2*PI()*AVG_SUN_DIST_KM*$C153)^2)</f>
        <v>701.79909410141966</v>
      </c>
      <c r="E153" s="2">
        <f t="shared" si="133"/>
        <v>4715.5204990077427</v>
      </c>
      <c r="F153" s="2">
        <f t="shared" si="133"/>
        <v>12562.703812366548</v>
      </c>
      <c r="G153" s="2">
        <f t="shared" si="133"/>
        <v>22996.850367635037</v>
      </c>
      <c r="H153" s="2">
        <f t="shared" si="133"/>
        <v>34743.085952584472</v>
      </c>
      <c r="I153" s="2">
        <f t="shared" si="133"/>
        <v>47020.265828616073</v>
      </c>
      <c r="J153" s="2">
        <f t="shared" si="133"/>
        <v>59437.505546238266</v>
      </c>
      <c r="K153" s="2">
        <f t="shared" si="133"/>
        <v>71820.864303702067</v>
      </c>
      <c r="L153" s="2">
        <f t="shared" si="133"/>
        <v>84102.39101549676</v>
      </c>
      <c r="M153" s="2">
        <f t="shared" si="133"/>
        <v>96262.687369219449</v>
      </c>
      <c r="N153" s="2">
        <f t="shared" si="133"/>
        <v>108303.36199392736</v>
      </c>
      <c r="O153" s="2">
        <f t="shared" si="133"/>
        <v>120234.25575932888</v>
      </c>
      <c r="P153" s="2">
        <f t="shared" si="106"/>
        <v>99150.360593200283</v>
      </c>
      <c r="R153">
        <f t="shared" si="107"/>
        <v>141</v>
      </c>
      <c r="S153" s="2">
        <f t="shared" si="132"/>
        <v>70500</v>
      </c>
      <c r="T153" s="2">
        <f t="shared" si="132"/>
        <v>141000</v>
      </c>
      <c r="U153" s="2">
        <f t="shared" si="132"/>
        <v>211500</v>
      </c>
      <c r="V153" s="2">
        <f t="shared" si="132"/>
        <v>282000</v>
      </c>
      <c r="W153" s="2">
        <f t="shared" si="132"/>
        <v>352500</v>
      </c>
      <c r="X153" s="2">
        <f t="shared" si="132"/>
        <v>423000</v>
      </c>
      <c r="Y153" s="2">
        <f t="shared" si="132"/>
        <v>493500</v>
      </c>
      <c r="Z153" s="2">
        <f t="shared" si="132"/>
        <v>564000</v>
      </c>
      <c r="AA153" s="2">
        <f t="shared" si="108"/>
        <v>634500</v>
      </c>
      <c r="AB153" s="2">
        <f t="shared" si="108"/>
        <v>705000</v>
      </c>
      <c r="AC153" s="2">
        <f t="shared" si="108"/>
        <v>775500</v>
      </c>
      <c r="AD153" s="2">
        <f t="shared" si="108"/>
        <v>846000</v>
      </c>
      <c r="AE153" s="2">
        <f t="shared" si="108"/>
        <v>634500</v>
      </c>
      <c r="AG153">
        <f t="shared" si="109"/>
        <v>141</v>
      </c>
      <c r="AH153" s="6">
        <f t="shared" si="110"/>
        <v>9.9545970794527611E-3</v>
      </c>
      <c r="AI153" s="6">
        <f t="shared" si="111"/>
        <v>3.3443407794381153E-2</v>
      </c>
      <c r="AJ153" s="6">
        <f t="shared" si="112"/>
        <v>5.9398126772418666E-2</v>
      </c>
      <c r="AK153" s="6">
        <f t="shared" si="113"/>
        <v>8.1549114778847645E-2</v>
      </c>
      <c r="AL153" s="6">
        <f t="shared" si="114"/>
        <v>9.8561945964778644E-2</v>
      </c>
      <c r="AM153" s="6">
        <f t="shared" si="115"/>
        <v>0.1111590208714328</v>
      </c>
      <c r="AN153" s="6">
        <f t="shared" si="116"/>
        <v>0.12044074072186073</v>
      </c>
      <c r="AO153" s="6">
        <f t="shared" si="117"/>
        <v>0.12734195798528736</v>
      </c>
      <c r="AP153" s="6">
        <f t="shared" si="118"/>
        <v>0.13254907961465209</v>
      </c>
      <c r="AQ153" s="6">
        <f t="shared" si="119"/>
        <v>0.13654281896343184</v>
      </c>
      <c r="AR153" s="6">
        <f t="shared" si="120"/>
        <v>0.13965617278391665</v>
      </c>
      <c r="AS153" s="6">
        <f t="shared" si="121"/>
        <v>0.14212086969187812</v>
      </c>
      <c r="AT153" s="6">
        <f t="shared" si="122"/>
        <v>0.15626534372450793</v>
      </c>
      <c r="AW153" s="3">
        <f t="shared" si="131"/>
        <v>2820</v>
      </c>
      <c r="AX153" s="3">
        <f t="shared" si="127"/>
        <v>207</v>
      </c>
      <c r="AY153" s="3">
        <f t="shared" si="128"/>
        <v>583740</v>
      </c>
      <c r="AZ153" s="13">
        <f t="shared" si="129"/>
        <v>0.11504255250289261</v>
      </c>
      <c r="BA153" s="3">
        <f t="shared" si="95"/>
        <v>67154.939598038531</v>
      </c>
      <c r="BB153" s="3">
        <f t="shared" si="96"/>
        <v>67182.464514863765</v>
      </c>
      <c r="BC153" s="3">
        <f t="shared" si="125"/>
        <v>67177.52177044205</v>
      </c>
      <c r="BD153" s="3">
        <f t="shared" si="126"/>
        <v>134260.20000000001</v>
      </c>
    </row>
    <row r="154" spans="3:56" x14ac:dyDescent="0.45">
      <c r="C154">
        <f t="shared" si="105"/>
        <v>142</v>
      </c>
      <c r="D154" s="2">
        <f t="shared" si="133"/>
        <v>702.42550181969966</v>
      </c>
      <c r="E154" s="2">
        <f t="shared" si="133"/>
        <v>4729.6907130392365</v>
      </c>
      <c r="F154" s="2">
        <f t="shared" si="133"/>
        <v>12629.909515874306</v>
      </c>
      <c r="G154" s="2">
        <f t="shared" si="133"/>
        <v>23166.091201476382</v>
      </c>
      <c r="H154" s="2">
        <f t="shared" si="133"/>
        <v>35052.587262984649</v>
      </c>
      <c r="I154" s="2">
        <f t="shared" si="133"/>
        <v>47493.209452922674</v>
      </c>
      <c r="J154" s="2">
        <f t="shared" si="133"/>
        <v>60085.80920976265</v>
      </c>
      <c r="K154" s="2">
        <f t="shared" si="133"/>
        <v>72649.642174260225</v>
      </c>
      <c r="L154" s="2">
        <f t="shared" si="133"/>
        <v>85113.053232329185</v>
      </c>
      <c r="M154" s="2">
        <f t="shared" si="133"/>
        <v>97454.766523624858</v>
      </c>
      <c r="N154" s="2">
        <f t="shared" si="133"/>
        <v>109675.51634621729</v>
      </c>
      <c r="O154" s="2">
        <f t="shared" si="133"/>
        <v>121784.79972890197</v>
      </c>
      <c r="P154" s="2">
        <f t="shared" si="106"/>
        <v>100561.18525747256</v>
      </c>
      <c r="R154">
        <f t="shared" si="107"/>
        <v>142</v>
      </c>
      <c r="S154" s="2">
        <f t="shared" si="132"/>
        <v>71000</v>
      </c>
      <c r="T154" s="2">
        <f t="shared" si="132"/>
        <v>142000</v>
      </c>
      <c r="U154" s="2">
        <f t="shared" si="132"/>
        <v>213000</v>
      </c>
      <c r="V154" s="2">
        <f t="shared" si="132"/>
        <v>284000</v>
      </c>
      <c r="W154" s="2">
        <f t="shared" si="132"/>
        <v>355000</v>
      </c>
      <c r="X154" s="2">
        <f t="shared" si="132"/>
        <v>426000</v>
      </c>
      <c r="Y154" s="2">
        <f t="shared" si="132"/>
        <v>497000</v>
      </c>
      <c r="Z154" s="2">
        <f t="shared" si="132"/>
        <v>568000</v>
      </c>
      <c r="AA154" s="2">
        <f t="shared" si="108"/>
        <v>639000</v>
      </c>
      <c r="AB154" s="2">
        <f t="shared" si="108"/>
        <v>710000</v>
      </c>
      <c r="AC154" s="2">
        <f t="shared" si="108"/>
        <v>781000</v>
      </c>
      <c r="AD154" s="2">
        <f t="shared" si="108"/>
        <v>852000</v>
      </c>
      <c r="AE154" s="2">
        <f t="shared" si="108"/>
        <v>639000</v>
      </c>
      <c r="AG154">
        <f t="shared" si="109"/>
        <v>142</v>
      </c>
      <c r="AH154" s="6">
        <f t="shared" si="110"/>
        <v>9.8933169270380237E-3</v>
      </c>
      <c r="AI154" s="6">
        <f t="shared" si="111"/>
        <v>3.3307681077741104E-2</v>
      </c>
      <c r="AJ154" s="6">
        <f t="shared" si="112"/>
        <v>5.9295349839785474E-2</v>
      </c>
      <c r="AK154" s="6">
        <f t="shared" si="113"/>
        <v>8.1570743667170362E-2</v>
      </c>
      <c r="AL154" s="6">
        <f t="shared" si="114"/>
        <v>9.873968243094268E-2</v>
      </c>
      <c r="AM154" s="6">
        <f t="shared" si="115"/>
        <v>0.11148640716648515</v>
      </c>
      <c r="AN154" s="6">
        <f t="shared" si="116"/>
        <v>0.12089700042205764</v>
      </c>
      <c r="AO154" s="6">
        <f t="shared" si="117"/>
        <v>0.12790429960257083</v>
      </c>
      <c r="AP154" s="6">
        <f t="shared" si="118"/>
        <v>0.13319726640427101</v>
      </c>
      <c r="AQ154" s="6">
        <f t="shared" si="119"/>
        <v>0.13726023454031669</v>
      </c>
      <c r="AR154" s="6">
        <f t="shared" si="120"/>
        <v>0.14042959839464442</v>
      </c>
      <c r="AS154" s="6">
        <f t="shared" si="121"/>
        <v>0.14293990578509622</v>
      </c>
      <c r="AT154" s="6">
        <f t="shared" si="122"/>
        <v>0.15737274688180369</v>
      </c>
      <c r="AW154" s="3">
        <f t="shared" si="131"/>
        <v>2840</v>
      </c>
      <c r="AX154" s="3">
        <f t="shared" si="127"/>
        <v>209</v>
      </c>
      <c r="AY154" s="3">
        <f t="shared" si="128"/>
        <v>593560</v>
      </c>
      <c r="AZ154" s="13">
        <f t="shared" si="129"/>
        <v>0.11615406915147439</v>
      </c>
      <c r="BA154" s="3">
        <f t="shared" si="95"/>
        <v>68944.409285549133</v>
      </c>
      <c r="BB154" s="3">
        <f t="shared" si="96"/>
        <v>68884.845707764805</v>
      </c>
      <c r="BC154" s="3">
        <f t="shared" si="125"/>
        <v>68791.971204078422</v>
      </c>
      <c r="BD154" s="3">
        <f t="shared" si="126"/>
        <v>137837.82222222222</v>
      </c>
    </row>
    <row r="155" spans="3:56" x14ac:dyDescent="0.45">
      <c r="C155">
        <f t="shared" si="105"/>
        <v>143</v>
      </c>
      <c r="D155" s="2">
        <f t="shared" si="133"/>
        <v>703.03989847721334</v>
      </c>
      <c r="E155" s="2">
        <f t="shared" si="133"/>
        <v>4743.6474454495292</v>
      </c>
      <c r="F155" s="2">
        <f t="shared" si="133"/>
        <v>12696.410572208888</v>
      </c>
      <c r="G155" s="2">
        <f t="shared" si="133"/>
        <v>23334.224894049916</v>
      </c>
      <c r="H155" s="2">
        <f t="shared" si="133"/>
        <v>35361.007815235331</v>
      </c>
      <c r="I155" s="2">
        <f t="shared" si="133"/>
        <v>47965.575341690252</v>
      </c>
      <c r="J155" s="2">
        <f t="shared" si="133"/>
        <v>60734.409727207865</v>
      </c>
      <c r="K155" s="2">
        <f t="shared" si="133"/>
        <v>73479.837494909283</v>
      </c>
      <c r="L155" s="2">
        <f t="shared" si="133"/>
        <v>86126.401109811079</v>
      </c>
      <c r="M155" s="2">
        <f t="shared" si="133"/>
        <v>98650.88074417079</v>
      </c>
      <c r="N155" s="2">
        <f t="shared" si="133"/>
        <v>111053.09456977795</v>
      </c>
      <c r="O155" s="2">
        <f t="shared" si="133"/>
        <v>123342.17053160226</v>
      </c>
      <c r="P155" s="2">
        <f t="shared" si="106"/>
        <v>101981.97266199908</v>
      </c>
      <c r="R155">
        <f t="shared" si="107"/>
        <v>143</v>
      </c>
      <c r="S155" s="2">
        <f t="shared" si="132"/>
        <v>71500</v>
      </c>
      <c r="T155" s="2">
        <f t="shared" si="132"/>
        <v>143000</v>
      </c>
      <c r="U155" s="2">
        <f t="shared" si="132"/>
        <v>214500</v>
      </c>
      <c r="V155" s="2">
        <f t="shared" si="132"/>
        <v>286000</v>
      </c>
      <c r="W155" s="2">
        <f t="shared" si="132"/>
        <v>357500</v>
      </c>
      <c r="X155" s="2">
        <f t="shared" si="132"/>
        <v>429000</v>
      </c>
      <c r="Y155" s="2">
        <f t="shared" si="132"/>
        <v>500500</v>
      </c>
      <c r="Z155" s="2">
        <f t="shared" si="132"/>
        <v>572000</v>
      </c>
      <c r="AA155" s="2">
        <f t="shared" si="108"/>
        <v>643500</v>
      </c>
      <c r="AB155" s="2">
        <f t="shared" si="108"/>
        <v>715000</v>
      </c>
      <c r="AC155" s="2">
        <f t="shared" si="108"/>
        <v>786500</v>
      </c>
      <c r="AD155" s="2">
        <f t="shared" si="108"/>
        <v>858000</v>
      </c>
      <c r="AE155" s="2">
        <f t="shared" si="108"/>
        <v>643500</v>
      </c>
      <c r="AG155">
        <f t="shared" si="109"/>
        <v>143</v>
      </c>
      <c r="AH155" s="6">
        <f t="shared" si="110"/>
        <v>9.8327258528281593E-3</v>
      </c>
      <c r="AI155" s="6">
        <f t="shared" si="111"/>
        <v>3.3172359758388316E-2</v>
      </c>
      <c r="AJ155" s="6">
        <f t="shared" si="112"/>
        <v>5.9190725278363117E-2</v>
      </c>
      <c r="AK155" s="6">
        <f t="shared" si="113"/>
        <v>8.1588198930244465E-2</v>
      </c>
      <c r="AL155" s="6">
        <f t="shared" si="114"/>
        <v>9.8911909972686243E-2</v>
      </c>
      <c r="AM155" s="6">
        <f t="shared" si="115"/>
        <v>0.11180786792934791</v>
      </c>
      <c r="AN155" s="6">
        <f t="shared" si="116"/>
        <v>0.1213474719824333</v>
      </c>
      <c r="AO155" s="6">
        <f t="shared" si="117"/>
        <v>0.1284612543617295</v>
      </c>
      <c r="AP155" s="6">
        <f t="shared" si="118"/>
        <v>0.13384056116520759</v>
      </c>
      <c r="AQ155" s="6">
        <f t="shared" si="119"/>
        <v>0.13797325978205704</v>
      </c>
      <c r="AR155" s="6">
        <f t="shared" si="120"/>
        <v>0.14119910307664074</v>
      </c>
      <c r="AS155" s="6">
        <f t="shared" si="121"/>
        <v>0.14375544351002595</v>
      </c>
      <c r="AT155" s="6">
        <f t="shared" si="122"/>
        <v>0.15848014399689056</v>
      </c>
      <c r="AW155" s="3">
        <f t="shared" si="131"/>
        <v>2860</v>
      </c>
      <c r="AX155" s="3">
        <f t="shared" si="127"/>
        <v>210</v>
      </c>
      <c r="AY155" s="3">
        <f t="shared" si="128"/>
        <v>600600</v>
      </c>
      <c r="AZ155" s="13">
        <f t="shared" si="129"/>
        <v>0.11670982747576528</v>
      </c>
      <c r="BA155" s="3">
        <f t="shared" si="95"/>
        <v>70095.92238194462</v>
      </c>
      <c r="BB155" s="3">
        <f t="shared" si="96"/>
        <v>70113.999717094135</v>
      </c>
      <c r="BC155" s="3">
        <f t="shared" si="125"/>
        <v>70098.197459521805</v>
      </c>
      <c r="BD155" s="3">
        <f t="shared" si="126"/>
        <v>140140</v>
      </c>
    </row>
    <row r="156" spans="3:56" x14ac:dyDescent="0.45">
      <c r="C156">
        <f t="shared" si="105"/>
        <v>144</v>
      </c>
      <c r="D156" s="2">
        <f t="shared" si="133"/>
        <v>703.64258215373081</v>
      </c>
      <c r="E156" s="2">
        <f t="shared" si="133"/>
        <v>4757.3944765515562</v>
      </c>
      <c r="F156" s="2">
        <f t="shared" si="133"/>
        <v>12762.213170187486</v>
      </c>
      <c r="G156" s="2">
        <f t="shared" si="133"/>
        <v>23501.249975659721</v>
      </c>
      <c r="H156" s="2">
        <f t="shared" si="133"/>
        <v>35668.330597234744</v>
      </c>
      <c r="I156" s="2">
        <f t="shared" si="133"/>
        <v>48437.329724479867</v>
      </c>
      <c r="J156" s="2">
        <f t="shared" si="133"/>
        <v>61383.259359377465</v>
      </c>
      <c r="K156" s="2">
        <f t="shared" si="133"/>
        <v>74311.392423502242</v>
      </c>
      <c r="L156" s="2">
        <f t="shared" si="133"/>
        <v>87142.37021515466</v>
      </c>
      <c r="M156" s="2">
        <f t="shared" si="133"/>
        <v>99850.961749715978</v>
      </c>
      <c r="N156" s="2">
        <f t="shared" si="133"/>
        <v>112436.02652464829</v>
      </c>
      <c r="O156" s="2">
        <f t="shared" si="133"/>
        <v>124906.29755238938</v>
      </c>
      <c r="P156" s="2">
        <f t="shared" si="106"/>
        <v>103412.7227526123</v>
      </c>
      <c r="R156">
        <f t="shared" si="107"/>
        <v>144</v>
      </c>
      <c r="S156" s="2">
        <f t="shared" ref="S156:Z165" si="134">$R156*S$12</f>
        <v>72000</v>
      </c>
      <c r="T156" s="2">
        <f t="shared" si="134"/>
        <v>144000</v>
      </c>
      <c r="U156" s="2">
        <f t="shared" si="134"/>
        <v>216000</v>
      </c>
      <c r="V156" s="2">
        <f t="shared" si="134"/>
        <v>288000</v>
      </c>
      <c r="W156" s="2">
        <f t="shared" si="134"/>
        <v>360000</v>
      </c>
      <c r="X156" s="2">
        <f t="shared" si="134"/>
        <v>432000</v>
      </c>
      <c r="Y156" s="2">
        <f t="shared" si="134"/>
        <v>504000</v>
      </c>
      <c r="Z156" s="2">
        <f t="shared" si="134"/>
        <v>576000</v>
      </c>
      <c r="AA156" s="2">
        <f t="shared" si="108"/>
        <v>648000</v>
      </c>
      <c r="AB156" s="2">
        <f t="shared" si="108"/>
        <v>720000</v>
      </c>
      <c r="AC156" s="2">
        <f t="shared" si="108"/>
        <v>792000</v>
      </c>
      <c r="AD156" s="2">
        <f t="shared" si="108"/>
        <v>864000</v>
      </c>
      <c r="AE156" s="2">
        <f t="shared" si="108"/>
        <v>648000</v>
      </c>
      <c r="AG156">
        <f t="shared" si="109"/>
        <v>144</v>
      </c>
      <c r="AH156" s="6">
        <f t="shared" si="110"/>
        <v>9.7728136410240394E-3</v>
      </c>
      <c r="AI156" s="6">
        <f t="shared" si="111"/>
        <v>3.3037461642719139E-2</v>
      </c>
      <c r="AJ156" s="6">
        <f t="shared" si="112"/>
        <v>5.9084320232349469E-2</v>
      </c>
      <c r="AK156" s="6">
        <f t="shared" si="113"/>
        <v>8.1601562415485135E-2</v>
      </c>
      <c r="AL156" s="6">
        <f t="shared" si="114"/>
        <v>9.9078696103429842E-2</v>
      </c>
      <c r="AM156" s="6">
        <f t="shared" si="115"/>
        <v>0.11212344843629599</v>
      </c>
      <c r="AN156" s="6">
        <f t="shared" si="116"/>
        <v>0.12179218126860608</v>
      </c>
      <c r="AO156" s="6">
        <f t="shared" si="117"/>
        <v>0.12901283406858027</v>
      </c>
      <c r="AP156" s="6">
        <f t="shared" si="118"/>
        <v>0.13447896638141152</v>
      </c>
      <c r="AQ156" s="6">
        <f t="shared" si="119"/>
        <v>0.13868189131904998</v>
      </c>
      <c r="AR156" s="6">
        <f t="shared" si="120"/>
        <v>0.14196467995536399</v>
      </c>
      <c r="AS156" s="6">
        <f t="shared" si="121"/>
        <v>0.14456747401896919</v>
      </c>
      <c r="AT156" s="6">
        <f t="shared" si="122"/>
        <v>0.15958753511205603</v>
      </c>
      <c r="AW156" s="3">
        <f t="shared" si="131"/>
        <v>2880</v>
      </c>
      <c r="AX156" s="3">
        <f t="shared" si="127"/>
        <v>211</v>
      </c>
      <c r="AY156" s="3">
        <f t="shared" si="128"/>
        <v>607680</v>
      </c>
      <c r="AZ156" s="13">
        <f t="shared" si="129"/>
        <v>0.11726558580005617</v>
      </c>
      <c r="BA156" s="3">
        <f t="shared" si="95"/>
        <v>71259.951178978125</v>
      </c>
      <c r="BB156" s="3">
        <f t="shared" si="96"/>
        <v>71357.424278660474</v>
      </c>
      <c r="BC156" s="3">
        <f t="shared" si="125"/>
        <v>71420.266153811535</v>
      </c>
      <c r="BD156" s="3">
        <f t="shared" si="126"/>
        <v>142467.20000000001</v>
      </c>
    </row>
    <row r="157" spans="3:56" x14ac:dyDescent="0.45">
      <c r="C157">
        <f t="shared" si="105"/>
        <v>145</v>
      </c>
      <c r="D157" s="2">
        <f t="shared" si="133"/>
        <v>704.2338419700543</v>
      </c>
      <c r="E157" s="2">
        <f t="shared" si="133"/>
        <v>4770.9355182173958</v>
      </c>
      <c r="F157" s="2">
        <f t="shared" si="133"/>
        <v>12827.323537869603</v>
      </c>
      <c r="G157" s="2">
        <f t="shared" si="133"/>
        <v>23667.165328294755</v>
      </c>
      <c r="H157" s="2">
        <f t="shared" si="133"/>
        <v>35974.539192969154</v>
      </c>
      <c r="I157" s="2">
        <f t="shared" si="133"/>
        <v>48908.439491483208</v>
      </c>
      <c r="J157" s="2">
        <f t="shared" si="133"/>
        <v>62032.310959615657</v>
      </c>
      <c r="K157" s="2">
        <f t="shared" si="133"/>
        <v>75144.249582284014</v>
      </c>
      <c r="L157" s="2">
        <f t="shared" si="133"/>
        <v>88160.896439897624</v>
      </c>
      <c r="M157" s="2">
        <f t="shared" si="133"/>
        <v>101054.94145481041</v>
      </c>
      <c r="N157" s="2">
        <f t="shared" si="133"/>
        <v>113824.24215768135</v>
      </c>
      <c r="O157" s="2">
        <f t="shared" si="133"/>
        <v>126477.11017487118</v>
      </c>
      <c r="P157" s="2">
        <f t="shared" si="106"/>
        <v>104853.43547552118</v>
      </c>
      <c r="R157">
        <f t="shared" si="107"/>
        <v>145</v>
      </c>
      <c r="S157" s="2">
        <f t="shared" si="134"/>
        <v>72500</v>
      </c>
      <c r="T157" s="2">
        <f t="shared" si="134"/>
        <v>145000</v>
      </c>
      <c r="U157" s="2">
        <f t="shared" si="134"/>
        <v>217500</v>
      </c>
      <c r="V157" s="2">
        <f t="shared" si="134"/>
        <v>290000</v>
      </c>
      <c r="W157" s="2">
        <f t="shared" si="134"/>
        <v>362500</v>
      </c>
      <c r="X157" s="2">
        <f t="shared" si="134"/>
        <v>435000</v>
      </c>
      <c r="Y157" s="2">
        <f t="shared" si="134"/>
        <v>507500</v>
      </c>
      <c r="Z157" s="2">
        <f t="shared" si="134"/>
        <v>580000</v>
      </c>
      <c r="AA157" s="2">
        <f t="shared" si="108"/>
        <v>652500</v>
      </c>
      <c r="AB157" s="2">
        <f t="shared" si="108"/>
        <v>725000</v>
      </c>
      <c r="AC157" s="2">
        <f t="shared" si="108"/>
        <v>797500</v>
      </c>
      <c r="AD157" s="2">
        <f t="shared" si="108"/>
        <v>870000</v>
      </c>
      <c r="AE157" s="2">
        <f t="shared" si="108"/>
        <v>652500</v>
      </c>
      <c r="AG157">
        <f t="shared" si="109"/>
        <v>145</v>
      </c>
      <c r="AH157" s="6">
        <f t="shared" si="110"/>
        <v>9.7135702340697145E-3</v>
      </c>
      <c r="AI157" s="6">
        <f t="shared" si="111"/>
        <v>3.2903003573913077E-2</v>
      </c>
      <c r="AJ157" s="6">
        <f t="shared" si="112"/>
        <v>5.8976200174113112E-2</v>
      </c>
      <c r="AK157" s="6">
        <f t="shared" si="113"/>
        <v>8.1610914925154335E-2</v>
      </c>
      <c r="AL157" s="6">
        <f t="shared" si="114"/>
        <v>9.9240108118535592E-2</v>
      </c>
      <c r="AM157" s="6">
        <f t="shared" si="115"/>
        <v>0.11243319423329473</v>
      </c>
      <c r="AN157" s="6">
        <f t="shared" si="116"/>
        <v>0.12223115460022789</v>
      </c>
      <c r="AO157" s="6">
        <f t="shared" si="117"/>
        <v>0.12955905100393794</v>
      </c>
      <c r="AP157" s="6">
        <f t="shared" si="118"/>
        <v>0.13511248496536035</v>
      </c>
      <c r="AQ157" s="6">
        <f t="shared" si="119"/>
        <v>0.13938612614456608</v>
      </c>
      <c r="AR157" s="6">
        <f t="shared" si="120"/>
        <v>0.14272632245477285</v>
      </c>
      <c r="AS157" s="6">
        <f t="shared" si="121"/>
        <v>0.14537598870674848</v>
      </c>
      <c r="AT157" s="6">
        <f t="shared" si="122"/>
        <v>0.16069492026899798</v>
      </c>
      <c r="AW157" s="3">
        <f t="shared" si="131"/>
        <v>2900</v>
      </c>
      <c r="AX157" s="3">
        <f t="shared" si="127"/>
        <v>213</v>
      </c>
      <c r="AY157" s="3">
        <f t="shared" si="128"/>
        <v>617700</v>
      </c>
      <c r="AZ157" s="13">
        <f t="shared" si="129"/>
        <v>0.11837710244863794</v>
      </c>
      <c r="BA157" s="3">
        <f t="shared" si="95"/>
        <v>73121.536182523661</v>
      </c>
      <c r="BB157" s="3">
        <f t="shared" si="96"/>
        <v>73129.592389481899</v>
      </c>
      <c r="BC157" s="3">
        <f t="shared" si="125"/>
        <v>73102.313482035388</v>
      </c>
      <c r="BD157" s="3">
        <f t="shared" si="126"/>
        <v>146189</v>
      </c>
    </row>
    <row r="158" spans="3:56" x14ac:dyDescent="0.45">
      <c r="C158">
        <f t="shared" si="105"/>
        <v>146</v>
      </c>
      <c r="D158" s="2">
        <f t="shared" si="133"/>
        <v>704.81395840011885</v>
      </c>
      <c r="E158" s="2">
        <f t="shared" si="133"/>
        <v>4784.2742147758254</v>
      </c>
      <c r="F158" s="2">
        <f t="shared" si="133"/>
        <v>12891.74793715084</v>
      </c>
      <c r="G158" s="2">
        <f t="shared" si="133"/>
        <v>23831.970174386061</v>
      </c>
      <c r="H158" s="2">
        <f t="shared" si="133"/>
        <v>36279.617772936843</v>
      </c>
      <c r="I158" s="2">
        <f t="shared" si="133"/>
        <v>49378.872189432564</v>
      </c>
      <c r="J158" s="2">
        <f t="shared" si="133"/>
        <v>62681.517974867034</v>
      </c>
      <c r="K158" s="2">
        <f t="shared" si="133"/>
        <v>75978.352062361213</v>
      </c>
      <c r="L158" s="2">
        <f t="shared" si="133"/>
        <v>89181.916006158091</v>
      </c>
      <c r="M158" s="2">
        <f t="shared" si="133"/>
        <v>102262.75197661493</v>
      </c>
      <c r="N158" s="2">
        <f t="shared" si="133"/>
        <v>115217.67150946159</v>
      </c>
      <c r="O158" s="2">
        <f t="shared" si="133"/>
        <v>128054.53778786442</v>
      </c>
      <c r="P158" s="2">
        <f t="shared" si="106"/>
        <v>106304.1107773085</v>
      </c>
      <c r="R158">
        <f t="shared" si="107"/>
        <v>146</v>
      </c>
      <c r="S158" s="2">
        <f t="shared" si="134"/>
        <v>73000</v>
      </c>
      <c r="T158" s="2">
        <f t="shared" si="134"/>
        <v>146000</v>
      </c>
      <c r="U158" s="2">
        <f t="shared" si="134"/>
        <v>219000</v>
      </c>
      <c r="V158" s="2">
        <f t="shared" si="134"/>
        <v>292000</v>
      </c>
      <c r="W158" s="2">
        <f t="shared" si="134"/>
        <v>365000</v>
      </c>
      <c r="X158" s="2">
        <f t="shared" si="134"/>
        <v>438000</v>
      </c>
      <c r="Y158" s="2">
        <f t="shared" si="134"/>
        <v>511000</v>
      </c>
      <c r="Z158" s="2">
        <f t="shared" si="134"/>
        <v>584000</v>
      </c>
      <c r="AA158" s="2">
        <f t="shared" si="108"/>
        <v>657000</v>
      </c>
      <c r="AB158" s="2">
        <f t="shared" si="108"/>
        <v>730000</v>
      </c>
      <c r="AC158" s="2">
        <f t="shared" si="108"/>
        <v>803000</v>
      </c>
      <c r="AD158" s="2">
        <f t="shared" si="108"/>
        <v>876000</v>
      </c>
      <c r="AE158" s="2">
        <f t="shared" si="108"/>
        <v>657000</v>
      </c>
      <c r="AG158">
        <f t="shared" si="109"/>
        <v>146</v>
      </c>
      <c r="AH158" s="6">
        <f t="shared" si="110"/>
        <v>9.6549857315084767E-3</v>
      </c>
      <c r="AI158" s="6">
        <f t="shared" si="111"/>
        <v>3.2769001471067295E-2</v>
      </c>
      <c r="AJ158" s="6">
        <f t="shared" si="112"/>
        <v>5.8866428936761826E-2</v>
      </c>
      <c r="AK158" s="6">
        <f t="shared" si="113"/>
        <v>8.1616336213650886E-2</v>
      </c>
      <c r="AL158" s="6">
        <f t="shared" si="114"/>
        <v>9.93962130765393E-2</v>
      </c>
      <c r="AM158" s="6">
        <f t="shared" si="115"/>
        <v>0.11273715111742595</v>
      </c>
      <c r="AN158" s="6">
        <f t="shared" si="116"/>
        <v>0.12266441873750887</v>
      </c>
      <c r="AO158" s="6">
        <f t="shared" si="117"/>
        <v>0.13009991791500208</v>
      </c>
      <c r="AP158" s="6">
        <f t="shared" si="118"/>
        <v>0.13574112025290425</v>
      </c>
      <c r="AQ158" s="6">
        <f t="shared" si="119"/>
        <v>0.14008596161180129</v>
      </c>
      <c r="AR158" s="6">
        <f t="shared" si="120"/>
        <v>0.14348402429571805</v>
      </c>
      <c r="AS158" s="6">
        <f t="shared" si="121"/>
        <v>0.1461809792098909</v>
      </c>
      <c r="AT158" s="6">
        <f t="shared" si="122"/>
        <v>0.16180229950884092</v>
      </c>
      <c r="AW158" s="3">
        <f t="shared" si="131"/>
        <v>2920</v>
      </c>
      <c r="AX158" s="3">
        <f t="shared" si="127"/>
        <v>214</v>
      </c>
      <c r="AY158" s="3">
        <f t="shared" si="128"/>
        <v>624880</v>
      </c>
      <c r="AZ158" s="13">
        <f t="shared" si="129"/>
        <v>0.11893286077292883</v>
      </c>
      <c r="BA158" s="3">
        <f t="shared" si="95"/>
        <v>74318.766039787763</v>
      </c>
      <c r="BB158" s="3">
        <f t="shared" si="96"/>
        <v>74408.352356021118</v>
      </c>
      <c r="BC158" s="3">
        <f t="shared" si="125"/>
        <v>74461.855861029529</v>
      </c>
      <c r="BD158" s="3">
        <f t="shared" si="126"/>
        <v>148582.57777777777</v>
      </c>
    </row>
    <row r="159" spans="3:56" x14ac:dyDescent="0.45">
      <c r="C159">
        <f t="shared" si="105"/>
        <v>147</v>
      </c>
      <c r="D159" s="2">
        <f t="shared" si="133"/>
        <v>705.38320357089708</v>
      </c>
      <c r="E159" s="2">
        <f t="shared" si="133"/>
        <v>4797.4141439274699</v>
      </c>
      <c r="F159" s="2">
        <f t="shared" si="133"/>
        <v>12955.492658603382</v>
      </c>
      <c r="G159" s="2">
        <f t="shared" si="133"/>
        <v>23995.664065777273</v>
      </c>
      <c r="H159" s="2">
        <f t="shared" si="133"/>
        <v>36583.551084553044</v>
      </c>
      <c r="I159" s="2">
        <f t="shared" si="133"/>
        <v>49848.596017330703</v>
      </c>
      <c r="J159" s="2">
        <f t="shared" si="133"/>
        <v>63330.834446512432</v>
      </c>
      <c r="K159" s="2">
        <f t="shared" si="133"/>
        <v>76813.643427969771</v>
      </c>
      <c r="L159" s="2">
        <f t="shared" si="133"/>
        <v>90205.36547273102</v>
      </c>
      <c r="M159" s="2">
        <f t="shared" si="133"/>
        <v>103474.32564170532</v>
      </c>
      <c r="N159" s="2">
        <f t="shared" si="133"/>
        <v>116616.24472114201</v>
      </c>
      <c r="O159" s="2">
        <f t="shared" si="133"/>
        <v>129638.50979190227</v>
      </c>
      <c r="P159" s="2">
        <f t="shared" si="106"/>
        <v>107764.7486049234</v>
      </c>
      <c r="R159">
        <f t="shared" si="107"/>
        <v>147</v>
      </c>
      <c r="S159" s="2">
        <f t="shared" si="134"/>
        <v>73500</v>
      </c>
      <c r="T159" s="2">
        <f t="shared" si="134"/>
        <v>147000</v>
      </c>
      <c r="U159" s="2">
        <f t="shared" si="134"/>
        <v>220500</v>
      </c>
      <c r="V159" s="2">
        <f t="shared" si="134"/>
        <v>294000</v>
      </c>
      <c r="W159" s="2">
        <f t="shared" si="134"/>
        <v>367500</v>
      </c>
      <c r="X159" s="2">
        <f t="shared" si="134"/>
        <v>441000</v>
      </c>
      <c r="Y159" s="2">
        <f t="shared" si="134"/>
        <v>514500</v>
      </c>
      <c r="Z159" s="2">
        <f t="shared" si="134"/>
        <v>588000</v>
      </c>
      <c r="AA159" s="2">
        <f t="shared" si="108"/>
        <v>661500</v>
      </c>
      <c r="AB159" s="2">
        <f t="shared" si="108"/>
        <v>735000</v>
      </c>
      <c r="AC159" s="2">
        <f t="shared" si="108"/>
        <v>808500</v>
      </c>
      <c r="AD159" s="2">
        <f t="shared" si="108"/>
        <v>882000</v>
      </c>
      <c r="AE159" s="2">
        <f t="shared" si="108"/>
        <v>661500</v>
      </c>
      <c r="AG159">
        <f t="shared" si="109"/>
        <v>147</v>
      </c>
      <c r="AH159" s="6">
        <f t="shared" si="110"/>
        <v>9.5970503887196877E-3</v>
      </c>
      <c r="AI159" s="6">
        <f t="shared" si="111"/>
        <v>3.2635470366853533E-2</v>
      </c>
      <c r="AJ159" s="6">
        <f t="shared" si="112"/>
        <v>5.8755068746500598E-2</v>
      </c>
      <c r="AK159" s="6">
        <f t="shared" si="113"/>
        <v>8.161790498563698E-2</v>
      </c>
      <c r="AL159" s="6">
        <f t="shared" si="114"/>
        <v>9.9547077781096713E-2</v>
      </c>
      <c r="AM159" s="6">
        <f t="shared" si="115"/>
        <v>0.11303536511866373</v>
      </c>
      <c r="AN159" s="6">
        <f t="shared" si="116"/>
        <v>0.12309200086785702</v>
      </c>
      <c r="AO159" s="6">
        <f t="shared" si="117"/>
        <v>0.13063544800675131</v>
      </c>
      <c r="AP159" s="6">
        <f t="shared" si="118"/>
        <v>0.13636487599808167</v>
      </c>
      <c r="AQ159" s="6">
        <f t="shared" si="119"/>
        <v>0.1407813954308916</v>
      </c>
      <c r="AR159" s="6">
        <f t="shared" si="120"/>
        <v>0.14423777949430056</v>
      </c>
      <c r="AS159" s="6">
        <f t="shared" si="121"/>
        <v>0.14698243740578487</v>
      </c>
      <c r="AT159" s="6">
        <f t="shared" si="122"/>
        <v>0.16290967287214422</v>
      </c>
      <c r="AW159" s="3">
        <f t="shared" si="131"/>
        <v>2940</v>
      </c>
      <c r="AX159" s="3">
        <f t="shared" si="127"/>
        <v>216</v>
      </c>
      <c r="AY159" s="3">
        <f t="shared" si="128"/>
        <v>635040</v>
      </c>
      <c r="AZ159" s="13">
        <f t="shared" si="129"/>
        <v>0.12004437742151063</v>
      </c>
      <c r="BA159" s="3">
        <f t="shared" si="95"/>
        <v>76232.981437756112</v>
      </c>
      <c r="BB159" s="3">
        <f t="shared" si="96"/>
        <v>76230.430623470776</v>
      </c>
      <c r="BC159" s="3">
        <f t="shared" si="125"/>
        <v>76191.044881776834</v>
      </c>
      <c r="BD159" s="3">
        <f t="shared" si="126"/>
        <v>152409.60000000001</v>
      </c>
    </row>
    <row r="160" spans="3:56" x14ac:dyDescent="0.45">
      <c r="C160">
        <f t="shared" si="105"/>
        <v>148</v>
      </c>
      <c r="D160" s="2">
        <f t="shared" si="133"/>
        <v>705.94184155063488</v>
      </c>
      <c r="E160" s="2">
        <f t="shared" si="133"/>
        <v>4810.3588176748444</v>
      </c>
      <c r="F160" s="2">
        <f t="shared" si="133"/>
        <v>13018.564016554914</v>
      </c>
      <c r="G160" s="2">
        <f t="shared" si="133"/>
        <v>24158.246872909229</v>
      </c>
      <c r="H160" s="2">
        <f t="shared" si="133"/>
        <v>36886.324442543897</v>
      </c>
      <c r="I160" s="2">
        <f t="shared" si="133"/>
        <v>50317.579822008578</v>
      </c>
      <c r="J160" s="2">
        <f t="shared" si="133"/>
        <v>63980.215010985528</v>
      </c>
      <c r="K160" s="2">
        <f t="shared" si="133"/>
        <v>77650.067720543171</v>
      </c>
      <c r="L160" s="2">
        <f t="shared" si="133"/>
        <v>91231.181741026725</v>
      </c>
      <c r="M160" s="2">
        <f t="shared" si="133"/>
        <v>104689.5949927609</v>
      </c>
      <c r="N160" s="2">
        <f t="shared" si="133"/>
        <v>118019.89204120089</v>
      </c>
      <c r="O160" s="2">
        <f t="shared" si="133"/>
        <v>131228.95560568792</v>
      </c>
      <c r="P160" s="2">
        <f t="shared" si="106"/>
        <v>109235.34890567831</v>
      </c>
      <c r="R160">
        <f t="shared" si="107"/>
        <v>148</v>
      </c>
      <c r="S160" s="2">
        <f t="shared" si="134"/>
        <v>74000</v>
      </c>
      <c r="T160" s="2">
        <f t="shared" si="134"/>
        <v>148000</v>
      </c>
      <c r="U160" s="2">
        <f t="shared" si="134"/>
        <v>222000</v>
      </c>
      <c r="V160" s="2">
        <f t="shared" si="134"/>
        <v>296000</v>
      </c>
      <c r="W160" s="2">
        <f t="shared" si="134"/>
        <v>370000</v>
      </c>
      <c r="X160" s="2">
        <f t="shared" si="134"/>
        <v>444000</v>
      </c>
      <c r="Y160" s="2">
        <f t="shared" si="134"/>
        <v>518000</v>
      </c>
      <c r="Z160" s="2">
        <f t="shared" si="134"/>
        <v>592000</v>
      </c>
      <c r="AA160" s="2">
        <f t="shared" si="108"/>
        <v>666000</v>
      </c>
      <c r="AB160" s="2">
        <f t="shared" si="108"/>
        <v>740000</v>
      </c>
      <c r="AC160" s="2">
        <f t="shared" si="108"/>
        <v>814000</v>
      </c>
      <c r="AD160" s="2">
        <f t="shared" si="108"/>
        <v>888000</v>
      </c>
      <c r="AE160" s="2">
        <f t="shared" si="108"/>
        <v>666000</v>
      </c>
      <c r="AG160">
        <f t="shared" si="109"/>
        <v>148</v>
      </c>
      <c r="AH160" s="6">
        <f t="shared" si="110"/>
        <v>9.5397546155491196E-3</v>
      </c>
      <c r="AI160" s="6">
        <f t="shared" si="111"/>
        <v>3.2502424443748949E-2</v>
      </c>
      <c r="AJ160" s="6">
        <f t="shared" si="112"/>
        <v>5.8642180254751868E-2</v>
      </c>
      <c r="AK160" s="6">
        <f t="shared" si="113"/>
        <v>8.1615698894963618E-2</v>
      </c>
      <c r="AL160" s="6">
        <f t="shared" si="114"/>
        <v>9.9692768763632159E-2</v>
      </c>
      <c r="AM160" s="6">
        <f t="shared" si="115"/>
        <v>0.1133278824820013</v>
      </c>
      <c r="AN160" s="6">
        <f t="shared" si="116"/>
        <v>0.12351392859263616</v>
      </c>
      <c r="AO160" s="6">
        <f t="shared" si="117"/>
        <v>0.13116565493334995</v>
      </c>
      <c r="AP160" s="6">
        <f t="shared" si="118"/>
        <v>0.13698375636790799</v>
      </c>
      <c r="AQ160" s="6">
        <f t="shared" si="119"/>
        <v>0.1414724256658931</v>
      </c>
      <c r="AR160" s="6">
        <f t="shared" si="120"/>
        <v>0.14498758236019765</v>
      </c>
      <c r="AS160" s="6">
        <f t="shared" si="121"/>
        <v>0.14778035541181073</v>
      </c>
      <c r="AT160" s="6">
        <f t="shared" si="122"/>
        <v>0.16401704039891637</v>
      </c>
      <c r="AW160" s="3">
        <f t="shared" si="131"/>
        <v>2960</v>
      </c>
      <c r="AX160" s="3">
        <f t="shared" si="127"/>
        <v>217</v>
      </c>
      <c r="AY160" s="3">
        <f t="shared" si="128"/>
        <v>642320</v>
      </c>
      <c r="AZ160" s="13">
        <f t="shared" si="129"/>
        <v>0.12060013574580151</v>
      </c>
      <c r="BA160" s="3">
        <f t="shared" ref="BA160:BA223" si="135">AZ160*AY160</f>
        <v>77463.879192243228</v>
      </c>
      <c r="BB160" s="3">
        <f t="shared" ref="BB160:BB223" si="136">0.00015063529793*AY160^1.5</f>
        <v>77545.021033150042</v>
      </c>
      <c r="BC160" s="3">
        <f t="shared" si="125"/>
        <v>77588.584545474427</v>
      </c>
      <c r="BD160" s="3">
        <f t="shared" si="126"/>
        <v>154870.48888888888</v>
      </c>
    </row>
    <row r="161" spans="3:56" x14ac:dyDescent="0.45">
      <c r="C161">
        <f t="shared" si="105"/>
        <v>149</v>
      </c>
      <c r="D161" s="2">
        <f t="shared" si="133"/>
        <v>706.49012862590712</v>
      </c>
      <c r="E161" s="2">
        <f t="shared" si="133"/>
        <v>4823.1116832647695</v>
      </c>
      <c r="F161" s="2">
        <f t="shared" si="133"/>
        <v>13080.968344397854</v>
      </c>
      <c r="G161" s="2">
        <f t="shared" si="133"/>
        <v>24319.718774219011</v>
      </c>
      <c r="H161" s="2">
        <f t="shared" si="133"/>
        <v>37187.923719337028</v>
      </c>
      <c r="I161" s="2">
        <f t="shared" si="133"/>
        <v>50785.793093518318</v>
      </c>
      <c r="J161" s="2">
        <f t="shared" si="133"/>
        <v>64629.614900175184</v>
      </c>
      <c r="K161" s="2">
        <f t="shared" si="133"/>
        <v>78487.56946258276</v>
      </c>
      <c r="L161" s="2">
        <f t="shared" si="133"/>
        <v>92259.302060852264</v>
      </c>
      <c r="M161" s="2">
        <f t="shared" si="133"/>
        <v>105908.49279513738</v>
      </c>
      <c r="N161" s="2">
        <f t="shared" si="133"/>
        <v>119428.54383211736</v>
      </c>
      <c r="O161" s="2">
        <f t="shared" si="133"/>
        <v>132825.8046724931</v>
      </c>
      <c r="P161" s="2">
        <f t="shared" si="106"/>
        <v>110715.91162724244</v>
      </c>
      <c r="R161">
        <f t="shared" si="107"/>
        <v>149</v>
      </c>
      <c r="S161" s="2">
        <f t="shared" si="134"/>
        <v>74500</v>
      </c>
      <c r="T161" s="2">
        <f t="shared" si="134"/>
        <v>149000</v>
      </c>
      <c r="U161" s="2">
        <f t="shared" si="134"/>
        <v>223500</v>
      </c>
      <c r="V161" s="2">
        <f t="shared" si="134"/>
        <v>298000</v>
      </c>
      <c r="W161" s="2">
        <f t="shared" si="134"/>
        <v>372500</v>
      </c>
      <c r="X161" s="2">
        <f t="shared" si="134"/>
        <v>447000</v>
      </c>
      <c r="Y161" s="2">
        <f t="shared" si="134"/>
        <v>521500</v>
      </c>
      <c r="Z161" s="2">
        <f t="shared" si="134"/>
        <v>596000</v>
      </c>
      <c r="AA161" s="2">
        <f t="shared" si="108"/>
        <v>670500</v>
      </c>
      <c r="AB161" s="2">
        <f t="shared" si="108"/>
        <v>745000</v>
      </c>
      <c r="AC161" s="2">
        <f t="shared" si="108"/>
        <v>819500</v>
      </c>
      <c r="AD161" s="2">
        <f t="shared" si="108"/>
        <v>894000</v>
      </c>
      <c r="AE161" s="2">
        <f t="shared" si="108"/>
        <v>670500</v>
      </c>
      <c r="AG161">
        <f t="shared" si="109"/>
        <v>149</v>
      </c>
      <c r="AH161" s="6">
        <f t="shared" si="110"/>
        <v>9.4830889748443916E-3</v>
      </c>
      <c r="AI161" s="6">
        <f t="shared" si="111"/>
        <v>3.2369877068891072E-2</v>
      </c>
      <c r="AJ161" s="6">
        <f t="shared" si="112"/>
        <v>5.8527822570012766E-2</v>
      </c>
      <c r="AK161" s="6">
        <f t="shared" si="113"/>
        <v>8.1609794544359099E-2</v>
      </c>
      <c r="AL161" s="6">
        <f t="shared" si="114"/>
        <v>9.9833352266676584E-2</v>
      </c>
      <c r="AM161" s="6">
        <f t="shared" si="115"/>
        <v>0.11361474964992913</v>
      </c>
      <c r="AN161" s="6">
        <f t="shared" si="116"/>
        <v>0.12393022991404637</v>
      </c>
      <c r="AO161" s="6">
        <f t="shared" si="117"/>
        <v>0.1316905527895684</v>
      </c>
      <c r="AP161" s="6">
        <f t="shared" si="118"/>
        <v>0.13759776593713985</v>
      </c>
      <c r="AQ161" s="6">
        <f t="shared" si="119"/>
        <v>0.14215905073172802</v>
      </c>
      <c r="AR161" s="6">
        <f t="shared" si="120"/>
        <v>0.14573342749495713</v>
      </c>
      <c r="AS161" s="6">
        <f t="shared" si="121"/>
        <v>0.14857472558444418</v>
      </c>
      <c r="AT161" s="6">
        <f t="shared" si="122"/>
        <v>0.16512440212862409</v>
      </c>
      <c r="AW161" s="3">
        <f t="shared" si="131"/>
        <v>2980</v>
      </c>
      <c r="AX161" s="3">
        <f t="shared" si="127"/>
        <v>219</v>
      </c>
      <c r="AY161" s="3">
        <f t="shared" si="128"/>
        <v>652620</v>
      </c>
      <c r="AZ161" s="13">
        <f t="shared" si="129"/>
        <v>0.12171165239438329</v>
      </c>
      <c r="BA161" s="3">
        <f t="shared" si="135"/>
        <v>79431.458585622429</v>
      </c>
      <c r="BB161" s="3">
        <f t="shared" si="136"/>
        <v>79417.702510504576</v>
      </c>
      <c r="BC161" s="3">
        <f t="shared" si="125"/>
        <v>79365.566702543263</v>
      </c>
      <c r="BD161" s="3">
        <f t="shared" si="126"/>
        <v>158804.20000000001</v>
      </c>
    </row>
    <row r="162" spans="3:56" x14ac:dyDescent="0.45">
      <c r="C162">
        <f t="shared" si="105"/>
        <v>150</v>
      </c>
      <c r="D162" s="2">
        <f t="shared" si="133"/>
        <v>707.02831356797014</v>
      </c>
      <c r="E162" s="2">
        <f t="shared" si="133"/>
        <v>4835.676124140834</v>
      </c>
      <c r="F162" s="2">
        <f t="shared" si="133"/>
        <v>13142.711990120948</v>
      </c>
      <c r="G162" s="2">
        <f t="shared" si="133"/>
        <v>24480.080245753594</v>
      </c>
      <c r="H162" s="2">
        <f t="shared" si="133"/>
        <v>37488.335335456046</v>
      </c>
      <c r="I162" s="2">
        <f t="shared" si="133"/>
        <v>51253.205960369087</v>
      </c>
      <c r="J162" s="2">
        <f t="shared" si="133"/>
        <v>65278.989941617983</v>
      </c>
      <c r="K162" s="2">
        <f t="shared" si="133"/>
        <v>79326.093661332969</v>
      </c>
      <c r="L162" s="2">
        <f t="shared" si="133"/>
        <v>93289.664036035916</v>
      </c>
      <c r="M162" s="2">
        <f t="shared" si="133"/>
        <v>107130.95204332344</v>
      </c>
      <c r="N162" s="2">
        <f t="shared" si="133"/>
        <v>120842.13057696501</v>
      </c>
      <c r="O162" s="2">
        <f t="shared" si="133"/>
        <v>134428.98646650164</v>
      </c>
      <c r="P162" s="2">
        <f t="shared" si="106"/>
        <v>112206.43671763786</v>
      </c>
      <c r="R162">
        <f t="shared" si="107"/>
        <v>150</v>
      </c>
      <c r="S162" s="2">
        <f t="shared" si="134"/>
        <v>75000</v>
      </c>
      <c r="T162" s="2">
        <f t="shared" si="134"/>
        <v>150000</v>
      </c>
      <c r="U162" s="2">
        <f t="shared" si="134"/>
        <v>225000</v>
      </c>
      <c r="V162" s="2">
        <f t="shared" si="134"/>
        <v>300000</v>
      </c>
      <c r="W162" s="2">
        <f t="shared" si="134"/>
        <v>375000</v>
      </c>
      <c r="X162" s="2">
        <f t="shared" si="134"/>
        <v>450000</v>
      </c>
      <c r="Y162" s="2">
        <f t="shared" si="134"/>
        <v>525000</v>
      </c>
      <c r="Z162" s="2">
        <f t="shared" si="134"/>
        <v>600000</v>
      </c>
      <c r="AA162" s="2">
        <f t="shared" si="108"/>
        <v>675000</v>
      </c>
      <c r="AB162" s="2">
        <f t="shared" si="108"/>
        <v>750000</v>
      </c>
      <c r="AC162" s="2">
        <f t="shared" si="108"/>
        <v>825000</v>
      </c>
      <c r="AD162" s="2">
        <f t="shared" si="108"/>
        <v>900000</v>
      </c>
      <c r="AE162" s="2">
        <f t="shared" si="108"/>
        <v>675000</v>
      </c>
      <c r="AG162">
        <f t="shared" si="109"/>
        <v>150</v>
      </c>
      <c r="AH162" s="6">
        <f t="shared" si="110"/>
        <v>9.4270441809062681E-3</v>
      </c>
      <c r="AI162" s="6">
        <f t="shared" si="111"/>
        <v>3.2237840827605557E-2</v>
      </c>
      <c r="AJ162" s="6">
        <f t="shared" si="112"/>
        <v>5.8412053289426433E-2</v>
      </c>
      <c r="AK162" s="6">
        <f t="shared" si="113"/>
        <v>8.1600267485845313E-2</v>
      </c>
      <c r="AL162" s="6">
        <f t="shared" si="114"/>
        <v>9.9968894227882785E-2</v>
      </c>
      <c r="AM162" s="6">
        <f t="shared" si="115"/>
        <v>0.11389601324526463</v>
      </c>
      <c r="AN162" s="6">
        <f t="shared" si="116"/>
        <v>0.1243409332221295</v>
      </c>
      <c r="AO162" s="6">
        <f t="shared" si="117"/>
        <v>0.13221015610222162</v>
      </c>
      <c r="AP162" s="6">
        <f t="shared" si="118"/>
        <v>0.13820690968301616</v>
      </c>
      <c r="AQ162" s="6">
        <f t="shared" si="119"/>
        <v>0.14284126939109792</v>
      </c>
      <c r="AR162" s="6">
        <f t="shared" si="120"/>
        <v>0.1464753097902606</v>
      </c>
      <c r="AS162" s="6">
        <f t="shared" si="121"/>
        <v>0.14936554051833514</v>
      </c>
      <c r="AT162" s="6">
        <f t="shared" si="122"/>
        <v>0.16623175810020424</v>
      </c>
      <c r="AW162" s="3">
        <f t="shared" si="131"/>
        <v>3000</v>
      </c>
      <c r="AX162" s="3">
        <f t="shared" si="127"/>
        <v>220</v>
      </c>
      <c r="AY162" s="3">
        <f t="shared" si="128"/>
        <v>660000</v>
      </c>
      <c r="AZ162" s="13">
        <f t="shared" si="129"/>
        <v>0.12226741071867418</v>
      </c>
      <c r="BA162" s="3">
        <f t="shared" si="135"/>
        <v>80696.491074324964</v>
      </c>
      <c r="BB162" s="3">
        <f t="shared" si="136"/>
        <v>80768.618401488711</v>
      </c>
      <c r="BC162" s="3">
        <f t="shared" si="125"/>
        <v>80801.62725091631</v>
      </c>
      <c r="BD162" s="3">
        <f t="shared" si="126"/>
        <v>161333.33333333334</v>
      </c>
    </row>
    <row r="163" spans="3:56" x14ac:dyDescent="0.45">
      <c r="C163">
        <f t="shared" si="105"/>
        <v>151</v>
      </c>
      <c r="D163" s="2">
        <f t="shared" ref="D163:O172" si="137">$C$7*BL_MBPS*BL_KM^2*D$12^3*$C163^2/((EM_KM*D$12)^2+(2*PI()*AVG_SUN_DIST_KM*$C163)^2)</f>
        <v>707.55663788886329</v>
      </c>
      <c r="E163" s="2">
        <f t="shared" si="137"/>
        <v>4848.0554609037517</v>
      </c>
      <c r="F163" s="2">
        <f t="shared" si="137"/>
        <v>13203.801312055433</v>
      </c>
      <c r="G163" s="2">
        <f t="shared" si="137"/>
        <v>24639.332050997989</v>
      </c>
      <c r="H163" s="2">
        <f t="shared" si="137"/>
        <v>37787.546249925901</v>
      </c>
      <c r="I163" s="2">
        <f t="shared" si="137"/>
        <v>51719.789184613081</v>
      </c>
      <c r="J163" s="2">
        <f t="shared" si="137"/>
        <v>65928.296558486036</v>
      </c>
      <c r="K163" s="2">
        <f t="shared" si="137"/>
        <v>80165.585812263336</v>
      </c>
      <c r="L163" s="2">
        <f t="shared" si="137"/>
        <v>94322.205629895689</v>
      </c>
      <c r="M163" s="2">
        <f t="shared" si="137"/>
        <v>108356.90596728111</v>
      </c>
      <c r="N163" s="2">
        <f t="shared" si="137"/>
        <v>122260.58288592323</v>
      </c>
      <c r="O163" s="2">
        <f t="shared" si="137"/>
        <v>136038.43049909628</v>
      </c>
      <c r="P163" s="2">
        <f t="shared" si="106"/>
        <v>113706.92412523508</v>
      </c>
      <c r="R163">
        <f t="shared" si="107"/>
        <v>151</v>
      </c>
      <c r="S163" s="2">
        <f t="shared" si="134"/>
        <v>75500</v>
      </c>
      <c r="T163" s="2">
        <f t="shared" si="134"/>
        <v>151000</v>
      </c>
      <c r="U163" s="2">
        <f t="shared" si="134"/>
        <v>226500</v>
      </c>
      <c r="V163" s="2">
        <f t="shared" si="134"/>
        <v>302000</v>
      </c>
      <c r="W163" s="2">
        <f t="shared" si="134"/>
        <v>377500</v>
      </c>
      <c r="X163" s="2">
        <f t="shared" si="134"/>
        <v>453000</v>
      </c>
      <c r="Y163" s="2">
        <f t="shared" si="134"/>
        <v>528500</v>
      </c>
      <c r="Z163" s="2">
        <f t="shared" si="134"/>
        <v>604000</v>
      </c>
      <c r="AA163" s="2">
        <f t="shared" si="108"/>
        <v>679500</v>
      </c>
      <c r="AB163" s="2">
        <f t="shared" si="108"/>
        <v>755000</v>
      </c>
      <c r="AC163" s="2">
        <f t="shared" si="108"/>
        <v>830500</v>
      </c>
      <c r="AD163" s="2">
        <f t="shared" si="108"/>
        <v>906000</v>
      </c>
      <c r="AE163" s="2">
        <f t="shared" si="108"/>
        <v>679500</v>
      </c>
      <c r="AG163">
        <f t="shared" si="109"/>
        <v>151</v>
      </c>
      <c r="AH163" s="6">
        <f t="shared" si="110"/>
        <v>9.3716110978657383E-3</v>
      </c>
      <c r="AI163" s="6">
        <f t="shared" si="111"/>
        <v>3.2106327555653985E-2</v>
      </c>
      <c r="AJ163" s="6">
        <f t="shared" si="112"/>
        <v>5.8294928530046065E-2</v>
      </c>
      <c r="AK163" s="6">
        <f t="shared" si="113"/>
        <v>8.158719222184764E-2</v>
      </c>
      <c r="AL163" s="6">
        <f t="shared" si="114"/>
        <v>0.10009946026470437</v>
      </c>
      <c r="AM163" s="6">
        <f t="shared" si="115"/>
        <v>0.11417172005433351</v>
      </c>
      <c r="AN163" s="6">
        <f t="shared" si="116"/>
        <v>0.12474606728190357</v>
      </c>
      <c r="AO163" s="6">
        <f t="shared" si="117"/>
        <v>0.13272447982162805</v>
      </c>
      <c r="AP163" s="6">
        <f t="shared" si="118"/>
        <v>0.13881119297997893</v>
      </c>
      <c r="AQ163" s="6">
        <f t="shared" si="119"/>
        <v>0.14351908075136571</v>
      </c>
      <c r="AR163" s="6">
        <f t="shared" si="120"/>
        <v>0.14721322442615681</v>
      </c>
      <c r="AS163" s="6">
        <f t="shared" si="121"/>
        <v>0.15015279304536014</v>
      </c>
      <c r="AT163" s="6">
        <f t="shared" si="122"/>
        <v>0.16733910835207516</v>
      </c>
      <c r="AW163" s="3">
        <f t="shared" si="131"/>
        <v>3020</v>
      </c>
      <c r="AX163" s="3">
        <f t="shared" si="127"/>
        <v>222</v>
      </c>
      <c r="AY163" s="3">
        <f t="shared" si="128"/>
        <v>670440</v>
      </c>
      <c r="AZ163" s="13">
        <f t="shared" si="129"/>
        <v>0.12337892736725596</v>
      </c>
      <c r="BA163" s="3">
        <f t="shared" si="135"/>
        <v>82718.168064103083</v>
      </c>
      <c r="BB163" s="3">
        <f t="shared" si="136"/>
        <v>82692.596142027716</v>
      </c>
      <c r="BC163" s="3">
        <f t="shared" si="125"/>
        <v>82627.053988134867</v>
      </c>
      <c r="BD163" s="3">
        <f t="shared" si="126"/>
        <v>165375.20000000001</v>
      </c>
    </row>
    <row r="164" spans="3:56" x14ac:dyDescent="0.45">
      <c r="C164">
        <f t="shared" si="105"/>
        <v>152</v>
      </c>
      <c r="D164" s="2">
        <f t="shared" si="137"/>
        <v>708.07533608768927</v>
      </c>
      <c r="E164" s="2">
        <f t="shared" si="137"/>
        <v>4860.2529522776122</v>
      </c>
      <c r="F164" s="2">
        <f t="shared" si="137"/>
        <v>13264.242674828212</v>
      </c>
      <c r="G164" s="2">
        <f t="shared" si="137"/>
        <v>24797.475230917327</v>
      </c>
      <c r="H164" s="2">
        <f t="shared" si="137"/>
        <v>38085.54395069593</v>
      </c>
      <c r="I164" s="2">
        <f t="shared" si="137"/>
        <v>52185.51415678893</v>
      </c>
      <c r="J164" s="2">
        <f t="shared" si="137"/>
        <v>66577.491769374654</v>
      </c>
      <c r="K164" s="2">
        <f t="shared" si="137"/>
        <v>81005.991902359878</v>
      </c>
      <c r="L164" s="2">
        <f t="shared" si="137"/>
        <v>95356.865170552468</v>
      </c>
      <c r="M164" s="2">
        <f t="shared" si="137"/>
        <v>109586.28803866965</v>
      </c>
      <c r="N164" s="2">
        <f t="shared" si="137"/>
        <v>123683.83150270551</v>
      </c>
      <c r="O164" s="2">
        <f t="shared" si="137"/>
        <v>137654.06632508914</v>
      </c>
      <c r="P164" s="2">
        <f t="shared" si="106"/>
        <v>115217.37379874733</v>
      </c>
      <c r="R164">
        <f t="shared" si="107"/>
        <v>152</v>
      </c>
      <c r="S164" s="2">
        <f t="shared" si="134"/>
        <v>76000</v>
      </c>
      <c r="T164" s="2">
        <f t="shared" si="134"/>
        <v>152000</v>
      </c>
      <c r="U164" s="2">
        <f t="shared" si="134"/>
        <v>228000</v>
      </c>
      <c r="V164" s="2">
        <f t="shared" si="134"/>
        <v>304000</v>
      </c>
      <c r="W164" s="2">
        <f t="shared" si="134"/>
        <v>380000</v>
      </c>
      <c r="X164" s="2">
        <f t="shared" si="134"/>
        <v>456000</v>
      </c>
      <c r="Y164" s="2">
        <f t="shared" si="134"/>
        <v>532000</v>
      </c>
      <c r="Z164" s="2">
        <f t="shared" si="134"/>
        <v>608000</v>
      </c>
      <c r="AA164" s="2">
        <f t="shared" si="108"/>
        <v>684000</v>
      </c>
      <c r="AB164" s="2">
        <f t="shared" si="108"/>
        <v>760000</v>
      </c>
      <c r="AC164" s="2">
        <f t="shared" si="108"/>
        <v>836000</v>
      </c>
      <c r="AD164" s="2">
        <f t="shared" si="108"/>
        <v>912000</v>
      </c>
      <c r="AE164" s="2">
        <f t="shared" si="108"/>
        <v>684000</v>
      </c>
      <c r="AG164">
        <f t="shared" si="109"/>
        <v>152</v>
      </c>
      <c r="AH164" s="6">
        <f t="shared" si="110"/>
        <v>9.3167807379959111E-3</v>
      </c>
      <c r="AI164" s="6">
        <f t="shared" si="111"/>
        <v>3.1975348370247451E-2</v>
      </c>
      <c r="AJ164" s="6">
        <f t="shared" si="112"/>
        <v>5.8176502959772863E-2</v>
      </c>
      <c r="AK164" s="6">
        <f t="shared" si="113"/>
        <v>8.1570642206964888E-2</v>
      </c>
      <c r="AL164" s="6">
        <f t="shared" si="114"/>
        <v>0.10022511565972614</v>
      </c>
      <c r="AM164" s="6">
        <f t="shared" si="115"/>
        <v>0.11444191701050203</v>
      </c>
      <c r="AN164" s="6">
        <f t="shared" si="116"/>
        <v>0.12514566122062906</v>
      </c>
      <c r="AO164" s="6">
        <f t="shared" si="117"/>
        <v>0.1332335393130919</v>
      </c>
      <c r="AP164" s="6">
        <f t="shared" si="118"/>
        <v>0.13941062159437495</v>
      </c>
      <c r="AQ164" s="6">
        <f t="shared" si="119"/>
        <v>0.14419248426140743</v>
      </c>
      <c r="AR164" s="6">
        <f t="shared" si="120"/>
        <v>0.14794716686926496</v>
      </c>
      <c r="AS164" s="6">
        <f t="shared" si="121"/>
        <v>0.15093647623365036</v>
      </c>
      <c r="AT164" s="6">
        <f t="shared" si="122"/>
        <v>0.16844645292214522</v>
      </c>
      <c r="AW164" s="3">
        <f t="shared" si="131"/>
        <v>3040</v>
      </c>
      <c r="AX164" s="3">
        <f t="shared" si="127"/>
        <v>223</v>
      </c>
      <c r="AY164" s="3">
        <f t="shared" si="128"/>
        <v>677920</v>
      </c>
      <c r="AZ164" s="13">
        <f t="shared" si="129"/>
        <v>0.12393468569154685</v>
      </c>
      <c r="BA164" s="3">
        <f t="shared" si="135"/>
        <v>84017.80212401344</v>
      </c>
      <c r="BB164" s="3">
        <f t="shared" si="136"/>
        <v>84080.332552478343</v>
      </c>
      <c r="BC164" s="3">
        <f t="shared" si="125"/>
        <v>84102.159021129642</v>
      </c>
      <c r="BD164" s="3">
        <f t="shared" si="126"/>
        <v>167973.51111111112</v>
      </c>
    </row>
    <row r="165" spans="3:56" x14ac:dyDescent="0.45">
      <c r="C165">
        <f t="shared" si="105"/>
        <v>153</v>
      </c>
      <c r="D165" s="2">
        <f t="shared" si="137"/>
        <v>708.58463588748714</v>
      </c>
      <c r="E165" s="2">
        <f t="shared" si="137"/>
        <v>4872.2717960802056</v>
      </c>
      <c r="F165" s="2">
        <f t="shared" si="137"/>
        <v>13324.042445514619</v>
      </c>
      <c r="G165" s="2">
        <f t="shared" si="137"/>
        <v>24954.511094212387</v>
      </c>
      <c r="H165" s="2">
        <f t="shared" si="137"/>
        <v>38382.31644508677</v>
      </c>
      <c r="I165" s="2">
        <f t="shared" si="137"/>
        <v>52650.352890729526</v>
      </c>
      <c r="J165" s="2">
        <f t="shared" si="137"/>
        <v>67226.533187894791</v>
      </c>
      <c r="K165" s="2">
        <f t="shared" si="137"/>
        <v>81847.258413228061</v>
      </c>
      <c r="L165" s="2">
        <f t="shared" si="137"/>
        <v>96393.581356088616</v>
      </c>
      <c r="M165" s="2">
        <f t="shared" si="137"/>
        <v>110819.03197695284</v>
      </c>
      <c r="N165" s="2">
        <f t="shared" si="137"/>
        <v>125111.80731090433</v>
      </c>
      <c r="O165" s="2">
        <f t="shared" si="137"/>
        <v>139275.82354889426</v>
      </c>
      <c r="P165" s="2">
        <f t="shared" si="106"/>
        <v>116737.78568722661</v>
      </c>
      <c r="R165">
        <f t="shared" si="107"/>
        <v>153</v>
      </c>
      <c r="S165" s="2">
        <f t="shared" si="134"/>
        <v>76500</v>
      </c>
      <c r="T165" s="2">
        <f t="shared" si="134"/>
        <v>153000</v>
      </c>
      <c r="U165" s="2">
        <f t="shared" si="134"/>
        <v>229500</v>
      </c>
      <c r="V165" s="2">
        <f t="shared" si="134"/>
        <v>306000</v>
      </c>
      <c r="W165" s="2">
        <f t="shared" si="134"/>
        <v>382500</v>
      </c>
      <c r="X165" s="2">
        <f t="shared" si="134"/>
        <v>459000</v>
      </c>
      <c r="Y165" s="2">
        <f t="shared" si="134"/>
        <v>535500</v>
      </c>
      <c r="Z165" s="2">
        <f t="shared" si="134"/>
        <v>612000</v>
      </c>
      <c r="AA165" s="2">
        <f t="shared" si="108"/>
        <v>688500</v>
      </c>
      <c r="AB165" s="2">
        <f t="shared" si="108"/>
        <v>765000</v>
      </c>
      <c r="AC165" s="2">
        <f t="shared" si="108"/>
        <v>841500</v>
      </c>
      <c r="AD165" s="2">
        <f t="shared" si="108"/>
        <v>918000</v>
      </c>
      <c r="AE165" s="2">
        <f t="shared" si="108"/>
        <v>688500</v>
      </c>
      <c r="AG165">
        <f t="shared" si="109"/>
        <v>153</v>
      </c>
      <c r="AH165" s="6">
        <f t="shared" si="110"/>
        <v>9.262544259967153E-3</v>
      </c>
      <c r="AI165" s="6">
        <f t="shared" si="111"/>
        <v>3.1844913699870622E-2</v>
      </c>
      <c r="AJ165" s="6">
        <f t="shared" si="112"/>
        <v>5.8056829827950407E-2</v>
      </c>
      <c r="AK165" s="6">
        <f t="shared" si="113"/>
        <v>8.1550689850367272E-2</v>
      </c>
      <c r="AL165" s="6">
        <f t="shared" si="114"/>
        <v>0.10034592534663207</v>
      </c>
      <c r="AM165" s="6">
        <f t="shared" si="115"/>
        <v>0.11470665117805996</v>
      </c>
      <c r="AN165" s="6">
        <f t="shared" si="116"/>
        <v>0.12553974451520969</v>
      </c>
      <c r="AO165" s="6">
        <f t="shared" si="117"/>
        <v>0.13373735034841186</v>
      </c>
      <c r="AP165" s="6">
        <f t="shared" si="118"/>
        <v>0.14000520167914104</v>
      </c>
      <c r="AQ165" s="6">
        <f t="shared" si="119"/>
        <v>0.14486147970843508</v>
      </c>
      <c r="AR165" s="6">
        <f t="shared" si="120"/>
        <v>0.14867713287094989</v>
      </c>
      <c r="AS165" s="6">
        <f t="shared" si="121"/>
        <v>0.15171658338659505</v>
      </c>
      <c r="AT165" s="6">
        <f t="shared" si="122"/>
        <v>0.16955379184782368</v>
      </c>
      <c r="AW165" s="3">
        <f t="shared" si="131"/>
        <v>3060</v>
      </c>
      <c r="AX165" s="3">
        <f t="shared" si="127"/>
        <v>225</v>
      </c>
      <c r="AY165" s="3">
        <f t="shared" si="128"/>
        <v>688500</v>
      </c>
      <c r="AZ165" s="13">
        <f t="shared" si="129"/>
        <v>0.12504620234012864</v>
      </c>
      <c r="BA165" s="3">
        <f t="shared" si="135"/>
        <v>86094.310311178575</v>
      </c>
      <c r="BB165" s="3">
        <f t="shared" si="136"/>
        <v>86056.299609484515</v>
      </c>
      <c r="BC165" s="3">
        <f t="shared" si="125"/>
        <v>85976.681782354513</v>
      </c>
      <c r="BD165" s="3">
        <f t="shared" si="126"/>
        <v>172125</v>
      </c>
    </row>
    <row r="166" spans="3:56" x14ac:dyDescent="0.45">
      <c r="C166">
        <f t="shared" si="105"/>
        <v>154</v>
      </c>
      <c r="D166" s="2">
        <f t="shared" si="137"/>
        <v>709.08475846309148</v>
      </c>
      <c r="E166" s="2">
        <f t="shared" si="137"/>
        <v>4884.1151301957061</v>
      </c>
      <c r="F166" s="2">
        <f t="shared" si="137"/>
        <v>13383.206989983555</v>
      </c>
      <c r="G166" s="2">
        <f t="shared" si="137"/>
        <v>25110.44120778755</v>
      </c>
      <c r="H166" s="2">
        <f t="shared" si="137"/>
        <v>38677.852250267519</v>
      </c>
      <c r="I166" s="2">
        <f t="shared" si="137"/>
        <v>53114.278018241443</v>
      </c>
      <c r="J166" s="2">
        <f t="shared" si="137"/>
        <v>67875.379022074849</v>
      </c>
      <c r="K166" s="2">
        <f t="shared" si="137"/>
        <v>82689.332324009913</v>
      </c>
      <c r="L166" s="2">
        <f t="shared" si="137"/>
        <v>97432.293259552767</v>
      </c>
      <c r="M166" s="2">
        <f t="shared" si="137"/>
        <v>112055.07175538968</v>
      </c>
      <c r="N166" s="2">
        <f t="shared" si="137"/>
        <v>126544.4413402521</v>
      </c>
      <c r="O166" s="2">
        <f t="shared" si="137"/>
        <v>140903.63183064226</v>
      </c>
      <c r="P166" s="2">
        <f t="shared" si="106"/>
        <v>118268.15974006017</v>
      </c>
      <c r="R166">
        <f t="shared" si="107"/>
        <v>154</v>
      </c>
      <c r="S166" s="2">
        <f t="shared" ref="S166:Z175" si="138">$R166*S$12</f>
        <v>77000</v>
      </c>
      <c r="T166" s="2">
        <f t="shared" si="138"/>
        <v>154000</v>
      </c>
      <c r="U166" s="2">
        <f t="shared" si="138"/>
        <v>231000</v>
      </c>
      <c r="V166" s="2">
        <f t="shared" si="138"/>
        <v>308000</v>
      </c>
      <c r="W166" s="2">
        <f t="shared" si="138"/>
        <v>385000</v>
      </c>
      <c r="X166" s="2">
        <f t="shared" si="138"/>
        <v>462000</v>
      </c>
      <c r="Y166" s="2">
        <f t="shared" si="138"/>
        <v>539000</v>
      </c>
      <c r="Z166" s="2">
        <f t="shared" si="138"/>
        <v>616000</v>
      </c>
      <c r="AA166" s="2">
        <f t="shared" si="108"/>
        <v>693000</v>
      </c>
      <c r="AB166" s="2">
        <f t="shared" si="108"/>
        <v>770000</v>
      </c>
      <c r="AC166" s="2">
        <f t="shared" si="108"/>
        <v>847000</v>
      </c>
      <c r="AD166" s="2">
        <f t="shared" si="108"/>
        <v>924000</v>
      </c>
      <c r="AE166" s="2">
        <f t="shared" si="108"/>
        <v>693000</v>
      </c>
      <c r="AG166">
        <f t="shared" si="109"/>
        <v>154</v>
      </c>
      <c r="AH166" s="6">
        <f t="shared" si="110"/>
        <v>9.2088929670531353E-3</v>
      </c>
      <c r="AI166" s="6">
        <f t="shared" si="111"/>
        <v>3.1715033312959127E-2</v>
      </c>
      <c r="AJ166" s="6">
        <f t="shared" si="112"/>
        <v>5.7935960995599806E-2</v>
      </c>
      <c r="AK166" s="6">
        <f t="shared" si="113"/>
        <v>8.1527406518790743E-2</v>
      </c>
      <c r="AL166" s="6">
        <f t="shared" si="114"/>
        <v>0.10046195389679875</v>
      </c>
      <c r="AM166" s="6">
        <f t="shared" si="115"/>
        <v>0.11496596973645334</v>
      </c>
      <c r="AN166" s="6">
        <f t="shared" si="116"/>
        <v>0.12592834697973071</v>
      </c>
      <c r="AO166" s="6">
        <f t="shared" si="117"/>
        <v>0.13423592909741869</v>
      </c>
      <c r="AP166" s="6">
        <f t="shared" si="118"/>
        <v>0.14059493976847443</v>
      </c>
      <c r="AQ166" s="6">
        <f t="shared" si="119"/>
        <v>0.1455260672147918</v>
      </c>
      <c r="AR166" s="6">
        <f t="shared" si="120"/>
        <v>0.14940311846546883</v>
      </c>
      <c r="AS166" s="6">
        <f t="shared" si="121"/>
        <v>0.15249310804182062</v>
      </c>
      <c r="AT166" s="6">
        <f t="shared" si="122"/>
        <v>0.17066112516603199</v>
      </c>
      <c r="AW166" s="3">
        <f t="shared" si="131"/>
        <v>3080</v>
      </c>
      <c r="AX166" s="3">
        <f t="shared" si="127"/>
        <v>226</v>
      </c>
      <c r="AY166" s="3">
        <f t="shared" si="128"/>
        <v>696080</v>
      </c>
      <c r="AZ166" s="13">
        <f t="shared" si="129"/>
        <v>0.12560196066441953</v>
      </c>
      <c r="BA166" s="3">
        <f t="shared" si="135"/>
        <v>87429.012779289144</v>
      </c>
      <c r="BB166" s="3">
        <f t="shared" si="136"/>
        <v>87481.351577561829</v>
      </c>
      <c r="BC166" s="3">
        <f t="shared" si="125"/>
        <v>87491.354899893035</v>
      </c>
      <c r="BD166" s="3">
        <f t="shared" si="126"/>
        <v>174793.4222222222</v>
      </c>
    </row>
    <row r="167" spans="3:56" x14ac:dyDescent="0.45">
      <c r="C167">
        <f t="shared" si="105"/>
        <v>155</v>
      </c>
      <c r="D167" s="2">
        <f t="shared" si="137"/>
        <v>709.57591866035295</v>
      </c>
      <c r="E167" s="2">
        <f t="shared" si="137"/>
        <v>4895.7860335481673</v>
      </c>
      <c r="F167" s="2">
        <f t="shared" si="137"/>
        <v>13441.742669427955</v>
      </c>
      <c r="G167" s="2">
        <f t="shared" si="137"/>
        <v>25265.267387430125</v>
      </c>
      <c r="H167" s="2">
        <f t="shared" si="137"/>
        <v>38972.140383768696</v>
      </c>
      <c r="I167" s="2">
        <f t="shared" si="137"/>
        <v>53577.262783662547</v>
      </c>
      <c r="J167" s="2">
        <f t="shared" si="137"/>
        <v>68523.988073576824</v>
      </c>
      <c r="K167" s="2">
        <f t="shared" si="137"/>
        <v>83532.161114117509</v>
      </c>
      <c r="L167" s="2">
        <f t="shared" si="137"/>
        <v>98472.940333811799</v>
      </c>
      <c r="M167" s="2">
        <f t="shared" si="137"/>
        <v>113294.34160690842</v>
      </c>
      <c r="N167" s="2">
        <f t="shared" si="137"/>
        <v>127981.66477279767</v>
      </c>
      <c r="O167" s="2">
        <f t="shared" si="137"/>
        <v>142537.42089223623</v>
      </c>
      <c r="P167" s="2">
        <f t="shared" si="106"/>
        <v>119808.49590696392</v>
      </c>
      <c r="R167">
        <f t="shared" si="107"/>
        <v>155</v>
      </c>
      <c r="S167" s="2">
        <f t="shared" si="138"/>
        <v>77500</v>
      </c>
      <c r="T167" s="2">
        <f t="shared" si="138"/>
        <v>155000</v>
      </c>
      <c r="U167" s="2">
        <f t="shared" si="138"/>
        <v>232500</v>
      </c>
      <c r="V167" s="2">
        <f t="shared" si="138"/>
        <v>310000</v>
      </c>
      <c r="W167" s="2">
        <f t="shared" si="138"/>
        <v>387500</v>
      </c>
      <c r="X167" s="2">
        <f t="shared" si="138"/>
        <v>465000</v>
      </c>
      <c r="Y167" s="2">
        <f t="shared" si="138"/>
        <v>542500</v>
      </c>
      <c r="Z167" s="2">
        <f t="shared" si="138"/>
        <v>620000</v>
      </c>
      <c r="AA167" s="2">
        <f t="shared" si="108"/>
        <v>697500</v>
      </c>
      <c r="AB167" s="2">
        <f t="shared" si="108"/>
        <v>775000</v>
      </c>
      <c r="AC167" s="2">
        <f t="shared" si="108"/>
        <v>852500</v>
      </c>
      <c r="AD167" s="2">
        <f t="shared" si="108"/>
        <v>930000</v>
      </c>
      <c r="AE167" s="2">
        <f t="shared" si="108"/>
        <v>697500</v>
      </c>
      <c r="AG167">
        <f t="shared" si="109"/>
        <v>155</v>
      </c>
      <c r="AH167" s="6">
        <f t="shared" si="110"/>
        <v>9.1558183052948775E-3</v>
      </c>
      <c r="AI167" s="6">
        <f t="shared" si="111"/>
        <v>3.1585716345472047E-2</v>
      </c>
      <c r="AJ167" s="6">
        <f t="shared" si="112"/>
        <v>5.7813946965281526E-2</v>
      </c>
      <c r="AK167" s="6">
        <f t="shared" si="113"/>
        <v>8.1500862540097183E-2</v>
      </c>
      <c r="AL167" s="6">
        <f t="shared" si="114"/>
        <v>0.10057326550649986</v>
      </c>
      <c r="AM167" s="6">
        <f t="shared" si="115"/>
        <v>0.11521991996486569</v>
      </c>
      <c r="AN167" s="6">
        <f t="shared" si="116"/>
        <v>0.12631149875313699</v>
      </c>
      <c r="AO167" s="6">
        <f t="shared" si="117"/>
        <v>0.13472929211954437</v>
      </c>
      <c r="AP167" s="6">
        <f t="shared" si="118"/>
        <v>0.14117984277249004</v>
      </c>
      <c r="AQ167" s="6">
        <f t="shared" si="119"/>
        <v>0.14618624723472054</v>
      </c>
      <c r="AR167" s="6">
        <f t="shared" si="120"/>
        <v>0.15012511996809111</v>
      </c>
      <c r="AS167" s="6">
        <f t="shared" si="121"/>
        <v>0.15326604397014648</v>
      </c>
      <c r="AT167" s="6">
        <f t="shared" si="122"/>
        <v>0.17176845291320991</v>
      </c>
      <c r="AW167" s="3">
        <f t="shared" si="131"/>
        <v>3100</v>
      </c>
      <c r="AX167" s="3">
        <f t="shared" si="127"/>
        <v>228</v>
      </c>
      <c r="AY167" s="3">
        <f t="shared" si="128"/>
        <v>706800</v>
      </c>
      <c r="AZ167" s="13">
        <f t="shared" si="129"/>
        <v>0.12671347731300131</v>
      </c>
      <c r="BA167" s="3">
        <f t="shared" si="135"/>
        <v>89561.085764829331</v>
      </c>
      <c r="BB167" s="3">
        <f t="shared" si="136"/>
        <v>89510.001004319594</v>
      </c>
      <c r="BC167" s="3">
        <f t="shared" si="125"/>
        <v>89415.625129007691</v>
      </c>
      <c r="BD167" s="3">
        <f t="shared" si="126"/>
        <v>179056</v>
      </c>
    </row>
    <row r="168" spans="3:56" x14ac:dyDescent="0.45">
      <c r="C168">
        <f t="shared" si="105"/>
        <v>156</v>
      </c>
      <c r="D168" s="2">
        <f t="shared" si="137"/>
        <v>710.05832520708373</v>
      </c>
      <c r="E168" s="2">
        <f t="shared" si="137"/>
        <v>4907.2875270744071</v>
      </c>
      <c r="F168" s="2">
        <f t="shared" si="137"/>
        <v>13499.65583707374</v>
      </c>
      <c r="G168" s="2">
        <f t="shared" si="137"/>
        <v>25418.991688699789</v>
      </c>
      <c r="H168" s="2">
        <f t="shared" si="137"/>
        <v>39265.170354036702</v>
      </c>
      <c r="I168" s="2">
        <f t="shared" si="137"/>
        <v>54039.281038304616</v>
      </c>
      <c r="J168" s="2">
        <f t="shared" si="137"/>
        <v>69172.319736731355</v>
      </c>
      <c r="K168" s="2">
        <f t="shared" si="137"/>
        <v>84375.692765785745</v>
      </c>
      <c r="L168" s="2">
        <f t="shared" si="137"/>
        <v>99515.462416250826</v>
      </c>
      <c r="M168" s="2">
        <f t="shared" si="137"/>
        <v>114536.77602986383</v>
      </c>
      <c r="N168" s="2">
        <f t="shared" si="137"/>
        <v>129423.40894899804</v>
      </c>
      <c r="O168" s="2">
        <f t="shared" si="137"/>
        <v>144177.12052334807</v>
      </c>
      <c r="P168" s="2">
        <f t="shared" si="106"/>
        <v>121358.79413798056</v>
      </c>
      <c r="R168">
        <f t="shared" si="107"/>
        <v>156</v>
      </c>
      <c r="S168" s="2">
        <f t="shared" si="138"/>
        <v>78000</v>
      </c>
      <c r="T168" s="2">
        <f t="shared" si="138"/>
        <v>156000</v>
      </c>
      <c r="U168" s="2">
        <f t="shared" si="138"/>
        <v>234000</v>
      </c>
      <c r="V168" s="2">
        <f t="shared" si="138"/>
        <v>312000</v>
      </c>
      <c r="W168" s="2">
        <f t="shared" si="138"/>
        <v>390000</v>
      </c>
      <c r="X168" s="2">
        <f t="shared" si="138"/>
        <v>468000</v>
      </c>
      <c r="Y168" s="2">
        <f t="shared" si="138"/>
        <v>546000</v>
      </c>
      <c r="Z168" s="2">
        <f t="shared" si="138"/>
        <v>624000</v>
      </c>
      <c r="AA168" s="2">
        <f t="shared" si="108"/>
        <v>702000</v>
      </c>
      <c r="AB168" s="2">
        <f t="shared" si="108"/>
        <v>780000</v>
      </c>
      <c r="AC168" s="2">
        <f t="shared" si="108"/>
        <v>858000</v>
      </c>
      <c r="AD168" s="2">
        <f t="shared" si="108"/>
        <v>936000</v>
      </c>
      <c r="AE168" s="2">
        <f t="shared" si="108"/>
        <v>702000</v>
      </c>
      <c r="AG168">
        <f t="shared" si="109"/>
        <v>156</v>
      </c>
      <c r="AH168" s="6">
        <f t="shared" si="110"/>
        <v>9.1033118616292777E-3</v>
      </c>
      <c r="AI168" s="6">
        <f t="shared" si="111"/>
        <v>3.1456971327400045E-2</v>
      </c>
      <c r="AJ168" s="6">
        <f t="shared" si="112"/>
        <v>5.7690836910571537E-2</v>
      </c>
      <c r="AK168" s="6">
        <f t="shared" si="113"/>
        <v>8.1471127207371125E-2</v>
      </c>
      <c r="AL168" s="6">
        <f t="shared" si="114"/>
        <v>0.10067992398470949</v>
      </c>
      <c r="AM168" s="6">
        <f t="shared" si="115"/>
        <v>0.11546854922714661</v>
      </c>
      <c r="AN168" s="6">
        <f t="shared" si="116"/>
        <v>0.12668923028705376</v>
      </c>
      <c r="AO168" s="6">
        <f t="shared" si="117"/>
        <v>0.13521745635542587</v>
      </c>
      <c r="AP168" s="6">
        <f t="shared" si="118"/>
        <v>0.14175991797186727</v>
      </c>
      <c r="AQ168" s="6">
        <f t="shared" si="119"/>
        <v>0.14684202055110748</v>
      </c>
      <c r="AR168" s="6">
        <f t="shared" si="120"/>
        <v>0.15084313397319118</v>
      </c>
      <c r="AS168" s="6">
        <f t="shared" si="121"/>
        <v>0.15403538517451718</v>
      </c>
      <c r="AT168" s="6">
        <f t="shared" si="122"/>
        <v>0.17287577512532842</v>
      </c>
      <c r="AW168" s="3">
        <f t="shared" si="131"/>
        <v>3120</v>
      </c>
      <c r="AX168" s="3">
        <f t="shared" si="127"/>
        <v>229</v>
      </c>
      <c r="AY168" s="3">
        <f t="shared" si="128"/>
        <v>714480</v>
      </c>
      <c r="AZ168" s="13">
        <f t="shared" si="129"/>
        <v>0.1272692356372922</v>
      </c>
      <c r="BA168" s="3">
        <f t="shared" si="135"/>
        <v>90931.32347813253</v>
      </c>
      <c r="BB168" s="3">
        <f t="shared" si="136"/>
        <v>90972.863568181667</v>
      </c>
      <c r="BC168" s="3">
        <f t="shared" si="125"/>
        <v>90970.389930988924</v>
      </c>
      <c r="BD168" s="3">
        <f t="shared" si="126"/>
        <v>181795.46666666667</v>
      </c>
    </row>
    <row r="169" spans="3:56" x14ac:dyDescent="0.45">
      <c r="C169">
        <f t="shared" si="105"/>
        <v>157</v>
      </c>
      <c r="D169" s="2">
        <f t="shared" si="137"/>
        <v>710.53218091606357</v>
      </c>
      <c r="E169" s="2">
        <f t="shared" si="137"/>
        <v>4918.622574694924</v>
      </c>
      <c r="F169" s="2">
        <f t="shared" si="137"/>
        <v>13556.952835060556</v>
      </c>
      <c r="G169" s="2">
        <f t="shared" si="137"/>
        <v>25571.616398026548</v>
      </c>
      <c r="H169" s="2">
        <f t="shared" si="137"/>
        <v>39556.932151035056</v>
      </c>
      <c r="I169" s="2">
        <f t="shared" si="137"/>
        <v>54500.307234787535</v>
      </c>
      <c r="J169" s="2">
        <f t="shared" si="137"/>
        <v>69820.333997396607</v>
      </c>
      <c r="K169" s="2">
        <f t="shared" si="137"/>
        <v>85219.875766446421</v>
      </c>
      <c r="L169" s="2">
        <f t="shared" si="137"/>
        <v>100559.79973332203</v>
      </c>
      <c r="M169" s="2">
        <f t="shared" si="137"/>
        <v>115782.30979367804</v>
      </c>
      <c r="N169" s="2">
        <f t="shared" si="137"/>
        <v>130869.60537372479</v>
      </c>
      <c r="O169" s="2">
        <f t="shared" si="137"/>
        <v>145822.66058735526</v>
      </c>
      <c r="P169" s="2">
        <f t="shared" si="106"/>
        <v>122919.05438347375</v>
      </c>
      <c r="R169">
        <f t="shared" si="107"/>
        <v>157</v>
      </c>
      <c r="S169" s="2">
        <f t="shared" si="138"/>
        <v>78500</v>
      </c>
      <c r="T169" s="2">
        <f t="shared" si="138"/>
        <v>157000</v>
      </c>
      <c r="U169" s="2">
        <f t="shared" si="138"/>
        <v>235500</v>
      </c>
      <c r="V169" s="2">
        <f t="shared" si="138"/>
        <v>314000</v>
      </c>
      <c r="W169" s="2">
        <f t="shared" si="138"/>
        <v>392500</v>
      </c>
      <c r="X169" s="2">
        <f t="shared" si="138"/>
        <v>471000</v>
      </c>
      <c r="Y169" s="2">
        <f t="shared" si="138"/>
        <v>549500</v>
      </c>
      <c r="Z169" s="2">
        <f t="shared" si="138"/>
        <v>628000</v>
      </c>
      <c r="AA169" s="2">
        <f t="shared" si="108"/>
        <v>706500</v>
      </c>
      <c r="AB169" s="2">
        <f t="shared" si="108"/>
        <v>785000</v>
      </c>
      <c r="AC169" s="2">
        <f t="shared" si="108"/>
        <v>863500</v>
      </c>
      <c r="AD169" s="2">
        <f t="shared" si="108"/>
        <v>942000</v>
      </c>
      <c r="AE169" s="2">
        <f t="shared" si="108"/>
        <v>706500</v>
      </c>
      <c r="AG169">
        <f t="shared" si="109"/>
        <v>157</v>
      </c>
      <c r="AH169" s="6">
        <f t="shared" si="110"/>
        <v>9.0513653619880702E-3</v>
      </c>
      <c r="AI169" s="6">
        <f t="shared" si="111"/>
        <v>3.1328806208247927E-2</v>
      </c>
      <c r="AJ169" s="6">
        <f t="shared" si="112"/>
        <v>5.7566678705140366E-2</v>
      </c>
      <c r="AK169" s="6">
        <f t="shared" si="113"/>
        <v>8.1438268783524045E-2</v>
      </c>
      <c r="AL169" s="6">
        <f t="shared" si="114"/>
        <v>0.10078199274149059</v>
      </c>
      <c r="AM169" s="6">
        <f t="shared" si="115"/>
        <v>0.11571190495708607</v>
      </c>
      <c r="AN169" s="6">
        <f t="shared" si="116"/>
        <v>0.12706157233375179</v>
      </c>
      <c r="AO169" s="6">
        <f t="shared" si="117"/>
        <v>0.13570043911854526</v>
      </c>
      <c r="AP169" s="6">
        <f t="shared" si="118"/>
        <v>0.14233517301248694</v>
      </c>
      <c r="AQ169" s="6">
        <f t="shared" si="119"/>
        <v>0.14749338827220132</v>
      </c>
      <c r="AR169" s="6">
        <f t="shared" si="120"/>
        <v>0.1515571573523159</v>
      </c>
      <c r="AS169" s="6">
        <f t="shared" si="121"/>
        <v>0.15480112588891218</v>
      </c>
      <c r="AT169" s="6">
        <f t="shared" si="122"/>
        <v>0.17398309183789631</v>
      </c>
      <c r="AW169" s="3">
        <f t="shared" si="131"/>
        <v>3140</v>
      </c>
      <c r="AX169" s="3">
        <f t="shared" si="127"/>
        <v>231</v>
      </c>
      <c r="AY169" s="3">
        <f t="shared" si="128"/>
        <v>725340</v>
      </c>
      <c r="AZ169" s="13">
        <f t="shared" si="129"/>
        <v>0.12838075228587398</v>
      </c>
      <c r="BA169" s="3">
        <f t="shared" si="135"/>
        <v>93119.694863035838</v>
      </c>
      <c r="BB169" s="3">
        <f t="shared" si="136"/>
        <v>93054.888417978087</v>
      </c>
      <c r="BC169" s="3">
        <f t="shared" si="125"/>
        <v>92945.059071902273</v>
      </c>
      <c r="BD169" s="3">
        <f t="shared" si="126"/>
        <v>186170.6</v>
      </c>
    </row>
    <row r="170" spans="3:56" x14ac:dyDescent="0.45">
      <c r="C170">
        <f t="shared" si="105"/>
        <v>158</v>
      </c>
      <c r="D170" s="2">
        <f t="shared" si="137"/>
        <v>710.99768288044515</v>
      </c>
      <c r="E170" s="2">
        <f t="shared" si="137"/>
        <v>4929.7940842817079</v>
      </c>
      <c r="F170" s="2">
        <f t="shared" si="137"/>
        <v>13613.639991487893</v>
      </c>
      <c r="G170" s="2">
        <f t="shared" si="137"/>
        <v>25723.144024015684</v>
      </c>
      <c r="H170" s="2">
        <f t="shared" si="137"/>
        <v>39847.41623689729</v>
      </c>
      <c r="I170" s="2">
        <f t="shared" si="137"/>
        <v>54960.316421271455</v>
      </c>
      <c r="J170" s="2">
        <f t="shared" si="137"/>
        <v>70467.991431645496</v>
      </c>
      <c r="K170" s="2">
        <f t="shared" si="137"/>
        <v>86064.659110926732</v>
      </c>
      <c r="L170" s="2">
        <f t="shared" si="137"/>
        <v>101605.89290494386</v>
      </c>
      <c r="M170" s="2">
        <f t="shared" si="137"/>
        <v>117030.87794436468</v>
      </c>
      <c r="N170" s="2">
        <f t="shared" si="137"/>
        <v>132320.18572218507</v>
      </c>
      <c r="O170" s="2">
        <f t="shared" si="137"/>
        <v>147473.97102721676</v>
      </c>
      <c r="P170" s="2">
        <f t="shared" si="106"/>
        <v>124489.27659412505</v>
      </c>
      <c r="R170">
        <f t="shared" si="107"/>
        <v>158</v>
      </c>
      <c r="S170" s="2">
        <f t="shared" si="138"/>
        <v>79000</v>
      </c>
      <c r="T170" s="2">
        <f t="shared" si="138"/>
        <v>158000</v>
      </c>
      <c r="U170" s="2">
        <f t="shared" si="138"/>
        <v>237000</v>
      </c>
      <c r="V170" s="2">
        <f t="shared" si="138"/>
        <v>316000</v>
      </c>
      <c r="W170" s="2">
        <f t="shared" si="138"/>
        <v>395000</v>
      </c>
      <c r="X170" s="2">
        <f t="shared" si="138"/>
        <v>474000</v>
      </c>
      <c r="Y170" s="2">
        <f t="shared" si="138"/>
        <v>553000</v>
      </c>
      <c r="Z170" s="2">
        <f t="shared" si="138"/>
        <v>632000</v>
      </c>
      <c r="AA170" s="2">
        <f t="shared" si="108"/>
        <v>711000</v>
      </c>
      <c r="AB170" s="2">
        <f t="shared" si="108"/>
        <v>790000</v>
      </c>
      <c r="AC170" s="2">
        <f t="shared" si="108"/>
        <v>869000</v>
      </c>
      <c r="AD170" s="2">
        <f t="shared" si="108"/>
        <v>948000</v>
      </c>
      <c r="AE170" s="2">
        <f t="shared" si="108"/>
        <v>711000</v>
      </c>
      <c r="AG170">
        <f t="shared" si="109"/>
        <v>158</v>
      </c>
      <c r="AH170" s="6">
        <f t="shared" si="110"/>
        <v>8.9999706693727234E-3</v>
      </c>
      <c r="AI170" s="6">
        <f t="shared" si="111"/>
        <v>3.1201228381529798E-2</v>
      </c>
      <c r="AJ170" s="6">
        <f t="shared" si="112"/>
        <v>5.7441518951425706E-2</v>
      </c>
      <c r="AK170" s="6">
        <f t="shared" si="113"/>
        <v>8.1402354506378755E-2</v>
      </c>
      <c r="AL170" s="6">
        <f t="shared" si="114"/>
        <v>0.10087953477695516</v>
      </c>
      <c r="AM170" s="6">
        <f t="shared" si="115"/>
        <v>0.1159500346440326</v>
      </c>
      <c r="AN170" s="6">
        <f t="shared" si="116"/>
        <v>0.12742855593425947</v>
      </c>
      <c r="AO170" s="6">
        <f t="shared" si="117"/>
        <v>0.13617825808690939</v>
      </c>
      <c r="AP170" s="6">
        <f t="shared" si="118"/>
        <v>0.14290561590006168</v>
      </c>
      <c r="AQ170" s="6">
        <f t="shared" si="119"/>
        <v>0.14814035182830973</v>
      </c>
      <c r="AR170" s="6">
        <f t="shared" si="120"/>
        <v>0.15226718725222677</v>
      </c>
      <c r="AS170" s="6">
        <f t="shared" si="121"/>
        <v>0.15556326057723285</v>
      </c>
      <c r="AT170" s="6">
        <f t="shared" si="122"/>
        <v>0.17509040308597054</v>
      </c>
      <c r="AW170" s="3">
        <f t="shared" si="131"/>
        <v>3160</v>
      </c>
      <c r="AX170" s="3">
        <f t="shared" si="127"/>
        <v>232</v>
      </c>
      <c r="AY170" s="3">
        <f t="shared" si="128"/>
        <v>733120</v>
      </c>
      <c r="AZ170" s="13">
        <f t="shared" si="129"/>
        <v>0.12893651061016487</v>
      </c>
      <c r="BA170" s="3">
        <f t="shared" si="135"/>
        <v>94525.934658524071</v>
      </c>
      <c r="BB170" s="3">
        <f t="shared" si="136"/>
        <v>94556.056615780326</v>
      </c>
      <c r="BC170" s="3">
        <f t="shared" si="125"/>
        <v>94540.439158203284</v>
      </c>
      <c r="BD170" s="3">
        <f t="shared" si="126"/>
        <v>188982.04444444444</v>
      </c>
    </row>
    <row r="171" spans="3:56" x14ac:dyDescent="0.45">
      <c r="C171">
        <f t="shared" si="105"/>
        <v>159</v>
      </c>
      <c r="D171" s="2">
        <f t="shared" si="137"/>
        <v>711.45502266186236</v>
      </c>
      <c r="E171" s="2">
        <f t="shared" si="137"/>
        <v>4940.8049086217743</v>
      </c>
      <c r="F171" s="2">
        <f t="shared" si="137"/>
        <v>13669.723617620171</v>
      </c>
      <c r="G171" s="2">
        <f t="shared" si="137"/>
        <v>25873.577288957753</v>
      </c>
      <c r="H171" s="2">
        <f t="shared" si="137"/>
        <v>40136.613536636418</v>
      </c>
      <c r="I171" s="2">
        <f t="shared" si="137"/>
        <v>55419.284235593288</v>
      </c>
      <c r="J171" s="2">
        <f t="shared" si="137"/>
        <v>71115.253204286026</v>
      </c>
      <c r="K171" s="2">
        <f t="shared" si="137"/>
        <v>86909.992303474224</v>
      </c>
      <c r="L171" s="2">
        <f t="shared" si="137"/>
        <v>102653.682948751</v>
      </c>
      <c r="M171" s="2">
        <f t="shared" si="137"/>
        <v>118282.41580993694</v>
      </c>
      <c r="N171" s="2">
        <f t="shared" si="137"/>
        <v>133775.08184575653</v>
      </c>
      <c r="O171" s="2">
        <f t="shared" si="137"/>
        <v>149130.9818712883</v>
      </c>
      <c r="P171" s="2">
        <f t="shared" si="106"/>
        <v>126069.46072092862</v>
      </c>
      <c r="R171">
        <f t="shared" si="107"/>
        <v>159</v>
      </c>
      <c r="S171" s="2">
        <f t="shared" si="138"/>
        <v>79500</v>
      </c>
      <c r="T171" s="2">
        <f t="shared" si="138"/>
        <v>159000</v>
      </c>
      <c r="U171" s="2">
        <f t="shared" si="138"/>
        <v>238500</v>
      </c>
      <c r="V171" s="2">
        <f t="shared" si="138"/>
        <v>318000</v>
      </c>
      <c r="W171" s="2">
        <f t="shared" si="138"/>
        <v>397500</v>
      </c>
      <c r="X171" s="2">
        <f t="shared" si="138"/>
        <v>477000</v>
      </c>
      <c r="Y171" s="2">
        <f t="shared" si="138"/>
        <v>556500</v>
      </c>
      <c r="Z171" s="2">
        <f t="shared" si="138"/>
        <v>636000</v>
      </c>
      <c r="AA171" s="2">
        <f t="shared" si="108"/>
        <v>715500</v>
      </c>
      <c r="AB171" s="2">
        <f t="shared" si="108"/>
        <v>795000</v>
      </c>
      <c r="AC171" s="2">
        <f t="shared" si="108"/>
        <v>874500</v>
      </c>
      <c r="AD171" s="2">
        <f t="shared" si="108"/>
        <v>954000</v>
      </c>
      <c r="AE171" s="2">
        <f t="shared" si="108"/>
        <v>715500</v>
      </c>
      <c r="AG171">
        <f t="shared" si="109"/>
        <v>159</v>
      </c>
      <c r="AH171" s="6">
        <f t="shared" si="110"/>
        <v>8.949119781910219E-3</v>
      </c>
      <c r="AI171" s="6">
        <f t="shared" si="111"/>
        <v>3.1074244708313044E-2</v>
      </c>
      <c r="AJ171" s="6">
        <f t="shared" si="112"/>
        <v>5.7315403008889605E-2</v>
      </c>
      <c r="AK171" s="6">
        <f t="shared" si="113"/>
        <v>8.1363450594206771E-2</v>
      </c>
      <c r="AL171" s="6">
        <f t="shared" si="114"/>
        <v>0.10097261267078345</v>
      </c>
      <c r="AM171" s="6">
        <f t="shared" si="115"/>
        <v>0.11618298581885385</v>
      </c>
      <c r="AN171" s="6">
        <f t="shared" si="116"/>
        <v>0.12779021240662358</v>
      </c>
      <c r="AO171" s="6">
        <f t="shared" si="117"/>
        <v>0.13665093129477079</v>
      </c>
      <c r="AP171" s="6">
        <f t="shared" si="118"/>
        <v>0.14347125499476029</v>
      </c>
      <c r="AQ171" s="6">
        <f t="shared" si="119"/>
        <v>0.14878291296847412</v>
      </c>
      <c r="AR171" s="6">
        <f t="shared" si="120"/>
        <v>0.15297322109291769</v>
      </c>
      <c r="AS171" s="6">
        <f t="shared" si="121"/>
        <v>0.15632178393216803</v>
      </c>
      <c r="AT171" s="6">
        <f t="shared" si="122"/>
        <v>0.176197708904163</v>
      </c>
      <c r="AW171" s="3">
        <f t="shared" si="131"/>
        <v>3180</v>
      </c>
      <c r="AX171" s="3">
        <f t="shared" si="127"/>
        <v>234</v>
      </c>
      <c r="AY171" s="3">
        <f t="shared" si="128"/>
        <v>744120</v>
      </c>
      <c r="AZ171" s="13">
        <f t="shared" si="129"/>
        <v>0.13004802725874665</v>
      </c>
      <c r="BA171" s="3">
        <f t="shared" si="135"/>
        <v>96771.338043778553</v>
      </c>
      <c r="BB171" s="3">
        <f t="shared" si="136"/>
        <v>96692.149941904441</v>
      </c>
      <c r="BC171" s="3">
        <f t="shared" si="125"/>
        <v>96566.158654848361</v>
      </c>
      <c r="BD171" s="3">
        <f t="shared" si="126"/>
        <v>193471.2</v>
      </c>
    </row>
    <row r="172" spans="3:56" x14ac:dyDescent="0.45">
      <c r="C172">
        <f t="shared" si="105"/>
        <v>160</v>
      </c>
      <c r="D172" s="2">
        <f t="shared" si="137"/>
        <v>711.90438647154724</v>
      </c>
      <c r="E172" s="2">
        <f t="shared" si="137"/>
        <v>4951.6578463754604</v>
      </c>
      <c r="F172" s="2">
        <f t="shared" si="137"/>
        <v>13725.210005244762</v>
      </c>
      <c r="G172" s="2">
        <f t="shared" si="137"/>
        <v>26022.91912054173</v>
      </c>
      <c r="H172" s="2">
        <f t="shared" si="137"/>
        <v>40424.515428915249</v>
      </c>
      <c r="I172" s="2">
        <f t="shared" si="137"/>
        <v>55877.186899313521</v>
      </c>
      <c r="J172" s="2">
        <f t="shared" si="137"/>
        <v>71762.081067219522</v>
      </c>
      <c r="K172" s="2">
        <f t="shared" si="137"/>
        <v>87755.825359611379</v>
      </c>
      <c r="L172" s="2">
        <f t="shared" si="137"/>
        <v>103703.11128419649</v>
      </c>
      <c r="M172" s="2">
        <f t="shared" si="137"/>
        <v>119536.85900569909</v>
      </c>
      <c r="N172" s="2">
        <f t="shared" si="137"/>
        <v>135234.22577773625</v>
      </c>
      <c r="O172" s="2">
        <f t="shared" si="137"/>
        <v>150793.62323907597</v>
      </c>
      <c r="P172" s="2">
        <f t="shared" si="106"/>
        <v>127659.60671518893</v>
      </c>
      <c r="R172">
        <f t="shared" si="107"/>
        <v>160</v>
      </c>
      <c r="S172" s="2">
        <f t="shared" si="138"/>
        <v>80000</v>
      </c>
      <c r="T172" s="2">
        <f t="shared" si="138"/>
        <v>160000</v>
      </c>
      <c r="U172" s="2">
        <f t="shared" si="138"/>
        <v>240000</v>
      </c>
      <c r="V172" s="2">
        <f t="shared" si="138"/>
        <v>320000</v>
      </c>
      <c r="W172" s="2">
        <f t="shared" si="138"/>
        <v>400000</v>
      </c>
      <c r="X172" s="2">
        <f t="shared" si="138"/>
        <v>480000</v>
      </c>
      <c r="Y172" s="2">
        <f t="shared" si="138"/>
        <v>560000</v>
      </c>
      <c r="Z172" s="2">
        <f t="shared" si="138"/>
        <v>640000</v>
      </c>
      <c r="AA172" s="2">
        <f t="shared" si="108"/>
        <v>720000</v>
      </c>
      <c r="AB172" s="2">
        <f t="shared" si="108"/>
        <v>800000</v>
      </c>
      <c r="AC172" s="2">
        <f t="shared" si="108"/>
        <v>880000</v>
      </c>
      <c r="AD172" s="2">
        <f t="shared" si="108"/>
        <v>960000</v>
      </c>
      <c r="AE172" s="2">
        <f t="shared" si="108"/>
        <v>720000</v>
      </c>
      <c r="AG172">
        <f t="shared" si="109"/>
        <v>160</v>
      </c>
      <c r="AH172" s="6">
        <f t="shared" si="110"/>
        <v>8.8988048308943409E-3</v>
      </c>
      <c r="AI172" s="6">
        <f t="shared" si="111"/>
        <v>3.0947861539846626E-2</v>
      </c>
      <c r="AJ172" s="6">
        <f t="shared" si="112"/>
        <v>5.7188375021853179E-2</v>
      </c>
      <c r="AK172" s="6">
        <f t="shared" si="113"/>
        <v>8.1321622251692913E-2</v>
      </c>
      <c r="AL172" s="6">
        <f t="shared" si="114"/>
        <v>0.10106128857228812</v>
      </c>
      <c r="AM172" s="6">
        <f t="shared" si="115"/>
        <v>0.1164108060402365</v>
      </c>
      <c r="AN172" s="6">
        <f t="shared" si="116"/>
        <v>0.12814657333432058</v>
      </c>
      <c r="AO172" s="6">
        <f t="shared" si="117"/>
        <v>0.13711847712439279</v>
      </c>
      <c r="AP172" s="6">
        <f t="shared" si="118"/>
        <v>0.14403209900582847</v>
      </c>
      <c r="AQ172" s="6">
        <f t="shared" si="119"/>
        <v>0.14942107375712388</v>
      </c>
      <c r="AR172" s="6">
        <f t="shared" si="120"/>
        <v>0.15367525656560937</v>
      </c>
      <c r="AS172" s="6">
        <f t="shared" si="121"/>
        <v>0.15707669087403747</v>
      </c>
      <c r="AT172" s="6">
        <f t="shared" si="122"/>
        <v>0.1773050093266513</v>
      </c>
      <c r="AW172" s="3">
        <f t="shared" si="131"/>
        <v>3200</v>
      </c>
      <c r="AX172" s="3">
        <f t="shared" si="127"/>
        <v>235</v>
      </c>
      <c r="AY172" s="3">
        <f t="shared" si="128"/>
        <v>752000</v>
      </c>
      <c r="AZ172" s="13">
        <f t="shared" si="129"/>
        <v>0.13060378558303753</v>
      </c>
      <c r="BA172" s="3">
        <f t="shared" si="135"/>
        <v>98214.046758444223</v>
      </c>
      <c r="BB172" s="3">
        <f t="shared" si="136"/>
        <v>98232.118811801571</v>
      </c>
      <c r="BC172" s="3">
        <f t="shared" si="125"/>
        <v>98202.677625325552</v>
      </c>
      <c r="BD172" s="3">
        <f t="shared" si="126"/>
        <v>196355.55555555556</v>
      </c>
    </row>
    <row r="173" spans="3:56" x14ac:dyDescent="0.45">
      <c r="C173">
        <f t="shared" si="105"/>
        <v>161</v>
      </c>
      <c r="D173" s="2">
        <f t="shared" ref="D173:O182" si="139">$C$7*BL_MBPS*BL_KM^2*D$12^3*$C173^2/((EM_KM*D$12)^2+(2*PI()*AVG_SUN_DIST_KM*$C173)^2)</f>
        <v>712.34595534474079</v>
      </c>
      <c r="E173" s="2">
        <f t="shared" si="139"/>
        <v>4962.3556430285525</v>
      </c>
      <c r="F173" s="2">
        <f t="shared" si="139"/>
        <v>13780.10542417696</v>
      </c>
      <c r="G173" s="2">
        <f t="shared" si="139"/>
        <v>26171.172643769212</v>
      </c>
      <c r="H173" s="2">
        <f t="shared" si="139"/>
        <v>40711.113736882056</v>
      </c>
      <c r="I173" s="2">
        <f t="shared" si="139"/>
        <v>56334.001211679548</v>
      </c>
      <c r="J173" s="2">
        <f t="shared" si="139"/>
        <v>72408.437357641116</v>
      </c>
      <c r="K173" s="2">
        <f t="shared" si="139"/>
        <v>88602.108807822136</v>
      </c>
      <c r="L173" s="2">
        <f t="shared" si="139"/>
        <v>104754.11973650733</v>
      </c>
      <c r="M173" s="2">
        <f t="shared" si="139"/>
        <v>120794.1434394223</v>
      </c>
      <c r="N173" s="2">
        <f t="shared" si="139"/>
        <v>136697.54973900274</v>
      </c>
      <c r="O173" s="2">
        <f t="shared" si="139"/>
        <v>152461.82534692797</v>
      </c>
      <c r="P173" s="2">
        <f t="shared" si="106"/>
        <v>129259.71452851528</v>
      </c>
      <c r="R173">
        <f t="shared" si="107"/>
        <v>161</v>
      </c>
      <c r="S173" s="2">
        <f t="shared" si="138"/>
        <v>80500</v>
      </c>
      <c r="T173" s="2">
        <f t="shared" si="138"/>
        <v>161000</v>
      </c>
      <c r="U173" s="2">
        <f t="shared" si="138"/>
        <v>241500</v>
      </c>
      <c r="V173" s="2">
        <f t="shared" si="138"/>
        <v>322000</v>
      </c>
      <c r="W173" s="2">
        <f t="shared" si="138"/>
        <v>402500</v>
      </c>
      <c r="X173" s="2">
        <f t="shared" si="138"/>
        <v>483000</v>
      </c>
      <c r="Y173" s="2">
        <f t="shared" si="138"/>
        <v>563500</v>
      </c>
      <c r="Z173" s="2">
        <f t="shared" si="138"/>
        <v>644000</v>
      </c>
      <c r="AA173" s="2">
        <f t="shared" si="108"/>
        <v>724500</v>
      </c>
      <c r="AB173" s="2">
        <f t="shared" si="108"/>
        <v>805000</v>
      </c>
      <c r="AC173" s="2">
        <f t="shared" si="108"/>
        <v>885500</v>
      </c>
      <c r="AD173" s="2">
        <f t="shared" si="108"/>
        <v>966000</v>
      </c>
      <c r="AE173" s="2">
        <f t="shared" si="108"/>
        <v>724500</v>
      </c>
      <c r="AG173">
        <f t="shared" si="109"/>
        <v>161</v>
      </c>
      <c r="AH173" s="6">
        <f t="shared" si="110"/>
        <v>8.8490180788166565E-3</v>
      </c>
      <c r="AI173" s="6">
        <f t="shared" si="111"/>
        <v>3.0822084739307781E-2</v>
      </c>
      <c r="AJ173" s="6">
        <f t="shared" si="112"/>
        <v>5.7060477946902527E-2</v>
      </c>
      <c r="AK173" s="6">
        <f t="shared" si="113"/>
        <v>8.1276933676301899E-2</v>
      </c>
      <c r="AL173" s="6">
        <f t="shared" si="114"/>
        <v>0.10114562419101132</v>
      </c>
      <c r="AM173" s="6">
        <f t="shared" si="115"/>
        <v>0.11663354288132412</v>
      </c>
      <c r="AN173" s="6">
        <f t="shared" si="116"/>
        <v>0.12849767055482009</v>
      </c>
      <c r="AO173" s="6">
        <f t="shared" si="117"/>
        <v>0.13758091429786046</v>
      </c>
      <c r="AP173" s="6">
        <f t="shared" si="118"/>
        <v>0.1445881569862075</v>
      </c>
      <c r="AQ173" s="6">
        <f t="shared" si="119"/>
        <v>0.15005483657071095</v>
      </c>
      <c r="AR173" s="6">
        <f t="shared" si="120"/>
        <v>0.15437329163072022</v>
      </c>
      <c r="AS173" s="6">
        <f t="shared" si="121"/>
        <v>0.15782797654961489</v>
      </c>
      <c r="AT173" s="6">
        <f t="shared" si="122"/>
        <v>0.17841230438718464</v>
      </c>
      <c r="AW173" s="3">
        <f t="shared" si="131"/>
        <v>3220</v>
      </c>
      <c r="AX173" s="3">
        <f t="shared" si="127"/>
        <v>236</v>
      </c>
      <c r="AY173" s="3">
        <f t="shared" si="128"/>
        <v>759920</v>
      </c>
      <c r="AZ173" s="13">
        <f t="shared" si="129"/>
        <v>0.13115954390732842</v>
      </c>
      <c r="BA173" s="3">
        <f t="shared" si="135"/>
        <v>99670.760606057011</v>
      </c>
      <c r="BB173" s="3">
        <f t="shared" si="136"/>
        <v>99788.056150786113</v>
      </c>
      <c r="BC173" s="3">
        <f t="shared" si="125"/>
        <v>99856.923907213553</v>
      </c>
      <c r="BD173" s="3">
        <f t="shared" si="126"/>
        <v>199267.91111111111</v>
      </c>
    </row>
    <row r="174" spans="3:56" x14ac:dyDescent="0.45">
      <c r="C174">
        <f t="shared" si="105"/>
        <v>162</v>
      </c>
      <c r="D174" s="2">
        <f t="shared" si="139"/>
        <v>712.77990530867078</v>
      </c>
      <c r="E174" s="2">
        <f t="shared" si="139"/>
        <v>4972.9009918374177</v>
      </c>
      <c r="F174" s="2">
        <f t="shared" si="139"/>
        <v>13834.416119906153</v>
      </c>
      <c r="G174" s="2">
        <f t="shared" si="139"/>
        <v>26318.341173067402</v>
      </c>
      <c r="H174" s="2">
        <f t="shared" si="139"/>
        <v>40996.400719075398</v>
      </c>
      <c r="I174" s="2">
        <f t="shared" si="139"/>
        <v>56789.704543511245</v>
      </c>
      <c r="J174" s="2">
        <f t="shared" si="139"/>
        <v>73054.284996087503</v>
      </c>
      <c r="K174" s="2">
        <f t="shared" si="139"/>
        <v>89448.793691073108</v>
      </c>
      <c r="L174" s="2">
        <f t="shared" si="139"/>
        <v>105806.6505404944</v>
      </c>
      <c r="M174" s="2">
        <f t="shared" si="139"/>
        <v>122054.20531640459</v>
      </c>
      <c r="N174" s="2">
        <f t="shared" si="139"/>
        <v>138164.9861435919</v>
      </c>
      <c r="O174" s="2">
        <f t="shared" si="139"/>
        <v>154135.5185136637</v>
      </c>
      <c r="P174" s="2">
        <f t="shared" si="106"/>
        <v>130869.78411281919</v>
      </c>
      <c r="R174">
        <f t="shared" si="107"/>
        <v>162</v>
      </c>
      <c r="S174" s="2">
        <f t="shared" si="138"/>
        <v>81000</v>
      </c>
      <c r="T174" s="2">
        <f t="shared" si="138"/>
        <v>162000</v>
      </c>
      <c r="U174" s="2">
        <f t="shared" si="138"/>
        <v>243000</v>
      </c>
      <c r="V174" s="2">
        <f t="shared" si="138"/>
        <v>324000</v>
      </c>
      <c r="W174" s="2">
        <f t="shared" si="138"/>
        <v>405000</v>
      </c>
      <c r="X174" s="2">
        <f t="shared" si="138"/>
        <v>486000</v>
      </c>
      <c r="Y174" s="2">
        <f t="shared" si="138"/>
        <v>567000</v>
      </c>
      <c r="Z174" s="2">
        <f t="shared" si="138"/>
        <v>648000</v>
      </c>
      <c r="AA174" s="2">
        <f t="shared" si="108"/>
        <v>729000</v>
      </c>
      <c r="AB174" s="2">
        <f t="shared" si="108"/>
        <v>810000</v>
      </c>
      <c r="AC174" s="2">
        <f t="shared" si="108"/>
        <v>891000</v>
      </c>
      <c r="AD174" s="2">
        <f t="shared" si="108"/>
        <v>972000</v>
      </c>
      <c r="AE174" s="2">
        <f t="shared" si="108"/>
        <v>729000</v>
      </c>
      <c r="AG174">
        <f t="shared" si="109"/>
        <v>162</v>
      </c>
      <c r="AH174" s="6">
        <f t="shared" si="110"/>
        <v>8.799751917390998E-3</v>
      </c>
      <c r="AI174" s="6">
        <f t="shared" si="111"/>
        <v>3.069691970270011E-2</v>
      </c>
      <c r="AJ174" s="6">
        <f t="shared" si="112"/>
        <v>5.693175357986071E-2</v>
      </c>
      <c r="AK174" s="6">
        <f t="shared" si="113"/>
        <v>8.1229448065022844E-2</v>
      </c>
      <c r="AL174" s="6">
        <f t="shared" si="114"/>
        <v>0.10122568078784049</v>
      </c>
      <c r="AM174" s="6">
        <f t="shared" si="115"/>
        <v>0.1168512439166898</v>
      </c>
      <c r="AN174" s="6">
        <f t="shared" si="116"/>
        <v>0.12884353614830246</v>
      </c>
      <c r="AO174" s="6">
        <f t="shared" si="117"/>
        <v>0.13803826186893997</v>
      </c>
      <c r="AP174" s="6">
        <f t="shared" si="118"/>
        <v>0.14513943832715281</v>
      </c>
      <c r="AQ174" s="6">
        <f t="shared" si="119"/>
        <v>0.15068420409432665</v>
      </c>
      <c r="AR174" s="6">
        <f t="shared" si="120"/>
        <v>0.15506732451581581</v>
      </c>
      <c r="AS174" s="6">
        <f t="shared" si="121"/>
        <v>0.15857563633092972</v>
      </c>
      <c r="AT174" s="6">
        <f t="shared" si="122"/>
        <v>0.17951959411909355</v>
      </c>
      <c r="AW174" s="3">
        <f t="shared" si="131"/>
        <v>3240</v>
      </c>
      <c r="AX174" s="3">
        <f t="shared" si="127"/>
        <v>238</v>
      </c>
      <c r="AY174" s="3">
        <f t="shared" si="128"/>
        <v>771120</v>
      </c>
      <c r="AZ174" s="13">
        <f t="shared" si="129"/>
        <v>0.1322710605559102</v>
      </c>
      <c r="BA174" s="3">
        <f t="shared" si="135"/>
        <v>101996.86021587347</v>
      </c>
      <c r="BB174" s="3">
        <f t="shared" si="136"/>
        <v>102002.23824768809</v>
      </c>
      <c r="BC174" s="3">
        <f t="shared" si="125"/>
        <v>101958.28037614825</v>
      </c>
      <c r="BD174" s="3">
        <f t="shared" si="126"/>
        <v>203918.4</v>
      </c>
    </row>
    <row r="175" spans="3:56" x14ac:dyDescent="0.45">
      <c r="C175">
        <f t="shared" si="105"/>
        <v>163</v>
      </c>
      <c r="D175" s="2">
        <f t="shared" si="139"/>
        <v>713.20640754435738</v>
      </c>
      <c r="E175" s="2">
        <f t="shared" si="139"/>
        <v>4983.2965347663749</v>
      </c>
      <c r="F175" s="2">
        <f t="shared" si="139"/>
        <v>13888.148311377576</v>
      </c>
      <c r="G175" s="2">
        <f t="shared" si="139"/>
        <v>26464.428204598549</v>
      </c>
      <c r="H175" s="2">
        <f t="shared" si="139"/>
        <v>41280.36906040187</v>
      </c>
      <c r="I175" s="2">
        <f t="shared" si="139"/>
        <v>57244.274831014576</v>
      </c>
      <c r="J175" s="2">
        <f t="shared" si="139"/>
        <v>73699.587484336094</v>
      </c>
      <c r="K175" s="2">
        <f t="shared" si="139"/>
        <v>90295.831568172231</v>
      </c>
      <c r="L175" s="2">
        <f t="shared" si="139"/>
        <v>106860.6463442182</v>
      </c>
      <c r="M175" s="2">
        <f t="shared" si="139"/>
        <v>123316.98114441529</v>
      </c>
      <c r="N175" s="2">
        <f t="shared" si="139"/>
        <v>139636.46760418543</v>
      </c>
      <c r="O175" s="2">
        <f t="shared" si="139"/>
        <v>155814.63316614032</v>
      </c>
      <c r="P175" s="2">
        <f t="shared" si="106"/>
        <v>132489.81542030993</v>
      </c>
      <c r="R175">
        <f t="shared" si="107"/>
        <v>163</v>
      </c>
      <c r="S175" s="2">
        <f t="shared" si="138"/>
        <v>81500</v>
      </c>
      <c r="T175" s="2">
        <f t="shared" si="138"/>
        <v>163000</v>
      </c>
      <c r="U175" s="2">
        <f t="shared" si="138"/>
        <v>244500</v>
      </c>
      <c r="V175" s="2">
        <f t="shared" si="138"/>
        <v>326000</v>
      </c>
      <c r="W175" s="2">
        <f t="shared" si="138"/>
        <v>407500</v>
      </c>
      <c r="X175" s="2">
        <f t="shared" si="138"/>
        <v>489000</v>
      </c>
      <c r="Y175" s="2">
        <f t="shared" si="138"/>
        <v>570500</v>
      </c>
      <c r="Z175" s="2">
        <f t="shared" si="138"/>
        <v>652000</v>
      </c>
      <c r="AA175" s="2">
        <f t="shared" si="108"/>
        <v>733500</v>
      </c>
      <c r="AB175" s="2">
        <f t="shared" si="108"/>
        <v>815000</v>
      </c>
      <c r="AC175" s="2">
        <f t="shared" si="108"/>
        <v>896500</v>
      </c>
      <c r="AD175" s="2">
        <f t="shared" si="108"/>
        <v>978000</v>
      </c>
      <c r="AE175" s="2">
        <f t="shared" si="108"/>
        <v>733500</v>
      </c>
      <c r="AG175">
        <f t="shared" si="109"/>
        <v>163</v>
      </c>
      <c r="AH175" s="6">
        <f t="shared" si="110"/>
        <v>8.7509988655749375E-3</v>
      </c>
      <c r="AI175" s="6">
        <f t="shared" si="111"/>
        <v>3.0572371378934815E-2</v>
      </c>
      <c r="AJ175" s="6">
        <f t="shared" si="112"/>
        <v>5.6802242582321374E-2</v>
      </c>
      <c r="AK175" s="6">
        <f t="shared" si="113"/>
        <v>8.1179227621467939E-2</v>
      </c>
      <c r="AL175" s="6">
        <f t="shared" si="114"/>
        <v>0.10130151916663035</v>
      </c>
      <c r="AM175" s="6">
        <f t="shared" si="115"/>
        <v>0.11706395670964126</v>
      </c>
      <c r="AN175" s="6">
        <f t="shared" si="116"/>
        <v>0.12918420242653128</v>
      </c>
      <c r="AO175" s="6">
        <f t="shared" si="117"/>
        <v>0.13849053921498808</v>
      </c>
      <c r="AP175" s="6">
        <f t="shared" si="118"/>
        <v>0.1456859527528537</v>
      </c>
      <c r="AQ175" s="6">
        <f t="shared" si="119"/>
        <v>0.15130917931830096</v>
      </c>
      <c r="AR175" s="6">
        <f t="shared" si="120"/>
        <v>0.15575735371353644</v>
      </c>
      <c r="AS175" s="6">
        <f t="shared" si="121"/>
        <v>0.15931966581404941</v>
      </c>
      <c r="AT175" s="6">
        <f t="shared" si="122"/>
        <v>0.18062687855529641</v>
      </c>
      <c r="AW175" s="3">
        <f t="shared" si="131"/>
        <v>3260</v>
      </c>
      <c r="AX175" s="3">
        <f t="shared" si="127"/>
        <v>239</v>
      </c>
      <c r="AY175" s="3">
        <f t="shared" si="128"/>
        <v>779140</v>
      </c>
      <c r="AZ175" s="13">
        <f t="shared" si="129"/>
        <v>0.13282681888020109</v>
      </c>
      <c r="BA175" s="3">
        <f t="shared" si="135"/>
        <v>103490.68766231988</v>
      </c>
      <c r="BB175" s="3">
        <f t="shared" si="136"/>
        <v>103597.67343684637</v>
      </c>
      <c r="BC175" s="3">
        <f t="shared" si="125"/>
        <v>103654.41342535467</v>
      </c>
      <c r="BD175" s="3">
        <f t="shared" si="126"/>
        <v>206904.95555555553</v>
      </c>
    </row>
    <row r="176" spans="3:56" x14ac:dyDescent="0.45">
      <c r="C176">
        <f t="shared" si="105"/>
        <v>164</v>
      </c>
      <c r="D176" s="2">
        <f t="shared" si="139"/>
        <v>713.6256285425012</v>
      </c>
      <c r="E176" s="2">
        <f t="shared" si="139"/>
        <v>4993.5448634166469</v>
      </c>
      <c r="F176" s="2">
        <f t="shared" si="139"/>
        <v>13941.308188904293</v>
      </c>
      <c r="G176" s="2">
        <f t="shared" si="139"/>
        <v>26609.437408763453</v>
      </c>
      <c r="H176" s="2">
        <f t="shared" si="139"/>
        <v>41563.011863190557</v>
      </c>
      <c r="I176" s="2">
        <f t="shared" si="139"/>
        <v>57697.690569528873</v>
      </c>
      <c r="J176" s="2">
        <f t="shared" si="139"/>
        <v>74344.308903160301</v>
      </c>
      <c r="K176" s="2">
        <f t="shared" si="139"/>
        <v>91143.174514967584</v>
      </c>
      <c r="L176" s="2">
        <f t="shared" si="139"/>
        <v>107916.05021251136</v>
      </c>
      <c r="M176" s="2">
        <f t="shared" si="139"/>
        <v>124582.40773852455</v>
      </c>
      <c r="N176" s="2">
        <f t="shared" si="139"/>
        <v>141111.92693751238</v>
      </c>
      <c r="O176" s="2">
        <f t="shared" si="139"/>
        <v>157499.09984475569</v>
      </c>
      <c r="P176" s="2">
        <f t="shared" si="106"/>
        <v>134119.80840349142</v>
      </c>
      <c r="R176">
        <f t="shared" si="107"/>
        <v>164</v>
      </c>
      <c r="S176" s="2">
        <f t="shared" ref="S176:Z185" si="140">$R176*S$12</f>
        <v>82000</v>
      </c>
      <c r="T176" s="2">
        <f t="shared" si="140"/>
        <v>164000</v>
      </c>
      <c r="U176" s="2">
        <f t="shared" si="140"/>
        <v>246000</v>
      </c>
      <c r="V176" s="2">
        <f t="shared" si="140"/>
        <v>328000</v>
      </c>
      <c r="W176" s="2">
        <f t="shared" si="140"/>
        <v>410000</v>
      </c>
      <c r="X176" s="2">
        <f t="shared" si="140"/>
        <v>492000</v>
      </c>
      <c r="Y176" s="2">
        <f t="shared" si="140"/>
        <v>574000</v>
      </c>
      <c r="Z176" s="2">
        <f t="shared" si="140"/>
        <v>656000</v>
      </c>
      <c r="AA176" s="2">
        <f t="shared" si="108"/>
        <v>738000</v>
      </c>
      <c r="AB176" s="2">
        <f t="shared" si="108"/>
        <v>820000</v>
      </c>
      <c r="AC176" s="2">
        <f t="shared" si="108"/>
        <v>902000</v>
      </c>
      <c r="AD176" s="2">
        <f t="shared" si="108"/>
        <v>984000</v>
      </c>
      <c r="AE176" s="2">
        <f t="shared" si="108"/>
        <v>738000</v>
      </c>
      <c r="AG176">
        <f t="shared" si="109"/>
        <v>164</v>
      </c>
      <c r="AH176" s="6">
        <f t="shared" si="110"/>
        <v>8.7027515675914789E-3</v>
      </c>
      <c r="AI176" s="6">
        <f t="shared" si="111"/>
        <v>3.0448444289125895E-2</v>
      </c>
      <c r="AJ176" s="6">
        <f t="shared" si="112"/>
        <v>5.6671984507741031E-2</v>
      </c>
      <c r="AK176" s="6">
        <f t="shared" si="113"/>
        <v>8.1126333563303205E-2</v>
      </c>
      <c r="AL176" s="6">
        <f t="shared" si="114"/>
        <v>0.10137319966631843</v>
      </c>
      <c r="AM176" s="6">
        <f t="shared" si="115"/>
        <v>0.11727172879985544</v>
      </c>
      <c r="AN176" s="6">
        <f t="shared" si="116"/>
        <v>0.12951970192188206</v>
      </c>
      <c r="AO176" s="6">
        <f t="shared" si="117"/>
        <v>0.138937766028914</v>
      </c>
      <c r="AP176" s="6">
        <f t="shared" si="118"/>
        <v>0.14622771031505605</v>
      </c>
      <c r="AQ176" s="6">
        <f t="shared" si="119"/>
        <v>0.15192976553478604</v>
      </c>
      <c r="AR176" s="6">
        <f t="shared" si="120"/>
        <v>0.15644337797950375</v>
      </c>
      <c r="AS176" s="6">
        <f t="shared" si="121"/>
        <v>0.16006006081784116</v>
      </c>
      <c r="AT176" s="6">
        <f t="shared" si="122"/>
        <v>0.18173415772830817</v>
      </c>
      <c r="AW176" s="3">
        <f t="shared" si="131"/>
        <v>3280</v>
      </c>
      <c r="AX176" s="3">
        <f t="shared" si="127"/>
        <v>241</v>
      </c>
      <c r="AY176" s="3">
        <f t="shared" si="128"/>
        <v>790480</v>
      </c>
      <c r="AZ176" s="13">
        <f t="shared" si="129"/>
        <v>0.13393833552878287</v>
      </c>
      <c r="BA176" s="3">
        <f t="shared" si="135"/>
        <v>105875.57546879229</v>
      </c>
      <c r="BB176" s="3">
        <f t="shared" si="136"/>
        <v>105867.60301488434</v>
      </c>
      <c r="BC176" s="3">
        <f t="shared" si="125"/>
        <v>105808.42245446678</v>
      </c>
      <c r="BD176" s="3">
        <f t="shared" si="126"/>
        <v>211672.97777777776</v>
      </c>
    </row>
    <row r="177" spans="3:56" x14ac:dyDescent="0.45">
      <c r="C177">
        <f t="shared" si="105"/>
        <v>165</v>
      </c>
      <c r="D177" s="2">
        <f t="shared" si="139"/>
        <v>714.0377302536881</v>
      </c>
      <c r="E177" s="2">
        <f t="shared" si="139"/>
        <v>5003.6485199462668</v>
      </c>
      <c r="F177" s="2">
        <f t="shared" si="139"/>
        <v>13993.901912204061</v>
      </c>
      <c r="G177" s="2">
        <f t="shared" si="139"/>
        <v>26753.372622896422</v>
      </c>
      <c r="H177" s="2">
        <f t="shared" si="139"/>
        <v>41844.322638327198</v>
      </c>
      <c r="I177" s="2">
        <f t="shared" si="139"/>
        <v>58149.930807213095</v>
      </c>
      <c r="J177" s="2">
        <f t="shared" si="139"/>
        <v>74988.41390994571</v>
      </c>
      <c r="K177" s="2">
        <f t="shared" si="139"/>
        <v>91990.775125389162</v>
      </c>
      <c r="L177" s="2">
        <f t="shared" si="139"/>
        <v>108972.80563035952</v>
      </c>
      <c r="M177" s="2">
        <f t="shared" si="139"/>
        <v>125850.42222581785</v>
      </c>
      <c r="N177" s="2">
        <f t="shared" si="139"/>
        <v>142591.29716966351</v>
      </c>
      <c r="O177" s="2">
        <f t="shared" si="139"/>
        <v>159188.8492088879</v>
      </c>
      <c r="P177" s="2">
        <f t="shared" si="106"/>
        <v>135759.76301515748</v>
      </c>
      <c r="R177">
        <f t="shared" si="107"/>
        <v>165</v>
      </c>
      <c r="S177" s="2">
        <f t="shared" si="140"/>
        <v>82500</v>
      </c>
      <c r="T177" s="2">
        <f t="shared" si="140"/>
        <v>165000</v>
      </c>
      <c r="U177" s="2">
        <f t="shared" si="140"/>
        <v>247500</v>
      </c>
      <c r="V177" s="2">
        <f t="shared" si="140"/>
        <v>330000</v>
      </c>
      <c r="W177" s="2">
        <f t="shared" si="140"/>
        <v>412500</v>
      </c>
      <c r="X177" s="2">
        <f t="shared" si="140"/>
        <v>495000</v>
      </c>
      <c r="Y177" s="2">
        <f t="shared" si="140"/>
        <v>577500</v>
      </c>
      <c r="Z177" s="2">
        <f t="shared" si="140"/>
        <v>660000</v>
      </c>
      <c r="AA177" s="2">
        <f t="shared" si="108"/>
        <v>742500</v>
      </c>
      <c r="AB177" s="2">
        <f t="shared" si="108"/>
        <v>825000</v>
      </c>
      <c r="AC177" s="2">
        <f t="shared" si="108"/>
        <v>907500</v>
      </c>
      <c r="AD177" s="2">
        <f t="shared" si="108"/>
        <v>990000</v>
      </c>
      <c r="AE177" s="2">
        <f t="shared" si="108"/>
        <v>742500</v>
      </c>
      <c r="AG177">
        <f t="shared" si="109"/>
        <v>165</v>
      </c>
      <c r="AH177" s="6">
        <f t="shared" si="110"/>
        <v>8.6550027909537957E-3</v>
      </c>
      <c r="AI177" s="6">
        <f t="shared" si="111"/>
        <v>3.0325142545128889E-2</v>
      </c>
      <c r="AJ177" s="6">
        <f t="shared" si="112"/>
        <v>5.6541017827087113E-2</v>
      </c>
      <c r="AK177" s="6">
        <f t="shared" si="113"/>
        <v>8.1070826129989157E-2</v>
      </c>
      <c r="AL177" s="6">
        <f t="shared" si="114"/>
        <v>0.10144078215352048</v>
      </c>
      <c r="AM177" s="6">
        <f t="shared" si="115"/>
        <v>0.11747460769133959</v>
      </c>
      <c r="AN177" s="6">
        <f t="shared" si="116"/>
        <v>0.12985006737652938</v>
      </c>
      <c r="AO177" s="6">
        <f t="shared" si="117"/>
        <v>0.1393799623111957</v>
      </c>
      <c r="AP177" s="6">
        <f t="shared" si="118"/>
        <v>0.14676472138768959</v>
      </c>
      <c r="AQ177" s="6">
        <f t="shared" si="119"/>
        <v>0.15254596633432466</v>
      </c>
      <c r="AR177" s="6">
        <f t="shared" si="120"/>
        <v>0.15712539633020772</v>
      </c>
      <c r="AS177" s="6">
        <f t="shared" si="121"/>
        <v>0.16079681738271506</v>
      </c>
      <c r="AT177" s="6">
        <f t="shared" si="122"/>
        <v>0.18284143167024577</v>
      </c>
      <c r="AW177" s="3">
        <f t="shared" si="131"/>
        <v>3300</v>
      </c>
      <c r="AX177" s="3">
        <f t="shared" si="127"/>
        <v>242</v>
      </c>
      <c r="AY177" s="3">
        <f t="shared" si="128"/>
        <v>798600</v>
      </c>
      <c r="AZ177" s="13">
        <f t="shared" si="129"/>
        <v>0.13449409385307376</v>
      </c>
      <c r="BA177" s="3">
        <f t="shared" si="135"/>
        <v>107406.9833510647</v>
      </c>
      <c r="BB177" s="3">
        <f t="shared" si="136"/>
        <v>107503.03109238135</v>
      </c>
      <c r="BC177" s="3">
        <f t="shared" si="125"/>
        <v>107546.96587096959</v>
      </c>
      <c r="BD177" s="3">
        <f t="shared" si="126"/>
        <v>214734.66666666666</v>
      </c>
    </row>
    <row r="178" spans="3:56" x14ac:dyDescent="0.45">
      <c r="C178">
        <f t="shared" si="105"/>
        <v>166</v>
      </c>
      <c r="D178" s="2">
        <f t="shared" si="139"/>
        <v>714.44287023314098</v>
      </c>
      <c r="E178" s="2">
        <f t="shared" si="139"/>
        <v>5013.6099979803821</v>
      </c>
      <c r="F178" s="2">
        <f t="shared" si="139"/>
        <v>14045.935608556083</v>
      </c>
      <c r="G178" s="2">
        <f t="shared" si="139"/>
        <v>26896.237844149084</v>
      </c>
      <c r="H178" s="2">
        <f t="shared" si="139"/>
        <v>42124.295296471428</v>
      </c>
      <c r="I178" s="2">
        <f t="shared" si="139"/>
        <v>58600.975138676484</v>
      </c>
      <c r="J178" s="2">
        <f t="shared" si="139"/>
        <v>75631.867736171</v>
      </c>
      <c r="K178" s="2">
        <f t="shared" si="139"/>
        <v>92838.586512336085</v>
      </c>
      <c r="L178" s="2">
        <f t="shared" si="139"/>
        <v>110030.85650614164</v>
      </c>
      <c r="M178" s="2">
        <f t="shared" si="139"/>
        <v>127120.96204999639</v>
      </c>
      <c r="N178" s="2">
        <f t="shared" si="139"/>
        <v>144074.51154131803</v>
      </c>
      <c r="O178" s="2">
        <f t="shared" si="139"/>
        <v>160883.81204227067</v>
      </c>
      <c r="P178" s="2">
        <f t="shared" si="106"/>
        <v>137409.6792083903</v>
      </c>
      <c r="R178">
        <f t="shared" si="107"/>
        <v>166</v>
      </c>
      <c r="S178" s="2">
        <f t="shared" si="140"/>
        <v>83000</v>
      </c>
      <c r="T178" s="2">
        <f t="shared" si="140"/>
        <v>166000</v>
      </c>
      <c r="U178" s="2">
        <f t="shared" si="140"/>
        <v>249000</v>
      </c>
      <c r="V178" s="2">
        <f t="shared" si="140"/>
        <v>332000</v>
      </c>
      <c r="W178" s="2">
        <f t="shared" si="140"/>
        <v>415000</v>
      </c>
      <c r="X178" s="2">
        <f t="shared" si="140"/>
        <v>498000</v>
      </c>
      <c r="Y178" s="2">
        <f t="shared" si="140"/>
        <v>581000</v>
      </c>
      <c r="Z178" s="2">
        <f t="shared" si="140"/>
        <v>664000</v>
      </c>
      <c r="AA178" s="2">
        <f t="shared" si="108"/>
        <v>747000</v>
      </c>
      <c r="AB178" s="2">
        <f t="shared" si="108"/>
        <v>830000</v>
      </c>
      <c r="AC178" s="2">
        <f t="shared" si="108"/>
        <v>913000</v>
      </c>
      <c r="AD178" s="2">
        <f t="shared" si="108"/>
        <v>996000</v>
      </c>
      <c r="AE178" s="2">
        <f t="shared" si="108"/>
        <v>747000</v>
      </c>
      <c r="AG178">
        <f t="shared" si="109"/>
        <v>166</v>
      </c>
      <c r="AH178" s="6">
        <f t="shared" si="110"/>
        <v>8.6077454244956747E-3</v>
      </c>
      <c r="AI178" s="6">
        <f t="shared" si="111"/>
        <v>3.02024698673517E-2</v>
      </c>
      <c r="AJ178" s="6">
        <f t="shared" si="112"/>
        <v>5.6409379954040495E-2</v>
      </c>
      <c r="AK178" s="6">
        <f t="shared" si="113"/>
        <v>8.1012764590810499E-2</v>
      </c>
      <c r="AL178" s="6">
        <f t="shared" si="114"/>
        <v>0.1015043260155938</v>
      </c>
      <c r="AM178" s="6">
        <f t="shared" si="115"/>
        <v>0.11767264084071583</v>
      </c>
      <c r="AN178" s="6">
        <f t="shared" si="116"/>
        <v>0.13017533173179174</v>
      </c>
      <c r="AO178" s="6">
        <f t="shared" si="117"/>
        <v>0.13981714836195194</v>
      </c>
      <c r="AP178" s="6">
        <f t="shared" si="118"/>
        <v>0.14729699666150153</v>
      </c>
      <c r="AQ178" s="6">
        <f t="shared" si="119"/>
        <v>0.15315778560240528</v>
      </c>
      <c r="AR178" s="6">
        <f t="shared" si="120"/>
        <v>0.15780340804087409</v>
      </c>
      <c r="AS178" s="6">
        <f t="shared" si="121"/>
        <v>0.16152993176934807</v>
      </c>
      <c r="AT178" s="6">
        <f t="shared" si="122"/>
        <v>0.18394870041283842</v>
      </c>
      <c r="AW178" s="3">
        <f t="shared" si="131"/>
        <v>3320</v>
      </c>
      <c r="AX178" s="3">
        <f t="shared" si="127"/>
        <v>244</v>
      </c>
      <c r="AY178" s="3">
        <f t="shared" si="128"/>
        <v>810080</v>
      </c>
      <c r="AZ178" s="13">
        <f t="shared" si="129"/>
        <v>0.13560561050165554</v>
      </c>
      <c r="BA178" s="3">
        <f t="shared" si="135"/>
        <v>109851.39295518112</v>
      </c>
      <c r="BB178" s="3">
        <f t="shared" si="136"/>
        <v>109829.40120483382</v>
      </c>
      <c r="BC178" s="3">
        <f t="shared" si="125"/>
        <v>109754.27890407946</v>
      </c>
      <c r="BD178" s="3">
        <f t="shared" si="126"/>
        <v>219621.68888888889</v>
      </c>
    </row>
    <row r="179" spans="3:56" x14ac:dyDescent="0.45">
      <c r="C179">
        <f t="shared" si="105"/>
        <v>167</v>
      </c>
      <c r="D179" s="2">
        <f t="shared" si="139"/>
        <v>714.84120178024114</v>
      </c>
      <c r="E179" s="2">
        <f t="shared" si="139"/>
        <v>5023.431743511499</v>
      </c>
      <c r="F179" s="2">
        <f t="shared" si="139"/>
        <v>14097.415371072684</v>
      </c>
      <c r="G179" s="2">
        <f t="shared" si="139"/>
        <v>27038.037222560422</v>
      </c>
      <c r="H179" s="2">
        <f t="shared" si="139"/>
        <v>42402.924139359784</v>
      </c>
      <c r="I179" s="2">
        <f t="shared" si="139"/>
        <v>59050.803698558746</v>
      </c>
      <c r="J179" s="2">
        <f t="shared" si="139"/>
        <v>76274.636184758565</v>
      </c>
      <c r="K179" s="2">
        <f t="shared" si="139"/>
        <v>93686.562308412453</v>
      </c>
      <c r="L179" s="2">
        <f t="shared" si="139"/>
        <v>111090.1471747313</v>
      </c>
      <c r="M179" s="2">
        <f t="shared" si="139"/>
        <v>128393.96497586314</v>
      </c>
      <c r="N179" s="2">
        <f t="shared" si="139"/>
        <v>145561.50351288298</v>
      </c>
      <c r="O179" s="2">
        <f t="shared" si="139"/>
        <v>162583.91925830409</v>
      </c>
      <c r="P179" s="2">
        <f t="shared" si="106"/>
        <v>139069.55693655467</v>
      </c>
      <c r="R179">
        <f t="shared" si="107"/>
        <v>167</v>
      </c>
      <c r="S179" s="2">
        <f t="shared" si="140"/>
        <v>83500</v>
      </c>
      <c r="T179" s="2">
        <f t="shared" si="140"/>
        <v>167000</v>
      </c>
      <c r="U179" s="2">
        <f t="shared" si="140"/>
        <v>250500</v>
      </c>
      <c r="V179" s="2">
        <f t="shared" si="140"/>
        <v>334000</v>
      </c>
      <c r="W179" s="2">
        <f t="shared" si="140"/>
        <v>417500</v>
      </c>
      <c r="X179" s="2">
        <f t="shared" si="140"/>
        <v>501000</v>
      </c>
      <c r="Y179" s="2">
        <f t="shared" si="140"/>
        <v>584500</v>
      </c>
      <c r="Z179" s="2">
        <f t="shared" si="140"/>
        <v>668000</v>
      </c>
      <c r="AA179" s="2">
        <f t="shared" si="108"/>
        <v>751500</v>
      </c>
      <c r="AB179" s="2">
        <f t="shared" si="108"/>
        <v>835000</v>
      </c>
      <c r="AC179" s="2">
        <f t="shared" si="108"/>
        <v>918500</v>
      </c>
      <c r="AD179" s="2">
        <f t="shared" si="108"/>
        <v>1002000</v>
      </c>
      <c r="AE179" s="2">
        <f t="shared" si="108"/>
        <v>751500</v>
      </c>
      <c r="AG179">
        <f t="shared" si="109"/>
        <v>167</v>
      </c>
      <c r="AH179" s="6">
        <f t="shared" si="110"/>
        <v>8.5609724764100729E-3</v>
      </c>
      <c r="AI179" s="6">
        <f t="shared" si="111"/>
        <v>3.0080429601865265E-2</v>
      </c>
      <c r="AJ179" s="6">
        <f t="shared" si="112"/>
        <v>5.6277107269751235E-2</v>
      </c>
      <c r="AK179" s="6">
        <f t="shared" si="113"/>
        <v>8.0952207253174924E-2</v>
      </c>
      <c r="AL179" s="6">
        <f t="shared" si="114"/>
        <v>0.10156389015415516</v>
      </c>
      <c r="AM179" s="6">
        <f t="shared" si="115"/>
        <v>0.11786587564582585</v>
      </c>
      <c r="AN179" s="6">
        <f t="shared" si="116"/>
        <v>0.13049552811763654</v>
      </c>
      <c r="AO179" s="6">
        <f t="shared" si="117"/>
        <v>0.14024934477307252</v>
      </c>
      <c r="AP179" s="6">
        <f t="shared" si="118"/>
        <v>0.14782454713869767</v>
      </c>
      <c r="AQ179" s="6">
        <f t="shared" si="119"/>
        <v>0.15376522751600377</v>
      </c>
      <c r="AR179" s="6">
        <f t="shared" si="120"/>
        <v>0.158477412643313</v>
      </c>
      <c r="AS179" s="6">
        <f t="shared" si="121"/>
        <v>0.16225940045738932</v>
      </c>
      <c r="AT179" s="6">
        <f t="shared" si="122"/>
        <v>0.18505596398743135</v>
      </c>
      <c r="AW179" s="3">
        <f t="shared" si="131"/>
        <v>3340</v>
      </c>
      <c r="AX179" s="3">
        <f t="shared" si="127"/>
        <v>245</v>
      </c>
      <c r="AY179" s="3">
        <f t="shared" si="128"/>
        <v>818300</v>
      </c>
      <c r="AZ179" s="13">
        <f t="shared" si="129"/>
        <v>0.13616136882594645</v>
      </c>
      <c r="BA179" s="3">
        <f t="shared" si="135"/>
        <v>111420.84811027198</v>
      </c>
      <c r="BB179" s="3">
        <f t="shared" si="136"/>
        <v>111505.3172088328</v>
      </c>
      <c r="BC179" s="3">
        <f t="shared" si="125"/>
        <v>111535.75628783308</v>
      </c>
      <c r="BD179" s="3">
        <f t="shared" si="126"/>
        <v>222759.44444444444</v>
      </c>
    </row>
    <row r="180" spans="3:56" x14ac:dyDescent="0.45">
      <c r="C180">
        <f t="shared" si="105"/>
        <v>168</v>
      </c>
      <c r="D180" s="2">
        <f t="shared" si="139"/>
        <v>715.23287407302234</v>
      </c>
      <c r="E180" s="2">
        <f t="shared" si="139"/>
        <v>5033.1161557891919</v>
      </c>
      <c r="F180" s="2">
        <f t="shared" si="139"/>
        <v>14148.347257081143</v>
      </c>
      <c r="G180" s="2">
        <f t="shared" si="139"/>
        <v>27178.77505431015</v>
      </c>
      <c r="H180" s="2">
        <f t="shared" si="139"/>
        <v>42680.203851197497</v>
      </c>
      <c r="I180" s="2">
        <f t="shared" si="139"/>
        <v>59499.397155064791</v>
      </c>
      <c r="J180" s="2">
        <f t="shared" si="139"/>
        <v>76916.685627299041</v>
      </c>
      <c r="K180" s="2">
        <f t="shared" si="139"/>
        <v>94534.656666514187</v>
      </c>
      <c r="L180" s="2">
        <f t="shared" si="139"/>
        <v>112150.6224004603</v>
      </c>
      <c r="M180" s="2">
        <f t="shared" si="139"/>
        <v>129669.36909369583</v>
      </c>
      <c r="N180" s="2">
        <f t="shared" si="139"/>
        <v>147052.20676954495</v>
      </c>
      <c r="O180" s="2">
        <f t="shared" si="139"/>
        <v>164289.10190530101</v>
      </c>
      <c r="P180" s="2">
        <f t="shared" si="106"/>
        <v>140739.39615329646</v>
      </c>
      <c r="R180">
        <f t="shared" si="107"/>
        <v>168</v>
      </c>
      <c r="S180" s="2">
        <f t="shared" si="140"/>
        <v>84000</v>
      </c>
      <c r="T180" s="2">
        <f t="shared" si="140"/>
        <v>168000</v>
      </c>
      <c r="U180" s="2">
        <f t="shared" si="140"/>
        <v>252000</v>
      </c>
      <c r="V180" s="2">
        <f t="shared" si="140"/>
        <v>336000</v>
      </c>
      <c r="W180" s="2">
        <f t="shared" si="140"/>
        <v>420000</v>
      </c>
      <c r="X180" s="2">
        <f t="shared" si="140"/>
        <v>504000</v>
      </c>
      <c r="Y180" s="2">
        <f t="shared" si="140"/>
        <v>588000</v>
      </c>
      <c r="Z180" s="2">
        <f t="shared" si="140"/>
        <v>672000</v>
      </c>
      <c r="AA180" s="2">
        <f t="shared" si="108"/>
        <v>756000</v>
      </c>
      <c r="AB180" s="2">
        <f t="shared" si="108"/>
        <v>840000</v>
      </c>
      <c r="AC180" s="2">
        <f t="shared" si="108"/>
        <v>924000</v>
      </c>
      <c r="AD180" s="2">
        <f t="shared" si="108"/>
        <v>1008000</v>
      </c>
      <c r="AE180" s="2">
        <f t="shared" si="108"/>
        <v>756000</v>
      </c>
      <c r="AG180">
        <f t="shared" si="109"/>
        <v>168</v>
      </c>
      <c r="AH180" s="6">
        <f t="shared" si="110"/>
        <v>8.5146770722978847E-3</v>
      </c>
      <c r="AI180" s="6">
        <f t="shared" si="111"/>
        <v>2.995902473684043E-2</v>
      </c>
      <c r="AJ180" s="6">
        <f t="shared" si="112"/>
        <v>5.6144235147147392E-2</v>
      </c>
      <c r="AK180" s="6">
        <f t="shared" si="113"/>
        <v>8.0889211471161154E-2</v>
      </c>
      <c r="AL180" s="6">
        <f t="shared" si="114"/>
        <v>0.10161953297904167</v>
      </c>
      <c r="AM180" s="6">
        <f t="shared" si="115"/>
        <v>0.11805435943465237</v>
      </c>
      <c r="AN180" s="6">
        <f t="shared" si="116"/>
        <v>0.13081068984234531</v>
      </c>
      <c r="AO180" s="6">
        <f t="shared" si="117"/>
        <v>0.14067657242040801</v>
      </c>
      <c r="AP180" s="6">
        <f t="shared" si="118"/>
        <v>0.14834738412759299</v>
      </c>
      <c r="AQ180" s="6">
        <f t="shared" si="119"/>
        <v>0.15436829654011408</v>
      </c>
      <c r="AR180" s="6">
        <f t="shared" si="120"/>
        <v>0.15914740992374996</v>
      </c>
      <c r="AS180" s="6">
        <f t="shared" si="121"/>
        <v>0.16298522014414782</v>
      </c>
      <c r="AT180" s="6">
        <f t="shared" si="122"/>
        <v>0.18616322242499531</v>
      </c>
      <c r="AW180" s="3">
        <f t="shared" si="131"/>
        <v>3360</v>
      </c>
      <c r="AX180" s="3">
        <f t="shared" si="127"/>
        <v>247</v>
      </c>
      <c r="AY180" s="3">
        <f t="shared" si="128"/>
        <v>829920</v>
      </c>
      <c r="AZ180" s="13">
        <f t="shared" si="129"/>
        <v>0.13727288547452823</v>
      </c>
      <c r="BA180" s="3">
        <f t="shared" si="135"/>
        <v>113925.51311302047</v>
      </c>
      <c r="BB180" s="3">
        <f t="shared" si="136"/>
        <v>113888.82090898171</v>
      </c>
      <c r="BC180" s="3">
        <f t="shared" si="125"/>
        <v>113797.0247687871</v>
      </c>
      <c r="BD180" s="3">
        <f t="shared" si="126"/>
        <v>227766.93333333332</v>
      </c>
    </row>
    <row r="181" spans="3:56" x14ac:dyDescent="0.45">
      <c r="C181">
        <f t="shared" si="105"/>
        <v>169</v>
      </c>
      <c r="D181" s="2">
        <f t="shared" si="139"/>
        <v>715.61803229784334</v>
      </c>
      <c r="E181" s="2">
        <f t="shared" si="139"/>
        <v>5042.6655881989291</v>
      </c>
      <c r="F181" s="2">
        <f t="shared" si="139"/>
        <v>14198.73728661112</v>
      </c>
      <c r="G181" s="2">
        <f t="shared" si="139"/>
        <v>27318.455775152685</v>
      </c>
      <c r="H181" s="2">
        <f t="shared" si="139"/>
        <v>42956.129490141117</v>
      </c>
      <c r="I181" s="2">
        <f t="shared" si="139"/>
        <v>59946.736703458933</v>
      </c>
      <c r="J181" s="2">
        <f t="shared" si="139"/>
        <v>77557.983001153785</v>
      </c>
      <c r="K181" s="2">
        <f t="shared" si="139"/>
        <v>95382.824260269961</v>
      </c>
      <c r="L181" s="2">
        <f t="shared" si="139"/>
        <v>113212.22737994576</v>
      </c>
      <c r="M181" s="2">
        <f t="shared" si="139"/>
        <v>130947.11282350647</v>
      </c>
      <c r="N181" s="2">
        <f t="shared" si="139"/>
        <v>148546.55522623422</v>
      </c>
      <c r="O181" s="2">
        <f t="shared" si="139"/>
        <v>165999.29117166795</v>
      </c>
      <c r="P181" s="2">
        <f t="shared" si="106"/>
        <v>142419.19681253852</v>
      </c>
      <c r="R181">
        <f t="shared" si="107"/>
        <v>169</v>
      </c>
      <c r="S181" s="2">
        <f t="shared" si="140"/>
        <v>84500</v>
      </c>
      <c r="T181" s="2">
        <f t="shared" si="140"/>
        <v>169000</v>
      </c>
      <c r="U181" s="2">
        <f t="shared" si="140"/>
        <v>253500</v>
      </c>
      <c r="V181" s="2">
        <f t="shared" si="140"/>
        <v>338000</v>
      </c>
      <c r="W181" s="2">
        <f t="shared" si="140"/>
        <v>422500</v>
      </c>
      <c r="X181" s="2">
        <f t="shared" si="140"/>
        <v>507000</v>
      </c>
      <c r="Y181" s="2">
        <f t="shared" si="140"/>
        <v>591500</v>
      </c>
      <c r="Z181" s="2">
        <f t="shared" si="140"/>
        <v>676000</v>
      </c>
      <c r="AA181" s="2">
        <f t="shared" ref="AA181:AE190" si="141">$R181*AA$12</f>
        <v>760500</v>
      </c>
      <c r="AB181" s="2">
        <f t="shared" si="141"/>
        <v>845000</v>
      </c>
      <c r="AC181" s="2">
        <f t="shared" si="141"/>
        <v>929500</v>
      </c>
      <c r="AD181" s="2">
        <f t="shared" si="141"/>
        <v>1014000</v>
      </c>
      <c r="AE181" s="2">
        <f t="shared" si="141"/>
        <v>760500</v>
      </c>
      <c r="AG181">
        <f t="shared" si="109"/>
        <v>169</v>
      </c>
      <c r="AH181" s="6">
        <f t="shared" si="110"/>
        <v>8.4688524532289151E-3</v>
      </c>
      <c r="AI181" s="6">
        <f t="shared" si="111"/>
        <v>2.9838257918336858E-2</v>
      </c>
      <c r="AJ181" s="6">
        <f t="shared" si="112"/>
        <v>5.601079797479732E-2</v>
      </c>
      <c r="AK181" s="6">
        <f t="shared" si="113"/>
        <v>8.0823833654297877E-2</v>
      </c>
      <c r="AL181" s="6">
        <f t="shared" si="114"/>
        <v>0.10167131240270087</v>
      </c>
      <c r="AM181" s="6">
        <f t="shared" si="115"/>
        <v>0.11823813945455411</v>
      </c>
      <c r="AN181" s="6">
        <f t="shared" si="116"/>
        <v>0.13112085038233945</v>
      </c>
      <c r="AO181" s="6">
        <f t="shared" si="117"/>
        <v>0.14109885245602066</v>
      </c>
      <c r="AP181" s="6">
        <f t="shared" si="118"/>
        <v>0.14886551923727254</v>
      </c>
      <c r="AQ181" s="6">
        <f t="shared" si="119"/>
        <v>0.154966997424268</v>
      </c>
      <c r="AR181" s="6">
        <f t="shared" si="120"/>
        <v>0.15981339992063928</v>
      </c>
      <c r="AS181" s="6">
        <f t="shared" si="121"/>
        <v>0.16370738774326227</v>
      </c>
      <c r="AT181" s="6">
        <f t="shared" si="122"/>
        <v>0.18727047575613218</v>
      </c>
      <c r="AW181" s="3">
        <f t="shared" si="131"/>
        <v>3380</v>
      </c>
      <c r="AX181" s="3">
        <f t="shared" si="127"/>
        <v>248</v>
      </c>
      <c r="AY181" s="3">
        <f t="shared" si="128"/>
        <v>838240</v>
      </c>
      <c r="AZ181" s="13">
        <f t="shared" si="129"/>
        <v>0.13782864379881912</v>
      </c>
      <c r="BA181" s="3">
        <f t="shared" si="135"/>
        <v>115533.48237792215</v>
      </c>
      <c r="BB181" s="3">
        <f t="shared" si="136"/>
        <v>115605.71987764293</v>
      </c>
      <c r="BC181" s="3">
        <f t="shared" si="125"/>
        <v>115621.95971972356</v>
      </c>
      <c r="BD181" s="3">
        <f t="shared" si="126"/>
        <v>230981.68888888889</v>
      </c>
    </row>
    <row r="182" spans="3:56" x14ac:dyDescent="0.45">
      <c r="C182">
        <f t="shared" si="105"/>
        <v>170</v>
      </c>
      <c r="D182" s="2">
        <f t="shared" si="139"/>
        <v>715.99681777442811</v>
      </c>
      <c r="E182" s="2">
        <f t="shared" si="139"/>
        <v>5052.0823491296651</v>
      </c>
      <c r="F182" s="2">
        <f t="shared" si="139"/>
        <v>14248.591440983202</v>
      </c>
      <c r="G182" s="2">
        <f t="shared" si="139"/>
        <v>27457.083954028833</v>
      </c>
      <c r="H182" s="2">
        <f t="shared" si="139"/>
        <v>43230.696479874779</v>
      </c>
      <c r="I182" s="2">
        <f t="shared" si="139"/>
        <v>60392.804059523194</v>
      </c>
      <c r="J182" s="2">
        <f t="shared" si="139"/>
        <v>78198.495806440056</v>
      </c>
      <c r="K182" s="2">
        <f t="shared" si="139"/>
        <v>96231.020284338854</v>
      </c>
      <c r="L182" s="2">
        <f t="shared" si="139"/>
        <v>114274.90774478253</v>
      </c>
      <c r="M182" s="2">
        <f t="shared" si="139"/>
        <v>132227.13491918877</v>
      </c>
      <c r="N182" s="2">
        <f t="shared" si="139"/>
        <v>150044.48303250122</v>
      </c>
      <c r="O182" s="2">
        <f t="shared" si="139"/>
        <v>167714.41839102117</v>
      </c>
      <c r="P182" s="2">
        <f t="shared" si="106"/>
        <v>144108.95886847668</v>
      </c>
      <c r="R182">
        <f t="shared" si="107"/>
        <v>170</v>
      </c>
      <c r="S182" s="2">
        <f t="shared" si="140"/>
        <v>85000</v>
      </c>
      <c r="T182" s="2">
        <f t="shared" si="140"/>
        <v>170000</v>
      </c>
      <c r="U182" s="2">
        <f t="shared" si="140"/>
        <v>255000</v>
      </c>
      <c r="V182" s="2">
        <f t="shared" si="140"/>
        <v>340000</v>
      </c>
      <c r="W182" s="2">
        <f t="shared" si="140"/>
        <v>425000</v>
      </c>
      <c r="X182" s="2">
        <f t="shared" si="140"/>
        <v>510000</v>
      </c>
      <c r="Y182" s="2">
        <f t="shared" si="140"/>
        <v>595000</v>
      </c>
      <c r="Z182" s="2">
        <f t="shared" si="140"/>
        <v>680000</v>
      </c>
      <c r="AA182" s="2">
        <f t="shared" si="141"/>
        <v>765000</v>
      </c>
      <c r="AB182" s="2">
        <f t="shared" si="141"/>
        <v>850000</v>
      </c>
      <c r="AC182" s="2">
        <f t="shared" si="141"/>
        <v>935000</v>
      </c>
      <c r="AD182" s="2">
        <f t="shared" si="141"/>
        <v>1020000</v>
      </c>
      <c r="AE182" s="2">
        <f t="shared" si="141"/>
        <v>765000</v>
      </c>
      <c r="AG182">
        <f t="shared" si="109"/>
        <v>170</v>
      </c>
      <c r="AH182" s="6">
        <f t="shared" si="110"/>
        <v>8.4234919738168015E-3</v>
      </c>
      <c r="AI182" s="6">
        <f t="shared" si="111"/>
        <v>2.9718131465468617E-2</v>
      </c>
      <c r="AJ182" s="6">
        <f t="shared" si="112"/>
        <v>5.5876829180326285E-2</v>
      </c>
      <c r="AK182" s="6">
        <f t="shared" si="113"/>
        <v>8.0756129276555386E-2</v>
      </c>
      <c r="AL182" s="6">
        <f t="shared" si="114"/>
        <v>0.10171928583499948</v>
      </c>
      <c r="AM182" s="6">
        <f t="shared" si="115"/>
        <v>0.11841726286181019</v>
      </c>
      <c r="AN182" s="6">
        <f t="shared" si="116"/>
        <v>0.13142604337216815</v>
      </c>
      <c r="AO182" s="6">
        <f t="shared" si="117"/>
        <v>0.14151620630049833</v>
      </c>
      <c r="AP182" s="6">
        <f t="shared" si="118"/>
        <v>0.14937896437226475</v>
      </c>
      <c r="AQ182" s="6">
        <f t="shared" si="119"/>
        <v>0.15556133519904561</v>
      </c>
      <c r="AR182" s="6">
        <f t="shared" si="120"/>
        <v>0.16047538292246119</v>
      </c>
      <c r="AS182" s="6">
        <f t="shared" si="121"/>
        <v>0.16442590038335408</v>
      </c>
      <c r="AT182" s="6">
        <f t="shared" si="122"/>
        <v>0.18837772401108063</v>
      </c>
      <c r="AW182" s="3">
        <f t="shared" si="131"/>
        <v>3400</v>
      </c>
      <c r="AX182" s="3">
        <f t="shared" si="127"/>
        <v>250</v>
      </c>
      <c r="AY182" s="3">
        <f t="shared" si="128"/>
        <v>850000</v>
      </c>
      <c r="AZ182" s="13">
        <f t="shared" si="129"/>
        <v>0.1389401604474009</v>
      </c>
      <c r="BA182" s="3">
        <f t="shared" si="135"/>
        <v>118099.13638029077</v>
      </c>
      <c r="BB182" s="3">
        <f t="shared" si="136"/>
        <v>118047.0502187716</v>
      </c>
      <c r="BC182" s="3">
        <f t="shared" si="125"/>
        <v>117937.83509239304</v>
      </c>
      <c r="BD182" s="3">
        <f t="shared" si="126"/>
        <v>236111.11111111109</v>
      </c>
    </row>
    <row r="183" spans="3:56" x14ac:dyDescent="0.45">
      <c r="C183">
        <f t="shared" si="105"/>
        <v>171</v>
      </c>
      <c r="D183" s="2">
        <f t="shared" ref="D183:O192" si="142">$C$7*BL_MBPS*BL_KM^2*D$12^3*$C183^2/((EM_KM*D$12)^2+(2*PI()*AVG_SUN_DIST_KM*$C183)^2)</f>
        <v>716.36936807645725</v>
      </c>
      <c r="E183" s="2">
        <f t="shared" si="142"/>
        <v>5061.3687028299009</v>
      </c>
      <c r="F183" s="2">
        <f t="shared" si="142"/>
        <v>14297.915661494262</v>
      </c>
      <c r="G183" s="2">
        <f t="shared" si="142"/>
        <v>27594.664286852298</v>
      </c>
      <c r="H183" s="2">
        <f t="shared" si="142"/>
        <v>43503.900601281901</v>
      </c>
      <c r="I183" s="2">
        <f t="shared" si="142"/>
        <v>60837.581452984537</v>
      </c>
      <c r="J183" s="2">
        <f t="shared" si="142"/>
        <v>78838.192102902773</v>
      </c>
      <c r="K183" s="2">
        <f t="shared" si="142"/>
        <v>97079.200454567603</v>
      </c>
      <c r="L183" s="2">
        <f t="shared" si="142"/>
        <v>115338.60956410224</v>
      </c>
      <c r="M183" s="2">
        <f t="shared" si="142"/>
        <v>133509.37447255326</v>
      </c>
      <c r="N183" s="2">
        <f t="shared" si="142"/>
        <v>151545.92457730533</v>
      </c>
      <c r="O183" s="2">
        <f t="shared" si="142"/>
        <v>169434.41504723637</v>
      </c>
      <c r="P183" s="2">
        <f t="shared" si="106"/>
        <v>145808.68227557797</v>
      </c>
      <c r="R183">
        <f t="shared" si="107"/>
        <v>171</v>
      </c>
      <c r="S183" s="2">
        <f t="shared" si="140"/>
        <v>85500</v>
      </c>
      <c r="T183" s="2">
        <f t="shared" si="140"/>
        <v>171000</v>
      </c>
      <c r="U183" s="2">
        <f t="shared" si="140"/>
        <v>256500</v>
      </c>
      <c r="V183" s="2">
        <f t="shared" si="140"/>
        <v>342000</v>
      </c>
      <c r="W183" s="2">
        <f t="shared" si="140"/>
        <v>427500</v>
      </c>
      <c r="X183" s="2">
        <f t="shared" si="140"/>
        <v>513000</v>
      </c>
      <c r="Y183" s="2">
        <f t="shared" si="140"/>
        <v>598500</v>
      </c>
      <c r="Z183" s="2">
        <f t="shared" si="140"/>
        <v>684000</v>
      </c>
      <c r="AA183" s="2">
        <f t="shared" si="141"/>
        <v>769500</v>
      </c>
      <c r="AB183" s="2">
        <f t="shared" si="141"/>
        <v>855000</v>
      </c>
      <c r="AC183" s="2">
        <f t="shared" si="141"/>
        <v>940500</v>
      </c>
      <c r="AD183" s="2">
        <f t="shared" si="141"/>
        <v>1026000</v>
      </c>
      <c r="AE183" s="2">
        <f t="shared" si="141"/>
        <v>769500</v>
      </c>
      <c r="AG183">
        <f t="shared" si="109"/>
        <v>171</v>
      </c>
      <c r="AH183" s="6">
        <f t="shared" si="110"/>
        <v>8.3785891003094418E-3</v>
      </c>
      <c r="AI183" s="6">
        <f t="shared" si="111"/>
        <v>2.9598647384970179E-2</v>
      </c>
      <c r="AJ183" s="6">
        <f t="shared" si="112"/>
        <v>5.5742361253388939E-2</v>
      </c>
      <c r="AK183" s="6">
        <f t="shared" si="113"/>
        <v>8.0686152885533033E-2</v>
      </c>
      <c r="AL183" s="6">
        <f t="shared" si="114"/>
        <v>0.1017635101784372</v>
      </c>
      <c r="AM183" s="6">
        <f t="shared" si="115"/>
        <v>0.11859177671147084</v>
      </c>
      <c r="AN183" s="6">
        <f t="shared" si="116"/>
        <v>0.13172630259465792</v>
      </c>
      <c r="AO183" s="6">
        <f t="shared" si="117"/>
        <v>0.14192865563533275</v>
      </c>
      <c r="AP183" s="6">
        <f t="shared" si="118"/>
        <v>0.14988773172722838</v>
      </c>
      <c r="AQ183" s="6">
        <f t="shared" si="119"/>
        <v>0.15615131517257691</v>
      </c>
      <c r="AR183" s="6">
        <f t="shared" si="120"/>
        <v>0.16113335946550275</v>
      </c>
      <c r="AS183" s="6">
        <f t="shared" si="121"/>
        <v>0.16514075540666312</v>
      </c>
      <c r="AT183" s="6">
        <f t="shared" si="122"/>
        <v>0.18948496721972446</v>
      </c>
      <c r="AW183" s="3">
        <f t="shared" si="131"/>
        <v>3420</v>
      </c>
      <c r="AX183" s="3">
        <f t="shared" si="127"/>
        <v>251</v>
      </c>
      <c r="AY183" s="3">
        <f t="shared" si="128"/>
        <v>858420</v>
      </c>
      <c r="AZ183" s="13">
        <f t="shared" si="129"/>
        <v>0.13949591877169179</v>
      </c>
      <c r="BA183" s="3">
        <f t="shared" si="135"/>
        <v>119746.08659199567</v>
      </c>
      <c r="BB183" s="3">
        <f t="shared" si="136"/>
        <v>119805.42719025418</v>
      </c>
      <c r="BC183" s="3">
        <f t="shared" si="125"/>
        <v>119806.7512104229</v>
      </c>
      <c r="BD183" s="3">
        <f t="shared" si="126"/>
        <v>239403.8</v>
      </c>
    </row>
    <row r="184" spans="3:56" x14ac:dyDescent="0.45">
      <c r="C184">
        <f t="shared" si="105"/>
        <v>172</v>
      </c>
      <c r="D184" s="2">
        <f t="shared" si="142"/>
        <v>716.73581714788577</v>
      </c>
      <c r="E184" s="2">
        <f t="shared" si="142"/>
        <v>5070.5268702519761</v>
      </c>
      <c r="F184" s="2">
        <f t="shared" si="142"/>
        <v>14346.715848195496</v>
      </c>
      <c r="G184" s="2">
        <f t="shared" si="142"/>
        <v>27731.20159046791</v>
      </c>
      <c r="H184" s="2">
        <f t="shared" si="142"/>
        <v>43775.737984214407</v>
      </c>
      <c r="I184" s="2">
        <f t="shared" si="142"/>
        <v>61281.051620915241</v>
      </c>
      <c r="J184" s="2">
        <f t="shared" si="142"/>
        <v>79477.040506677004</v>
      </c>
      <c r="K184" s="2">
        <f t="shared" si="142"/>
        <v>97927.321008010127</v>
      </c>
      <c r="L184" s="2">
        <f t="shared" si="142"/>
        <v>116403.27934700018</v>
      </c>
      <c r="M184" s="2">
        <f t="shared" si="142"/>
        <v>134793.77091725121</v>
      </c>
      <c r="N184" s="2">
        <f t="shared" si="142"/>
        <v>153050.81449371611</v>
      </c>
      <c r="O184" s="2">
        <f t="shared" si="142"/>
        <v>171159.21277943326</v>
      </c>
      <c r="P184" s="2">
        <f t="shared" si="106"/>
        <v>147518.36698857567</v>
      </c>
      <c r="R184">
        <f t="shared" si="107"/>
        <v>172</v>
      </c>
      <c r="S184" s="2">
        <f t="shared" si="140"/>
        <v>86000</v>
      </c>
      <c r="T184" s="2">
        <f t="shared" si="140"/>
        <v>172000</v>
      </c>
      <c r="U184" s="2">
        <f t="shared" si="140"/>
        <v>258000</v>
      </c>
      <c r="V184" s="2">
        <f t="shared" si="140"/>
        <v>344000</v>
      </c>
      <c r="W184" s="2">
        <f t="shared" si="140"/>
        <v>430000</v>
      </c>
      <c r="X184" s="2">
        <f t="shared" si="140"/>
        <v>516000</v>
      </c>
      <c r="Y184" s="2">
        <f t="shared" si="140"/>
        <v>602000</v>
      </c>
      <c r="Z184" s="2">
        <f t="shared" si="140"/>
        <v>688000</v>
      </c>
      <c r="AA184" s="2">
        <f t="shared" si="141"/>
        <v>774000</v>
      </c>
      <c r="AB184" s="2">
        <f t="shared" si="141"/>
        <v>860000</v>
      </c>
      <c r="AC184" s="2">
        <f t="shared" si="141"/>
        <v>946000</v>
      </c>
      <c r="AD184" s="2">
        <f t="shared" si="141"/>
        <v>1032000</v>
      </c>
      <c r="AE184" s="2">
        <f t="shared" si="141"/>
        <v>774000</v>
      </c>
      <c r="AG184">
        <f t="shared" si="109"/>
        <v>172</v>
      </c>
      <c r="AH184" s="6">
        <f t="shared" si="110"/>
        <v>8.334137408696346E-3</v>
      </c>
      <c r="AI184" s="6">
        <f t="shared" si="111"/>
        <v>2.9479807385185908E-2</v>
      </c>
      <c r="AJ184" s="6">
        <f t="shared" si="112"/>
        <v>5.5607425768199596E-2</v>
      </c>
      <c r="AK184" s="6">
        <f t="shared" si="113"/>
        <v>8.0613958111825326E-2</v>
      </c>
      <c r="AL184" s="6">
        <f t="shared" si="114"/>
        <v>0.10180404182375444</v>
      </c>
      <c r="AM184" s="6">
        <f t="shared" si="115"/>
        <v>0.11876172794751015</v>
      </c>
      <c r="AN184" s="6">
        <f t="shared" si="116"/>
        <v>0.13202166197122425</v>
      </c>
      <c r="AO184" s="6">
        <f t="shared" si="117"/>
        <v>0.14233622239536356</v>
      </c>
      <c r="AP184" s="6">
        <f t="shared" si="118"/>
        <v>0.15039183378165397</v>
      </c>
      <c r="AQ184" s="6">
        <f t="shared" si="119"/>
        <v>0.1567369429270363</v>
      </c>
      <c r="AR184" s="6">
        <f t="shared" si="120"/>
        <v>0.16178733033162379</v>
      </c>
      <c r="AS184" s="6">
        <f t="shared" si="121"/>
        <v>0.16585195036766789</v>
      </c>
      <c r="AT184" s="6">
        <f t="shared" si="122"/>
        <v>0.19059220541159647</v>
      </c>
      <c r="AW184" s="3">
        <f t="shared" si="131"/>
        <v>3440</v>
      </c>
      <c r="AX184" s="3">
        <f t="shared" si="127"/>
        <v>253</v>
      </c>
      <c r="AY184" s="3">
        <f t="shared" si="128"/>
        <v>870320</v>
      </c>
      <c r="AZ184" s="13">
        <f t="shared" si="129"/>
        <v>0.14060743542027357</v>
      </c>
      <c r="BA184" s="3">
        <f t="shared" si="135"/>
        <v>122373.46319497249</v>
      </c>
      <c r="BB184" s="3">
        <f t="shared" si="136"/>
        <v>122305.27722564847</v>
      </c>
      <c r="BC184" s="3">
        <f t="shared" si="125"/>
        <v>122177.88491870284</v>
      </c>
      <c r="BD184" s="3">
        <f t="shared" si="126"/>
        <v>244656.62222222224</v>
      </c>
    </row>
    <row r="185" spans="3:56" x14ac:dyDescent="0.45">
      <c r="C185">
        <f t="shared" si="105"/>
        <v>173</v>
      </c>
      <c r="D185" s="2">
        <f t="shared" si="142"/>
        <v>717.0962954151571</v>
      </c>
      <c r="E185" s="2">
        <f t="shared" si="142"/>
        <v>5079.5590298843717</v>
      </c>
      <c r="F185" s="2">
        <f t="shared" si="142"/>
        <v>14394.997858759138</v>
      </c>
      <c r="G185" s="2">
        <f t="shared" si="142"/>
        <v>27866.700796778801</v>
      </c>
      <c r="H185" s="2">
        <f t="shared" si="142"/>
        <v>44046.205099361359</v>
      </c>
      <c r="I185" s="2">
        <f t="shared" si="142"/>
        <v>61723.197801110997</v>
      </c>
      <c r="J185" s="2">
        <f t="shared" si="142"/>
        <v>80115.010186945656</v>
      </c>
      <c r="K185" s="2">
        <f t="shared" si="142"/>
        <v>98775.338702812325</v>
      </c>
      <c r="L185" s="2">
        <f t="shared" si="142"/>
        <v>117468.86404483204</v>
      </c>
      <c r="M185" s="2">
        <f t="shared" si="142"/>
        <v>136080.26403258767</v>
      </c>
      <c r="N185" s="2">
        <f t="shared" si="142"/>
        <v>154559.08766352682</v>
      </c>
      <c r="O185" s="2">
        <f t="shared" si="142"/>
        <v>172888.7433868935</v>
      </c>
      <c r="P185" s="2">
        <f t="shared" si="106"/>
        <v>149238.01296246902</v>
      </c>
      <c r="R185">
        <f t="shared" si="107"/>
        <v>173</v>
      </c>
      <c r="S185" s="2">
        <f t="shared" si="140"/>
        <v>86500</v>
      </c>
      <c r="T185" s="2">
        <f t="shared" si="140"/>
        <v>173000</v>
      </c>
      <c r="U185" s="2">
        <f t="shared" si="140"/>
        <v>259500</v>
      </c>
      <c r="V185" s="2">
        <f t="shared" si="140"/>
        <v>346000</v>
      </c>
      <c r="W185" s="2">
        <f t="shared" si="140"/>
        <v>432500</v>
      </c>
      <c r="X185" s="2">
        <f t="shared" si="140"/>
        <v>519000</v>
      </c>
      <c r="Y185" s="2">
        <f t="shared" si="140"/>
        <v>605500</v>
      </c>
      <c r="Z185" s="2">
        <f t="shared" si="140"/>
        <v>692000</v>
      </c>
      <c r="AA185" s="2">
        <f t="shared" si="141"/>
        <v>778500</v>
      </c>
      <c r="AB185" s="2">
        <f t="shared" si="141"/>
        <v>865000</v>
      </c>
      <c r="AC185" s="2">
        <f t="shared" si="141"/>
        <v>951500</v>
      </c>
      <c r="AD185" s="2">
        <f t="shared" si="141"/>
        <v>1038000</v>
      </c>
      <c r="AE185" s="2">
        <f t="shared" si="141"/>
        <v>778500</v>
      </c>
      <c r="AG185">
        <f t="shared" si="109"/>
        <v>173</v>
      </c>
      <c r="AH185" s="6">
        <f t="shared" si="110"/>
        <v>8.2901305828341869E-3</v>
      </c>
      <c r="AI185" s="6">
        <f t="shared" si="111"/>
        <v>2.9361612889505038E-2</v>
      </c>
      <c r="AJ185" s="6">
        <f t="shared" si="112"/>
        <v>5.5472053405622883E-2</v>
      </c>
      <c r="AK185" s="6">
        <f t="shared" si="113"/>
        <v>8.0539597678551456E-2</v>
      </c>
      <c r="AL185" s="6">
        <f t="shared" si="114"/>
        <v>0.10184093664592221</v>
      </c>
      <c r="AM185" s="6">
        <f t="shared" si="115"/>
        <v>0.11892716339327745</v>
      </c>
      <c r="AN185" s="6">
        <f t="shared" si="116"/>
        <v>0.13231215555234624</v>
      </c>
      <c r="AO185" s="6">
        <f t="shared" si="117"/>
        <v>0.14273892876128949</v>
      </c>
      <c r="AP185" s="6">
        <f t="shared" si="118"/>
        <v>0.15089128329458193</v>
      </c>
      <c r="AQ185" s="6">
        <f t="shared" si="119"/>
        <v>0.15731822431513026</v>
      </c>
      <c r="AR185" s="6">
        <f t="shared" si="120"/>
        <v>0.16243729654600822</v>
      </c>
      <c r="AS185" s="6">
        <f t="shared" si="121"/>
        <v>0.1665594830316893</v>
      </c>
      <c r="AT185" s="6">
        <f t="shared" si="122"/>
        <v>0.19169943861588826</v>
      </c>
      <c r="AW185" s="3">
        <f t="shared" si="131"/>
        <v>3460</v>
      </c>
      <c r="AX185" s="3">
        <f t="shared" si="127"/>
        <v>254</v>
      </c>
      <c r="AY185" s="3">
        <f t="shared" si="128"/>
        <v>878840</v>
      </c>
      <c r="AZ185" s="13">
        <f t="shared" si="129"/>
        <v>0.14116319374456446</v>
      </c>
      <c r="BA185" s="3">
        <f t="shared" si="135"/>
        <v>124059.86119047304</v>
      </c>
      <c r="BB185" s="3">
        <f t="shared" si="136"/>
        <v>124105.62723810997</v>
      </c>
      <c r="BC185" s="3">
        <f t="shared" si="125"/>
        <v>124091.30580371636</v>
      </c>
      <c r="BD185" s="3">
        <f t="shared" si="126"/>
        <v>248028.17777777778</v>
      </c>
    </row>
    <row r="186" spans="3:56" x14ac:dyDescent="0.45">
      <c r="C186">
        <f t="shared" si="105"/>
        <v>174</v>
      </c>
      <c r="D186" s="2">
        <f t="shared" si="142"/>
        <v>717.45092989547175</v>
      </c>
      <c r="E186" s="2">
        <f t="shared" si="142"/>
        <v>5088.4673185718448</v>
      </c>
      <c r="F186" s="2">
        <f t="shared" si="142"/>
        <v>14442.767507429953</v>
      </c>
      <c r="G186" s="2">
        <f t="shared" si="142"/>
        <v>28001.166947039335</v>
      </c>
      <c r="H186" s="2">
        <f t="shared" si="142"/>
        <v>44315.298750218404</v>
      </c>
      <c r="I186" s="2">
        <f t="shared" si="142"/>
        <v>62164.003725450697</v>
      </c>
      <c r="J186" s="2">
        <f t="shared" si="142"/>
        <v>80752.070862495864</v>
      </c>
      <c r="K186" s="2">
        <f t="shared" si="142"/>
        <v>99623.210817964791</v>
      </c>
      <c r="L186" s="2">
        <f t="shared" si="142"/>
        <v>118535.31105338172</v>
      </c>
      <c r="M186" s="2">
        <f t="shared" si="142"/>
        <v>137368.79394722459</v>
      </c>
      <c r="N186" s="2">
        <f t="shared" si="142"/>
        <v>156070.67922178068</v>
      </c>
      <c r="O186" s="2">
        <f t="shared" si="142"/>
        <v>174622.9388339124</v>
      </c>
      <c r="P186" s="2">
        <f t="shared" si="106"/>
        <v>150967.62015251615</v>
      </c>
      <c r="R186">
        <f t="shared" si="107"/>
        <v>174</v>
      </c>
      <c r="S186" s="2">
        <f t="shared" ref="S186:Z195" si="143">$R186*S$12</f>
        <v>87000</v>
      </c>
      <c r="T186" s="2">
        <f t="shared" si="143"/>
        <v>174000</v>
      </c>
      <c r="U186" s="2">
        <f t="shared" si="143"/>
        <v>261000</v>
      </c>
      <c r="V186" s="2">
        <f t="shared" si="143"/>
        <v>348000</v>
      </c>
      <c r="W186" s="2">
        <f t="shared" si="143"/>
        <v>435000</v>
      </c>
      <c r="X186" s="2">
        <f t="shared" si="143"/>
        <v>522000</v>
      </c>
      <c r="Y186" s="2">
        <f t="shared" si="143"/>
        <v>609000</v>
      </c>
      <c r="Z186" s="2">
        <f t="shared" si="143"/>
        <v>696000</v>
      </c>
      <c r="AA186" s="2">
        <f t="shared" si="141"/>
        <v>783000</v>
      </c>
      <c r="AB186" s="2">
        <f t="shared" si="141"/>
        <v>870000</v>
      </c>
      <c r="AC186" s="2">
        <f t="shared" si="141"/>
        <v>957000</v>
      </c>
      <c r="AD186" s="2">
        <f t="shared" si="141"/>
        <v>1044000</v>
      </c>
      <c r="AE186" s="2">
        <f t="shared" si="141"/>
        <v>783000</v>
      </c>
      <c r="AG186">
        <f t="shared" si="109"/>
        <v>174</v>
      </c>
      <c r="AH186" s="6">
        <f t="shared" si="110"/>
        <v>8.2465624125916299E-3</v>
      </c>
      <c r="AI186" s="6">
        <f t="shared" si="111"/>
        <v>2.9244065049263475E-2</v>
      </c>
      <c r="AJ186" s="6">
        <f t="shared" si="112"/>
        <v>5.5336273974827405E-2</v>
      </c>
      <c r="AK186" s="6">
        <f t="shared" si="113"/>
        <v>8.0463123411032567E-2</v>
      </c>
      <c r="AL186" s="6">
        <f t="shared" si="114"/>
        <v>0.10187425000050208</v>
      </c>
      <c r="AM186" s="6">
        <f t="shared" si="115"/>
        <v>0.11908812974224271</v>
      </c>
      <c r="AN186" s="6">
        <f t="shared" si="116"/>
        <v>0.1325978175082034</v>
      </c>
      <c r="AO186" s="6">
        <f t="shared" si="117"/>
        <v>0.14313679715224825</v>
      </c>
      <c r="AP186" s="6">
        <f t="shared" si="118"/>
        <v>0.15138609329933808</v>
      </c>
      <c r="AQ186" s="6">
        <f t="shared" si="119"/>
        <v>0.15789516545658</v>
      </c>
      <c r="AR186" s="6">
        <f t="shared" si="120"/>
        <v>0.16308325937490145</v>
      </c>
      <c r="AS186" s="6">
        <f t="shared" si="121"/>
        <v>0.16726335137347931</v>
      </c>
      <c r="AT186" s="6">
        <f t="shared" si="122"/>
        <v>0.19280666686145101</v>
      </c>
      <c r="AW186" s="3">
        <f t="shared" si="131"/>
        <v>3480</v>
      </c>
      <c r="AX186" s="3">
        <f t="shared" si="127"/>
        <v>256</v>
      </c>
      <c r="AY186" s="3">
        <f t="shared" si="128"/>
        <v>890880</v>
      </c>
      <c r="AZ186" s="13">
        <f t="shared" si="129"/>
        <v>0.14227471039314624</v>
      </c>
      <c r="BA186" s="3">
        <f t="shared" si="135"/>
        <v>126749.69399504612</v>
      </c>
      <c r="BB186" s="3">
        <f t="shared" si="136"/>
        <v>126664.69002105757</v>
      </c>
      <c r="BC186" s="3">
        <f t="shared" si="125"/>
        <v>126518.34929152428</v>
      </c>
      <c r="BD186" s="3">
        <f t="shared" si="126"/>
        <v>253405.86666666667</v>
      </c>
    </row>
    <row r="187" spans="3:56" x14ac:dyDescent="0.45">
      <c r="C187">
        <f t="shared" si="105"/>
        <v>175</v>
      </c>
      <c r="D187" s="2">
        <f t="shared" si="142"/>
        <v>717.79984430126615</v>
      </c>
      <c r="E187" s="2">
        <f t="shared" si="142"/>
        <v>5097.2538323232529</v>
      </c>
      <c r="F187" s="2">
        <f t="shared" si="142"/>
        <v>14490.030564057823</v>
      </c>
      <c r="G187" s="2">
        <f t="shared" si="142"/>
        <v>28134.605186310866</v>
      </c>
      <c r="H187" s="2">
        <f t="shared" si="142"/>
        <v>44583.016065159733</v>
      </c>
      <c r="I187" s="2">
        <f t="shared" si="142"/>
        <v>62603.453613242273</v>
      </c>
      <c r="J187" s="2">
        <f t="shared" si="142"/>
        <v>81388.192798178687</v>
      </c>
      <c r="K187" s="2">
        <f t="shared" si="142"/>
        <v>100470.89515292621</v>
      </c>
      <c r="L187" s="2">
        <f t="shared" si="142"/>
        <v>119602.56821490184</v>
      </c>
      <c r="M187" s="2">
        <f t="shared" si="142"/>
        <v>138659.30114277397</v>
      </c>
      <c r="N187" s="2">
        <f t="shared" si="142"/>
        <v>157585.52456120958</v>
      </c>
      <c r="O187" s="2">
        <f t="shared" si="142"/>
        <v>176361.73125458419</v>
      </c>
      <c r="P187" s="2">
        <f t="shared" si="106"/>
        <v>152707.18851423496</v>
      </c>
      <c r="R187">
        <f t="shared" si="107"/>
        <v>175</v>
      </c>
      <c r="S187" s="2">
        <f t="shared" si="143"/>
        <v>87500</v>
      </c>
      <c r="T187" s="2">
        <f t="shared" si="143"/>
        <v>175000</v>
      </c>
      <c r="U187" s="2">
        <f t="shared" si="143"/>
        <v>262500</v>
      </c>
      <c r="V187" s="2">
        <f t="shared" si="143"/>
        <v>350000</v>
      </c>
      <c r="W187" s="2">
        <f t="shared" si="143"/>
        <v>437500</v>
      </c>
      <c r="X187" s="2">
        <f t="shared" si="143"/>
        <v>525000</v>
      </c>
      <c r="Y187" s="2">
        <f t="shared" si="143"/>
        <v>612500</v>
      </c>
      <c r="Z187" s="2">
        <f t="shared" si="143"/>
        <v>700000</v>
      </c>
      <c r="AA187" s="2">
        <f t="shared" si="141"/>
        <v>787500</v>
      </c>
      <c r="AB187" s="2">
        <f t="shared" si="141"/>
        <v>875000</v>
      </c>
      <c r="AC187" s="2">
        <f t="shared" si="141"/>
        <v>962500</v>
      </c>
      <c r="AD187" s="2">
        <f t="shared" si="141"/>
        <v>1050000</v>
      </c>
      <c r="AE187" s="2">
        <f t="shared" si="141"/>
        <v>787500</v>
      </c>
      <c r="AG187">
        <f t="shared" si="109"/>
        <v>175</v>
      </c>
      <c r="AH187" s="6">
        <f t="shared" si="110"/>
        <v>8.2034267920144694E-3</v>
      </c>
      <c r="AI187" s="6">
        <f t="shared" si="111"/>
        <v>2.9127164756132876E-2</v>
      </c>
      <c r="AJ187" s="6">
        <f t="shared" si="112"/>
        <v>5.5200116434505994E-2</v>
      </c>
      <c r="AK187" s="6">
        <f t="shared" si="113"/>
        <v>8.0384586246602469E-2</v>
      </c>
      <c r="AL187" s="6">
        <f t="shared" si="114"/>
        <v>0.1019040367203651</v>
      </c>
      <c r="AM187" s="6">
        <f t="shared" si="115"/>
        <v>0.1192446735490329</v>
      </c>
      <c r="AN187" s="6">
        <f t="shared" si="116"/>
        <v>0.1328786821194754</v>
      </c>
      <c r="AO187" s="6">
        <f t="shared" si="117"/>
        <v>0.14352985021846601</v>
      </c>
      <c r="AP187" s="6">
        <f t="shared" si="118"/>
        <v>0.15187627709828805</v>
      </c>
      <c r="AQ187" s="6">
        <f t="shared" si="119"/>
        <v>0.15846777273459883</v>
      </c>
      <c r="AR187" s="6">
        <f t="shared" si="120"/>
        <v>0.16372522032333461</v>
      </c>
      <c r="AS187" s="6">
        <f t="shared" si="121"/>
        <v>0.16796355357579446</v>
      </c>
      <c r="AT187" s="6">
        <f t="shared" si="122"/>
        <v>0.1939138901768063</v>
      </c>
      <c r="AW187" s="3">
        <f t="shared" si="131"/>
        <v>3500</v>
      </c>
      <c r="AX187" s="3">
        <f t="shared" si="127"/>
        <v>257</v>
      </c>
      <c r="AY187" s="3">
        <f t="shared" si="128"/>
        <v>899500</v>
      </c>
      <c r="AZ187" s="13">
        <f t="shared" si="129"/>
        <v>0.14283046871743713</v>
      </c>
      <c r="BA187" s="3">
        <f t="shared" si="135"/>
        <v>128476.0066113347</v>
      </c>
      <c r="BB187" s="3">
        <f t="shared" si="136"/>
        <v>128507.50811265231</v>
      </c>
      <c r="BC187" s="3">
        <f t="shared" si="125"/>
        <v>128476.79854339226</v>
      </c>
      <c r="BD187" s="3">
        <f t="shared" si="126"/>
        <v>256857.22222222222</v>
      </c>
    </row>
    <row r="188" spans="3:56" x14ac:dyDescent="0.45">
      <c r="C188">
        <f t="shared" si="105"/>
        <v>176</v>
      </c>
      <c r="D188" s="2">
        <f t="shared" si="142"/>
        <v>718.14315914104839</v>
      </c>
      <c r="E188" s="2">
        <f t="shared" si="142"/>
        <v>5105.9206271069579</v>
      </c>
      <c r="F188" s="2">
        <f t="shared" si="142"/>
        <v>14536.792753207788</v>
      </c>
      <c r="G188" s="2">
        <f t="shared" si="142"/>
        <v>28267.020758077175</v>
      </c>
      <c r="H188" s="2">
        <f t="shared" si="142"/>
        <v>44849.354489613732</v>
      </c>
      <c r="I188" s="2">
        <f t="shared" si="142"/>
        <v>63041.532164558259</v>
      </c>
      <c r="J188" s="2">
        <f t="shared" si="142"/>
        <v>82023.346801275606</v>
      </c>
      <c r="K188" s="2">
        <f t="shared" si="142"/>
        <v>101318.3500271205</v>
      </c>
      <c r="L188" s="2">
        <f t="shared" si="142"/>
        <v>120670.58382002839</v>
      </c>
      <c r="M188" s="2">
        <f t="shared" si="142"/>
        <v>139951.72645728264</v>
      </c>
      <c r="N188" s="2">
        <f t="shared" si="142"/>
        <v>159103.55933658552</v>
      </c>
      <c r="O188" s="2">
        <f t="shared" si="142"/>
        <v>178105.05295752059</v>
      </c>
      <c r="P188" s="2">
        <f t="shared" si="106"/>
        <v>154456.71800339723</v>
      </c>
      <c r="R188">
        <f t="shared" si="107"/>
        <v>176</v>
      </c>
      <c r="S188" s="2">
        <f t="shared" si="143"/>
        <v>88000</v>
      </c>
      <c r="T188" s="2">
        <f t="shared" si="143"/>
        <v>176000</v>
      </c>
      <c r="U188" s="2">
        <f t="shared" si="143"/>
        <v>264000</v>
      </c>
      <c r="V188" s="2">
        <f t="shared" si="143"/>
        <v>352000</v>
      </c>
      <c r="W188" s="2">
        <f t="shared" si="143"/>
        <v>440000</v>
      </c>
      <c r="X188" s="2">
        <f t="shared" si="143"/>
        <v>528000</v>
      </c>
      <c r="Y188" s="2">
        <f t="shared" si="143"/>
        <v>616000</v>
      </c>
      <c r="Z188" s="2">
        <f t="shared" si="143"/>
        <v>704000</v>
      </c>
      <c r="AA188" s="2">
        <f t="shared" si="141"/>
        <v>792000</v>
      </c>
      <c r="AB188" s="2">
        <f t="shared" si="141"/>
        <v>880000</v>
      </c>
      <c r="AC188" s="2">
        <f t="shared" si="141"/>
        <v>968000</v>
      </c>
      <c r="AD188" s="2">
        <f t="shared" si="141"/>
        <v>1056000</v>
      </c>
      <c r="AE188" s="2">
        <f t="shared" si="141"/>
        <v>792000</v>
      </c>
      <c r="AG188">
        <f t="shared" si="109"/>
        <v>176</v>
      </c>
      <c r="AH188" s="6">
        <f t="shared" si="110"/>
        <v>8.1607177175119141E-3</v>
      </c>
      <c r="AI188" s="6">
        <f t="shared" si="111"/>
        <v>2.9010912654016806E-2</v>
      </c>
      <c r="AJ188" s="6">
        <f t="shared" si="112"/>
        <v>5.5063608913665865E-2</v>
      </c>
      <c r="AK188" s="6">
        <f t="shared" si="113"/>
        <v>8.0304036244537427E-2</v>
      </c>
      <c r="AL188" s="6">
        <f t="shared" si="114"/>
        <v>0.10193035111275849</v>
      </c>
      <c r="AM188" s="6">
        <f t="shared" si="115"/>
        <v>0.11939684122075428</v>
      </c>
      <c r="AN188" s="6">
        <f t="shared" si="116"/>
        <v>0.13315478376830456</v>
      </c>
      <c r="AO188" s="6">
        <f t="shared" si="117"/>
        <v>0.14391811083397799</v>
      </c>
      <c r="AP188" s="6">
        <f t="shared" si="118"/>
        <v>0.15236184825761159</v>
      </c>
      <c r="AQ188" s="6">
        <f t="shared" si="119"/>
        <v>0.15903605279236663</v>
      </c>
      <c r="AR188" s="6">
        <f t="shared" si="120"/>
        <v>0.16436318113283627</v>
      </c>
      <c r="AS188" s="6">
        <f t="shared" si="121"/>
        <v>0.1686600880279551</v>
      </c>
      <c r="AT188" s="6">
        <f t="shared" si="122"/>
        <v>0.19502110859014801</v>
      </c>
      <c r="AW188" s="3">
        <f t="shared" si="131"/>
        <v>3520</v>
      </c>
      <c r="AX188" s="3">
        <f t="shared" si="127"/>
        <v>258</v>
      </c>
      <c r="AY188" s="3">
        <f t="shared" si="128"/>
        <v>908160</v>
      </c>
      <c r="AZ188" s="13">
        <f t="shared" si="129"/>
        <v>0.14338622704172801</v>
      </c>
      <c r="BA188" s="3">
        <f t="shared" si="135"/>
        <v>130217.63595021571</v>
      </c>
      <c r="BB188" s="3">
        <f t="shared" si="136"/>
        <v>130367.79045027254</v>
      </c>
      <c r="BC188" s="3">
        <f t="shared" si="125"/>
        <v>130454.63569607018</v>
      </c>
      <c r="BD188" s="3">
        <f t="shared" si="126"/>
        <v>260339.20000000001</v>
      </c>
    </row>
    <row r="189" spans="3:56" x14ac:dyDescent="0.45">
      <c r="C189">
        <f t="shared" si="105"/>
        <v>177</v>
      </c>
      <c r="D189" s="2">
        <f t="shared" si="142"/>
        <v>718.48099181673319</v>
      </c>
      <c r="E189" s="2">
        <f t="shared" si="142"/>
        <v>5114.4697196337092</v>
      </c>
      <c r="F189" s="2">
        <f t="shared" si="142"/>
        <v>14583.059753344085</v>
      </c>
      <c r="G189" s="2">
        <f t="shared" si="142"/>
        <v>28398.418999016685</v>
      </c>
      <c r="H189" s="2">
        <f t="shared" si="142"/>
        <v>45114.311778343676</v>
      </c>
      <c r="I189" s="2">
        <f t="shared" si="142"/>
        <v>63478.224553564985</v>
      </c>
      <c r="J189" s="2">
        <f t="shared" si="142"/>
        <v>82657.504217775873</v>
      </c>
      <c r="K189" s="2">
        <f t="shared" si="142"/>
        <v>102165.53427931019</v>
      </c>
      <c r="L189" s="2">
        <f t="shared" si="142"/>
        <v>121739.30660957162</v>
      </c>
      <c r="M189" s="2">
        <f t="shared" si="142"/>
        <v>141246.01108860894</v>
      </c>
      <c r="N189" s="2">
        <f t="shared" si="142"/>
        <v>160624.71946898501</v>
      </c>
      <c r="O189" s="2">
        <f t="shared" si="142"/>
        <v>179852.83643050204</v>
      </c>
      <c r="P189" s="2">
        <f t="shared" si="106"/>
        <v>156216.20857602832</v>
      </c>
      <c r="R189">
        <f t="shared" si="107"/>
        <v>177</v>
      </c>
      <c r="S189" s="2">
        <f t="shared" si="143"/>
        <v>88500</v>
      </c>
      <c r="T189" s="2">
        <f t="shared" si="143"/>
        <v>177000</v>
      </c>
      <c r="U189" s="2">
        <f t="shared" si="143"/>
        <v>265500</v>
      </c>
      <c r="V189" s="2">
        <f t="shared" si="143"/>
        <v>354000</v>
      </c>
      <c r="W189" s="2">
        <f t="shared" si="143"/>
        <v>442500</v>
      </c>
      <c r="X189" s="2">
        <f t="shared" si="143"/>
        <v>531000</v>
      </c>
      <c r="Y189" s="2">
        <f t="shared" si="143"/>
        <v>619500</v>
      </c>
      <c r="Z189" s="2">
        <f t="shared" si="143"/>
        <v>708000</v>
      </c>
      <c r="AA189" s="2">
        <f t="shared" si="141"/>
        <v>796500</v>
      </c>
      <c r="AB189" s="2">
        <f t="shared" si="141"/>
        <v>885000</v>
      </c>
      <c r="AC189" s="2">
        <f t="shared" si="141"/>
        <v>973500</v>
      </c>
      <c r="AD189" s="2">
        <f t="shared" si="141"/>
        <v>1062000</v>
      </c>
      <c r="AE189" s="2">
        <f t="shared" si="141"/>
        <v>796500</v>
      </c>
      <c r="AG189">
        <f t="shared" si="109"/>
        <v>177</v>
      </c>
      <c r="AH189" s="6">
        <f t="shared" si="110"/>
        <v>8.1184292860647812E-3</v>
      </c>
      <c r="AI189" s="6">
        <f t="shared" si="111"/>
        <v>2.8895309150472934E-2</v>
      </c>
      <c r="AJ189" s="6">
        <f t="shared" si="112"/>
        <v>5.4926778731992788E-2</v>
      </c>
      <c r="AK189" s="6">
        <f t="shared" si="113"/>
        <v>8.0221522596092332E-2</v>
      </c>
      <c r="AL189" s="6">
        <f t="shared" si="114"/>
        <v>0.10195324695670888</v>
      </c>
      <c r="AM189" s="6">
        <f t="shared" si="115"/>
        <v>0.11954467900859696</v>
      </c>
      <c r="AN189" s="6">
        <f t="shared" si="116"/>
        <v>0.13342615692942031</v>
      </c>
      <c r="AO189" s="6">
        <f t="shared" si="117"/>
        <v>0.14430160208942117</v>
      </c>
      <c r="AP189" s="6">
        <f t="shared" si="118"/>
        <v>0.15284282060209869</v>
      </c>
      <c r="AQ189" s="6">
        <f t="shared" si="119"/>
        <v>0.15960001252950162</v>
      </c>
      <c r="AR189" s="6">
        <f t="shared" si="120"/>
        <v>0.16499714377913202</v>
      </c>
      <c r="AS189" s="6">
        <f t="shared" si="121"/>
        <v>0.16935295332438988</v>
      </c>
      <c r="AT189" s="6">
        <f t="shared" si="122"/>
        <v>0.19612832212935133</v>
      </c>
      <c r="AW189" s="3">
        <f t="shared" si="131"/>
        <v>3540</v>
      </c>
      <c r="AX189" s="3">
        <f t="shared" si="127"/>
        <v>260</v>
      </c>
      <c r="AY189" s="3">
        <f t="shared" si="128"/>
        <v>920400</v>
      </c>
      <c r="AZ189" s="13">
        <f t="shared" si="129"/>
        <v>0.14449774369030979</v>
      </c>
      <c r="BA189" s="3">
        <f t="shared" si="135"/>
        <v>132995.72329256113</v>
      </c>
      <c r="BB189" s="3">
        <f t="shared" si="136"/>
        <v>133012.25790532562</v>
      </c>
      <c r="BC189" s="3">
        <f t="shared" si="125"/>
        <v>132964.40447324188</v>
      </c>
      <c r="BD189" s="3">
        <f t="shared" si="126"/>
        <v>265893.33333333331</v>
      </c>
    </row>
    <row r="190" spans="3:56" x14ac:dyDescent="0.45">
      <c r="C190">
        <f t="shared" si="105"/>
        <v>178</v>
      </c>
      <c r="D190" s="2">
        <f t="shared" si="142"/>
        <v>718.81345671760914</v>
      </c>
      <c r="E190" s="2">
        <f t="shared" si="142"/>
        <v>5122.9030881269491</v>
      </c>
      <c r="F190" s="2">
        <f t="shared" si="142"/>
        <v>14628.837196084851</v>
      </c>
      <c r="G190" s="2">
        <f t="shared" si="142"/>
        <v>28528.805333928172</v>
      </c>
      <c r="H190" s="2">
        <f t="shared" si="142"/>
        <v>45377.885987834154</v>
      </c>
      <c r="I190" s="2">
        <f t="shared" si="142"/>
        <v>63913.516421849192</v>
      </c>
      <c r="J190" s="2">
        <f t="shared" si="142"/>
        <v>83290.636928568521</v>
      </c>
      <c r="K190" s="2">
        <f t="shared" si="142"/>
        <v>103012.4072668489</v>
      </c>
      <c r="L190" s="2">
        <f t="shared" si="142"/>
        <v>122808.68577618404</v>
      </c>
      <c r="M190" s="2">
        <f t="shared" si="142"/>
        <v>142542.09659769153</v>
      </c>
      <c r="N190" s="2">
        <f t="shared" si="142"/>
        <v>162148.94114996667</v>
      </c>
      <c r="O190" s="2">
        <f t="shared" si="142"/>
        <v>181605.01434506272</v>
      </c>
      <c r="P190" s="2">
        <f t="shared" si="106"/>
        <v>157985.66018840176</v>
      </c>
      <c r="R190">
        <f t="shared" si="107"/>
        <v>178</v>
      </c>
      <c r="S190" s="2">
        <f t="shared" si="143"/>
        <v>89000</v>
      </c>
      <c r="T190" s="2">
        <f t="shared" si="143"/>
        <v>178000</v>
      </c>
      <c r="U190" s="2">
        <f t="shared" si="143"/>
        <v>267000</v>
      </c>
      <c r="V190" s="2">
        <f t="shared" si="143"/>
        <v>356000</v>
      </c>
      <c r="W190" s="2">
        <f t="shared" si="143"/>
        <v>445000</v>
      </c>
      <c r="X190" s="2">
        <f t="shared" si="143"/>
        <v>534000</v>
      </c>
      <c r="Y190" s="2">
        <f t="shared" si="143"/>
        <v>623000</v>
      </c>
      <c r="Z190" s="2">
        <f t="shared" si="143"/>
        <v>712000</v>
      </c>
      <c r="AA190" s="2">
        <f t="shared" si="141"/>
        <v>801000</v>
      </c>
      <c r="AB190" s="2">
        <f t="shared" si="141"/>
        <v>890000</v>
      </c>
      <c r="AC190" s="2">
        <f t="shared" si="141"/>
        <v>979000</v>
      </c>
      <c r="AD190" s="2">
        <f t="shared" si="141"/>
        <v>1068000</v>
      </c>
      <c r="AE190" s="2">
        <f t="shared" si="141"/>
        <v>801000</v>
      </c>
      <c r="AG190">
        <f t="shared" si="109"/>
        <v>178</v>
      </c>
      <c r="AH190" s="6">
        <f t="shared" si="110"/>
        <v>8.0765556934562829E-3</v>
      </c>
      <c r="AI190" s="6">
        <f t="shared" si="111"/>
        <v>2.878035442767949E-2</v>
      </c>
      <c r="AJ190" s="6">
        <f t="shared" si="112"/>
        <v>5.4789652419793451E-2</v>
      </c>
      <c r="AK190" s="6">
        <f t="shared" si="113"/>
        <v>8.0137093634629702E-2</v>
      </c>
      <c r="AL190" s="6">
        <f t="shared" si="114"/>
        <v>0.10197277750075091</v>
      </c>
      <c r="AM190" s="6">
        <f t="shared" si="115"/>
        <v>0.11968823299971759</v>
      </c>
      <c r="AN190" s="6">
        <f t="shared" si="116"/>
        <v>0.13369283616142619</v>
      </c>
      <c r="AO190" s="6">
        <f t="shared" si="117"/>
        <v>0.14468034728490015</v>
      </c>
      <c r="AP190" s="6">
        <f t="shared" si="118"/>
        <v>0.15331920820996758</v>
      </c>
      <c r="AQ190" s="6">
        <f t="shared" si="119"/>
        <v>0.16015965909852981</v>
      </c>
      <c r="AR190" s="6">
        <f t="shared" si="120"/>
        <v>0.16562711046983317</v>
      </c>
      <c r="AS190" s="6">
        <f t="shared" si="121"/>
        <v>0.17004214826316735</v>
      </c>
      <c r="AT190" s="6">
        <f t="shared" si="122"/>
        <v>0.19723553082197473</v>
      </c>
      <c r="AW190" s="3">
        <f t="shared" si="131"/>
        <v>3560</v>
      </c>
      <c r="AX190" s="3">
        <f t="shared" si="127"/>
        <v>261</v>
      </c>
      <c r="AY190" s="3">
        <f t="shared" si="128"/>
        <v>929160</v>
      </c>
      <c r="AZ190" s="13">
        <f t="shared" si="129"/>
        <v>0.14505350201460068</v>
      </c>
      <c r="BA190" s="3">
        <f t="shared" si="135"/>
        <v>134777.91193188637</v>
      </c>
      <c r="BB190" s="3">
        <f t="shared" si="136"/>
        <v>134915.70550015263</v>
      </c>
      <c r="BC190" s="3">
        <f t="shared" si="125"/>
        <v>134988.01787585139</v>
      </c>
      <c r="BD190" s="3">
        <f t="shared" si="126"/>
        <v>269456.40000000002</v>
      </c>
    </row>
    <row r="191" spans="3:56" x14ac:dyDescent="0.45">
      <c r="C191">
        <f t="shared" si="105"/>
        <v>179</v>
      </c>
      <c r="D191" s="2">
        <f t="shared" si="142"/>
        <v>719.14066531106948</v>
      </c>
      <c r="E191" s="2">
        <f t="shared" si="142"/>
        <v>5131.2226730805114</v>
      </c>
      <c r="F191" s="2">
        <f t="shared" si="142"/>
        <v>14674.13066552427</v>
      </c>
      <c r="G191" s="2">
        <f t="shared" si="142"/>
        <v>28658.185270807124</v>
      </c>
      <c r="H191" s="2">
        <f t="shared" si="142"/>
        <v>45640.075468784627</v>
      </c>
      <c r="I191" s="2">
        <f t="shared" si="142"/>
        <v>64347.393871745488</v>
      </c>
      <c r="J191" s="2">
        <f t="shared" si="142"/>
        <v>83922.71734555297</v>
      </c>
      <c r="K191" s="2">
        <f t="shared" si="142"/>
        <v>103858.92886481583</v>
      </c>
      <c r="L191" s="2">
        <f t="shared" si="142"/>
        <v>123878.67096590783</v>
      </c>
      <c r="M191" s="2">
        <f t="shared" si="142"/>
        <v>143839.9249117123</v>
      </c>
      <c r="N191" s="2">
        <f t="shared" si="142"/>
        <v>163676.16084566165</v>
      </c>
      <c r="O191" s="2">
        <f t="shared" si="142"/>
        <v>183361.51956100765</v>
      </c>
      <c r="P191" s="2">
        <f t="shared" si="106"/>
        <v>159765.0727970381</v>
      </c>
      <c r="R191">
        <f t="shared" si="107"/>
        <v>179</v>
      </c>
      <c r="S191" s="2">
        <f t="shared" si="143"/>
        <v>89500</v>
      </c>
      <c r="T191" s="2">
        <f t="shared" si="143"/>
        <v>179000</v>
      </c>
      <c r="U191" s="2">
        <f t="shared" si="143"/>
        <v>268500</v>
      </c>
      <c r="V191" s="2">
        <f t="shared" si="143"/>
        <v>358000</v>
      </c>
      <c r="W191" s="2">
        <f t="shared" si="143"/>
        <v>447500</v>
      </c>
      <c r="X191" s="2">
        <f t="shared" si="143"/>
        <v>537000</v>
      </c>
      <c r="Y191" s="2">
        <f t="shared" si="143"/>
        <v>626500</v>
      </c>
      <c r="Z191" s="2">
        <f t="shared" si="143"/>
        <v>716000</v>
      </c>
      <c r="AA191" s="2">
        <f t="shared" ref="AA191:AE200" si="144">$R191*AA$12</f>
        <v>805500</v>
      </c>
      <c r="AB191" s="2">
        <f t="shared" si="144"/>
        <v>895000</v>
      </c>
      <c r="AC191" s="2">
        <f t="shared" si="144"/>
        <v>984500</v>
      </c>
      <c r="AD191" s="2">
        <f t="shared" si="144"/>
        <v>1074000</v>
      </c>
      <c r="AE191" s="2">
        <f t="shared" si="144"/>
        <v>805500</v>
      </c>
      <c r="AG191">
        <f t="shared" si="109"/>
        <v>179</v>
      </c>
      <c r="AH191" s="6">
        <f t="shared" si="110"/>
        <v>8.0350912325259163E-3</v>
      </c>
      <c r="AI191" s="6">
        <f t="shared" si="111"/>
        <v>2.8666048452963749E-2</v>
      </c>
      <c r="AJ191" s="6">
        <f t="shared" si="112"/>
        <v>5.4652255737520555E-2</v>
      </c>
      <c r="AK191" s="6">
        <f t="shared" si="113"/>
        <v>8.0050796845829955E-2</v>
      </c>
      <c r="AL191" s="6">
        <f t="shared" si="114"/>
        <v>0.10198899546097123</v>
      </c>
      <c r="AM191" s="6">
        <f t="shared" si="115"/>
        <v>0.11982754910939569</v>
      </c>
      <c r="AN191" s="6">
        <f t="shared" si="116"/>
        <v>0.13395485609824895</v>
      </c>
      <c r="AO191" s="6">
        <f t="shared" si="117"/>
        <v>0.14505436992292714</v>
      </c>
      <c r="AP191" s="6">
        <f t="shared" si="118"/>
        <v>0.15379102540770681</v>
      </c>
      <c r="AQ191" s="6">
        <f t="shared" si="119"/>
        <v>0.16071499990135452</v>
      </c>
      <c r="AR191" s="6">
        <f t="shared" si="120"/>
        <v>0.16625308364211441</v>
      </c>
      <c r="AS191" s="6">
        <f t="shared" si="121"/>
        <v>0.17072767184451365</v>
      </c>
      <c r="AT191" s="6">
        <f t="shared" si="122"/>
        <v>0.19834273469526767</v>
      </c>
      <c r="AW191" s="3">
        <f t="shared" si="131"/>
        <v>3580</v>
      </c>
      <c r="AX191" s="3">
        <f t="shared" si="127"/>
        <v>263</v>
      </c>
      <c r="AY191" s="3">
        <f t="shared" si="128"/>
        <v>941540</v>
      </c>
      <c r="AZ191" s="13">
        <f t="shared" si="129"/>
        <v>0.14616501866318246</v>
      </c>
      <c r="BA191" s="3">
        <f t="shared" si="135"/>
        <v>137620.21167213281</v>
      </c>
      <c r="BB191" s="3">
        <f t="shared" si="136"/>
        <v>137621.0647075731</v>
      </c>
      <c r="BC191" s="3">
        <f t="shared" si="125"/>
        <v>137555.29863705928</v>
      </c>
      <c r="BD191" s="3">
        <f t="shared" si="126"/>
        <v>275138.91111111111</v>
      </c>
    </row>
    <row r="192" spans="3:56" x14ac:dyDescent="0.45">
      <c r="C192">
        <f t="shared" si="105"/>
        <v>180</v>
      </c>
      <c r="D192" s="2">
        <f t="shared" si="142"/>
        <v>719.46272623023083</v>
      </c>
      <c r="E192" s="2">
        <f t="shared" si="142"/>
        <v>5139.4303780036817</v>
      </c>
      <c r="F192" s="2">
        <f t="shared" si="142"/>
        <v>14718.945697619029</v>
      </c>
      <c r="G192" s="2">
        <f t="shared" si="142"/>
        <v>28786.564396069538</v>
      </c>
      <c r="H192" s="2">
        <f t="shared" si="142"/>
        <v>45900.878858710392</v>
      </c>
      <c r="I192" s="2">
        <f t="shared" si="142"/>
        <v>64779.843459668045</v>
      </c>
      <c r="J192" s="2">
        <f t="shared" si="142"/>
        <v>84553.71840767152</v>
      </c>
      <c r="K192" s="2">
        <f t="shared" si="142"/>
        <v>104705.05946503482</v>
      </c>
      <c r="L192" s="2">
        <f t="shared" si="142"/>
        <v>124949.21227960291</v>
      </c>
      <c r="M192" s="2">
        <f t="shared" si="142"/>
        <v>145139.43832715283</v>
      </c>
      <c r="N192" s="2">
        <f t="shared" si="142"/>
        <v>165206.31530077805</v>
      </c>
      <c r="O192" s="2">
        <f t="shared" si="142"/>
        <v>185122.28513086293</v>
      </c>
      <c r="P192" s="2">
        <f t="shared" si="106"/>
        <v>161554.44635870183</v>
      </c>
      <c r="R192">
        <f t="shared" si="107"/>
        <v>180</v>
      </c>
      <c r="S192" s="2">
        <f t="shared" si="143"/>
        <v>90000</v>
      </c>
      <c r="T192" s="2">
        <f t="shared" si="143"/>
        <v>180000</v>
      </c>
      <c r="U192" s="2">
        <f t="shared" si="143"/>
        <v>270000</v>
      </c>
      <c r="V192" s="2">
        <f t="shared" si="143"/>
        <v>360000</v>
      </c>
      <c r="W192" s="2">
        <f t="shared" si="143"/>
        <v>450000</v>
      </c>
      <c r="X192" s="2">
        <f t="shared" si="143"/>
        <v>540000</v>
      </c>
      <c r="Y192" s="2">
        <f t="shared" si="143"/>
        <v>630000</v>
      </c>
      <c r="Z192" s="2">
        <f t="shared" si="143"/>
        <v>720000</v>
      </c>
      <c r="AA192" s="2">
        <f t="shared" si="144"/>
        <v>810000</v>
      </c>
      <c r="AB192" s="2">
        <f t="shared" si="144"/>
        <v>900000</v>
      </c>
      <c r="AC192" s="2">
        <f t="shared" si="144"/>
        <v>990000</v>
      </c>
      <c r="AD192" s="2">
        <f t="shared" si="144"/>
        <v>1080000</v>
      </c>
      <c r="AE192" s="2">
        <f t="shared" si="144"/>
        <v>810000</v>
      </c>
      <c r="AG192">
        <f t="shared" si="109"/>
        <v>180</v>
      </c>
      <c r="AH192" s="6">
        <f t="shared" si="110"/>
        <v>7.9940302914470098E-3</v>
      </c>
      <c r="AI192" s="6">
        <f t="shared" si="111"/>
        <v>2.8552390988909344E-2</v>
      </c>
      <c r="AJ192" s="6">
        <f t="shared" si="112"/>
        <v>5.4514613694885292E-2</v>
      </c>
      <c r="AK192" s="6">
        <f t="shared" si="113"/>
        <v>7.9962678877970941E-2</v>
      </c>
      <c r="AL192" s="6">
        <f t="shared" si="114"/>
        <v>0.10200195301935643</v>
      </c>
      <c r="AM192" s="6">
        <f t="shared" si="115"/>
        <v>0.11996267307345934</v>
      </c>
      <c r="AN192" s="6">
        <f t="shared" si="116"/>
        <v>0.13421225144074844</v>
      </c>
      <c r="AO192" s="6">
        <f t="shared" si="117"/>
        <v>0.14542369370143726</v>
      </c>
      <c r="AP192" s="6">
        <f t="shared" si="118"/>
        <v>0.15425828676494188</v>
      </c>
      <c r="AQ192" s="6">
        <f t="shared" si="119"/>
        <v>0.16126604258572538</v>
      </c>
      <c r="AR192" s="6">
        <f t="shared" si="120"/>
        <v>0.16687506596038187</v>
      </c>
      <c r="AS192" s="6">
        <f t="shared" si="121"/>
        <v>0.17140952326931752</v>
      </c>
      <c r="AT192" s="6">
        <f t="shared" si="122"/>
        <v>0.19944993377617509</v>
      </c>
      <c r="AW192" s="3">
        <f t="shared" si="131"/>
        <v>3600</v>
      </c>
      <c r="AX192" s="3">
        <f t="shared" si="127"/>
        <v>264</v>
      </c>
      <c r="AY192" s="3">
        <f t="shared" si="128"/>
        <v>950400</v>
      </c>
      <c r="AZ192" s="13">
        <f t="shared" si="129"/>
        <v>0.14672077698747335</v>
      </c>
      <c r="BA192" s="3">
        <f t="shared" si="135"/>
        <v>139443.42644889466</v>
      </c>
      <c r="BB192" s="3">
        <f t="shared" si="136"/>
        <v>139568.17259777212</v>
      </c>
      <c r="BC192" s="3">
        <f t="shared" si="125"/>
        <v>139625.21188958336</v>
      </c>
      <c r="BD192" s="3">
        <f t="shared" si="126"/>
        <v>278784</v>
      </c>
    </row>
    <row r="193" spans="3:56" x14ac:dyDescent="0.45">
      <c r="C193">
        <f t="shared" si="105"/>
        <v>181</v>
      </c>
      <c r="D193" s="2">
        <f t="shared" ref="D193:O202" si="145">$C$7*BL_MBPS*BL_KM^2*D$12^3*$C193^2/((EM_KM*D$12)^2+(2*PI()*AVG_SUN_DIST_KM*$C193)^2)</f>
        <v>719.77974535855583</v>
      </c>
      <c r="E193" s="2">
        <f t="shared" si="145"/>
        <v>5147.5280701536203</v>
      </c>
      <c r="F193" s="2">
        <f t="shared" si="145"/>
        <v>14763.287779636143</v>
      </c>
      <c r="G193" s="2">
        <f t="shared" si="145"/>
        <v>28913.948369920141</v>
      </c>
      <c r="H193" s="2">
        <f t="shared" si="145"/>
        <v>46160.295074652022</v>
      </c>
      <c r="I193" s="2">
        <f t="shared" si="145"/>
        <v>65210.852189450125</v>
      </c>
      <c r="J193" s="2">
        <f t="shared" si="145"/>
        <v>85183.613576867778</v>
      </c>
      <c r="K193" s="2">
        <f t="shared" si="145"/>
        <v>105550.75997498089</v>
      </c>
      <c r="L193" s="2">
        <f t="shared" si="145"/>
        <v>126020.26027425755</v>
      </c>
      <c r="M193" s="2">
        <f t="shared" si="145"/>
        <v>146440.57951274622</v>
      </c>
      <c r="N193" s="2">
        <f t="shared" si="145"/>
        <v>166739.34154251878</v>
      </c>
      <c r="O193" s="2">
        <f t="shared" si="145"/>
        <v>186887.24430425849</v>
      </c>
      <c r="P193" s="2">
        <f t="shared" si="106"/>
        <v>163353.78083039777</v>
      </c>
      <c r="R193">
        <f t="shared" si="107"/>
        <v>181</v>
      </c>
      <c r="S193" s="2">
        <f t="shared" si="143"/>
        <v>90500</v>
      </c>
      <c r="T193" s="2">
        <f t="shared" si="143"/>
        <v>181000</v>
      </c>
      <c r="U193" s="2">
        <f t="shared" si="143"/>
        <v>271500</v>
      </c>
      <c r="V193" s="2">
        <f t="shared" si="143"/>
        <v>362000</v>
      </c>
      <c r="W193" s="2">
        <f t="shared" si="143"/>
        <v>452500</v>
      </c>
      <c r="X193" s="2">
        <f t="shared" si="143"/>
        <v>543000</v>
      </c>
      <c r="Y193" s="2">
        <f t="shared" si="143"/>
        <v>633500</v>
      </c>
      <c r="Z193" s="2">
        <f t="shared" si="143"/>
        <v>724000</v>
      </c>
      <c r="AA193" s="2">
        <f t="shared" si="144"/>
        <v>814500</v>
      </c>
      <c r="AB193" s="2">
        <f t="shared" si="144"/>
        <v>905000</v>
      </c>
      <c r="AC193" s="2">
        <f t="shared" si="144"/>
        <v>995500</v>
      </c>
      <c r="AD193" s="2">
        <f t="shared" si="144"/>
        <v>1086000</v>
      </c>
      <c r="AE193" s="2">
        <f t="shared" si="144"/>
        <v>814500</v>
      </c>
      <c r="AG193">
        <f t="shared" si="109"/>
        <v>181</v>
      </c>
      <c r="AH193" s="6">
        <f t="shared" si="110"/>
        <v>7.953367352028241E-3</v>
      </c>
      <c r="AI193" s="6">
        <f t="shared" si="111"/>
        <v>2.8439381603058676E-2</v>
      </c>
      <c r="AJ193" s="6">
        <f t="shared" si="112"/>
        <v>5.4376750569562218E-2</v>
      </c>
      <c r="AK193" s="6">
        <f t="shared" si="113"/>
        <v>7.9872785552265582E-2</v>
      </c>
      <c r="AL193" s="6">
        <f t="shared" si="114"/>
        <v>0.10201170182243541</v>
      </c>
      <c r="AM193" s="6">
        <f t="shared" si="115"/>
        <v>0.12009365044097629</v>
      </c>
      <c r="AN193" s="6">
        <f t="shared" si="116"/>
        <v>0.13446505694848898</v>
      </c>
      <c r="AO193" s="6">
        <f t="shared" si="117"/>
        <v>0.14578834250687966</v>
      </c>
      <c r="AP193" s="6">
        <f t="shared" si="118"/>
        <v>0.15472100708932787</v>
      </c>
      <c r="AQ193" s="6">
        <f t="shared" si="119"/>
        <v>0.16181279504170853</v>
      </c>
      <c r="AR193" s="6">
        <f t="shared" si="120"/>
        <v>0.16749306031393146</v>
      </c>
      <c r="AS193" s="6">
        <f t="shared" si="121"/>
        <v>0.17208770193762293</v>
      </c>
      <c r="AT193" s="6">
        <f t="shared" si="122"/>
        <v>0.20055712809134163</v>
      </c>
      <c r="AW193" s="3">
        <f t="shared" si="131"/>
        <v>3620</v>
      </c>
      <c r="AX193" s="3">
        <f t="shared" si="127"/>
        <v>266</v>
      </c>
      <c r="AY193" s="3">
        <f t="shared" si="128"/>
        <v>962920</v>
      </c>
      <c r="AZ193" s="13">
        <f t="shared" si="129"/>
        <v>0.14783229363605513</v>
      </c>
      <c r="BA193" s="3">
        <f t="shared" si="135"/>
        <v>142350.67218803021</v>
      </c>
      <c r="BB193" s="3">
        <f t="shared" si="136"/>
        <v>142335.11661083827</v>
      </c>
      <c r="BC193" s="3">
        <f t="shared" si="125"/>
        <v>142250.65607864107</v>
      </c>
      <c r="BD193" s="3">
        <f t="shared" si="126"/>
        <v>284596.35555555555</v>
      </c>
    </row>
    <row r="194" spans="3:56" x14ac:dyDescent="0.45">
      <c r="C194">
        <f t="shared" ref="C194:C257" si="146">C193+1</f>
        <v>182</v>
      </c>
      <c r="D194" s="2">
        <f t="shared" si="145"/>
        <v>720.0918259115989</v>
      </c>
      <c r="E194" s="2">
        <f t="shared" si="145"/>
        <v>5155.5175812551997</v>
      </c>
      <c r="F194" s="2">
        <f t="shared" si="145"/>
        <v>14807.162349659271</v>
      </c>
      <c r="G194" s="2">
        <f t="shared" si="145"/>
        <v>29040.342921862091</v>
      </c>
      <c r="H194" s="2">
        <f t="shared" si="145"/>
        <v>46418.323305993472</v>
      </c>
      <c r="I194" s="2">
        <f t="shared" si="145"/>
        <v>65640.407505694224</v>
      </c>
      <c r="J194" s="2">
        <f t="shared" si="145"/>
        <v>85812.376833974457</v>
      </c>
      <c r="K194" s="2">
        <f t="shared" si="145"/>
        <v>106395.99181657692</v>
      </c>
      <c r="L194" s="2">
        <f t="shared" si="145"/>
        <v>127091.76596418294</v>
      </c>
      <c r="M194" s="2">
        <f t="shared" si="145"/>
        <v>147743.29151232459</v>
      </c>
      <c r="N194" s="2">
        <f t="shared" si="145"/>
        <v>168275.17688441332</v>
      </c>
      <c r="O194" s="2">
        <f t="shared" si="145"/>
        <v>188656.33053224377</v>
      </c>
      <c r="P194" s="2">
        <f t="shared" ref="P194:P257" si="147">P$279*$C194^P$280</f>
        <v>165163.07616936983</v>
      </c>
      <c r="R194">
        <f t="shared" ref="R194:R257" si="148">R193+1</f>
        <v>182</v>
      </c>
      <c r="S194" s="2">
        <f t="shared" si="143"/>
        <v>91000</v>
      </c>
      <c r="T194" s="2">
        <f t="shared" si="143"/>
        <v>182000</v>
      </c>
      <c r="U194" s="2">
        <f t="shared" si="143"/>
        <v>273000</v>
      </c>
      <c r="V194" s="2">
        <f t="shared" si="143"/>
        <v>364000</v>
      </c>
      <c r="W194" s="2">
        <f t="shared" si="143"/>
        <v>455000</v>
      </c>
      <c r="X194" s="2">
        <f t="shared" si="143"/>
        <v>546000</v>
      </c>
      <c r="Y194" s="2">
        <f t="shared" si="143"/>
        <v>637000</v>
      </c>
      <c r="Z194" s="2">
        <f t="shared" si="143"/>
        <v>728000</v>
      </c>
      <c r="AA194" s="2">
        <f t="shared" si="144"/>
        <v>819000</v>
      </c>
      <c r="AB194" s="2">
        <f t="shared" si="144"/>
        <v>910000</v>
      </c>
      <c r="AC194" s="2">
        <f t="shared" si="144"/>
        <v>1001000</v>
      </c>
      <c r="AD194" s="2">
        <f t="shared" si="144"/>
        <v>1092000</v>
      </c>
      <c r="AE194" s="2">
        <f t="shared" si="144"/>
        <v>819000</v>
      </c>
      <c r="AG194">
        <f t="shared" ref="AG194:AG257" si="149">AG193+1</f>
        <v>182</v>
      </c>
      <c r="AH194" s="6">
        <f t="shared" ref="AH194:AH257" si="150">D194/S194</f>
        <v>7.9130969880395492E-3</v>
      </c>
      <c r="AI194" s="6">
        <f t="shared" ref="AI194:AI257" si="151">E194/T194</f>
        <v>2.8327019677226371E-2</v>
      </c>
      <c r="AJ194" s="6">
        <f t="shared" ref="AJ194:AJ257" si="152">F194/U194</f>
        <v>5.4238689925491836E-2</v>
      </c>
      <c r="AK194" s="6">
        <f t="shared" ref="AK194:AK257" si="153">G194/V194</f>
        <v>7.9781161873247505E-2</v>
      </c>
      <c r="AL194" s="6">
        <f t="shared" ref="AL194:AL257" si="154">H194/W194</f>
        <v>0.10201829298020543</v>
      </c>
      <c r="AM194" s="6">
        <f t="shared" ref="AM194:AM257" si="155">I194/X194</f>
        <v>0.12022052656720554</v>
      </c>
      <c r="AN194" s="6">
        <f t="shared" ref="AN194:AN257" si="156">J194/Y194</f>
        <v>0.13471330743167104</v>
      </c>
      <c r="AO194" s="6">
        <f t="shared" ref="AO194:AO257" si="157">K194/Z194</f>
        <v>0.14614834040738589</v>
      </c>
      <c r="AP194" s="6">
        <f t="shared" ref="AP194:AP257" si="158">L194/AA194</f>
        <v>0.15517920142146879</v>
      </c>
      <c r="AQ194" s="6">
        <f t="shared" ref="AQ194:AQ257" si="159">M194/AB194</f>
        <v>0.16235526539815889</v>
      </c>
      <c r="AR194" s="6">
        <f t="shared" ref="AR194:AR257" si="160">N194/AC194</f>
        <v>0.16810706981459872</v>
      </c>
      <c r="AS194" s="6">
        <f t="shared" ref="AS194:AS257" si="161">O194/AD194</f>
        <v>0.17276220744710968</v>
      </c>
      <c r="AT194" s="6">
        <f t="shared" ref="AT194:AT257" si="162">P194/AE194</f>
        <v>0.20166431766711823</v>
      </c>
      <c r="AW194" s="3">
        <f t="shared" si="131"/>
        <v>3640</v>
      </c>
      <c r="AX194" s="3">
        <f t="shared" si="127"/>
        <v>267</v>
      </c>
      <c r="AY194" s="3">
        <f t="shared" si="128"/>
        <v>971880</v>
      </c>
      <c r="AZ194" s="13">
        <f t="shared" si="129"/>
        <v>0.14838805196034602</v>
      </c>
      <c r="BA194" s="3">
        <f t="shared" si="135"/>
        <v>144215.37993922108</v>
      </c>
      <c r="BB194" s="3">
        <f t="shared" si="136"/>
        <v>144326.37983457372</v>
      </c>
      <c r="BC194" s="3">
        <f t="shared" si="125"/>
        <v>144367.39278104098</v>
      </c>
      <c r="BD194" s="3">
        <f t="shared" si="126"/>
        <v>288324.40000000002</v>
      </c>
    </row>
    <row r="195" spans="3:56" x14ac:dyDescent="0.45">
      <c r="C195">
        <f t="shared" si="146"/>
        <v>183</v>
      </c>
      <c r="D195" s="2">
        <f t="shared" si="145"/>
        <v>720.39906851597823</v>
      </c>
      <c r="E195" s="2">
        <f t="shared" si="145"/>
        <v>5163.4007082082417</v>
      </c>
      <c r="F195" s="2">
        <f t="shared" si="145"/>
        <v>14850.57479615068</v>
      </c>
      <c r="G195" s="2">
        <f t="shared" si="145"/>
        <v>29165.753846344942</v>
      </c>
      <c r="H195" s="2">
        <f t="shared" si="145"/>
        <v>46674.963007389582</v>
      </c>
      <c r="I195" s="2">
        <f t="shared" si="145"/>
        <v>66068.497287136313</v>
      </c>
      <c r="J195" s="2">
        <f t="shared" si="145"/>
        <v>86439.982674534025</v>
      </c>
      <c r="K195" s="2">
        <f t="shared" si="145"/>
        <v>107240.71692488328</v>
      </c>
      <c r="L195" s="2">
        <f t="shared" si="145"/>
        <v>128163.68082209381</v>
      </c>
      <c r="M195" s="2">
        <f t="shared" si="145"/>
        <v>149047.51774756319</v>
      </c>
      <c r="N195" s="2">
        <f t="shared" si="145"/>
        <v>169813.75893006404</v>
      </c>
      <c r="O195" s="2">
        <f t="shared" si="145"/>
        <v>190429.47747153524</v>
      </c>
      <c r="P195" s="2">
        <f t="shared" si="147"/>
        <v>166982.3323330977</v>
      </c>
      <c r="R195">
        <f t="shared" si="148"/>
        <v>183</v>
      </c>
      <c r="S195" s="2">
        <f t="shared" si="143"/>
        <v>91500</v>
      </c>
      <c r="T195" s="2">
        <f t="shared" si="143"/>
        <v>183000</v>
      </c>
      <c r="U195" s="2">
        <f t="shared" si="143"/>
        <v>274500</v>
      </c>
      <c r="V195" s="2">
        <f t="shared" si="143"/>
        <v>366000</v>
      </c>
      <c r="W195" s="2">
        <f t="shared" si="143"/>
        <v>457500</v>
      </c>
      <c r="X195" s="2">
        <f t="shared" si="143"/>
        <v>549000</v>
      </c>
      <c r="Y195" s="2">
        <f t="shared" si="143"/>
        <v>640500</v>
      </c>
      <c r="Z195" s="2">
        <f t="shared" si="143"/>
        <v>732000</v>
      </c>
      <c r="AA195" s="2">
        <f t="shared" si="144"/>
        <v>823500</v>
      </c>
      <c r="AB195" s="2">
        <f t="shared" si="144"/>
        <v>915000</v>
      </c>
      <c r="AC195" s="2">
        <f t="shared" si="144"/>
        <v>1006500</v>
      </c>
      <c r="AD195" s="2">
        <f t="shared" si="144"/>
        <v>1098000</v>
      </c>
      <c r="AE195" s="2">
        <f t="shared" si="144"/>
        <v>823500</v>
      </c>
      <c r="AG195">
        <f t="shared" si="149"/>
        <v>183</v>
      </c>
      <c r="AH195" s="6">
        <f t="shared" si="150"/>
        <v>7.8732138635626038E-3</v>
      </c>
      <c r="AI195" s="6">
        <f t="shared" si="151"/>
        <v>2.8215304416438478E-2</v>
      </c>
      <c r="AJ195" s="6">
        <f t="shared" si="152"/>
        <v>5.4100454630785721E-2</v>
      </c>
      <c r="AK195" s="6">
        <f t="shared" si="153"/>
        <v>7.9687852039193832E-2</v>
      </c>
      <c r="AL195" s="6">
        <f t="shared" si="154"/>
        <v>0.10202177706533241</v>
      </c>
      <c r="AM195" s="6">
        <f t="shared" si="155"/>
        <v>0.12034334660680567</v>
      </c>
      <c r="AN195" s="6">
        <f t="shared" si="156"/>
        <v>0.13495703774322251</v>
      </c>
      <c r="AO195" s="6">
        <f t="shared" si="157"/>
        <v>0.14650371164601542</v>
      </c>
      <c r="AP195" s="6">
        <f t="shared" si="158"/>
        <v>0.15563288502986497</v>
      </c>
      <c r="AQ195" s="6">
        <f t="shared" si="159"/>
        <v>0.16289346201919475</v>
      </c>
      <c r="AR195" s="6">
        <f t="shared" si="160"/>
        <v>0.16871709779440044</v>
      </c>
      <c r="AS195" s="6">
        <f t="shared" si="161"/>
        <v>0.17343303959156214</v>
      </c>
      <c r="AT195" s="6">
        <f t="shared" si="162"/>
        <v>0.20277150252956613</v>
      </c>
      <c r="AW195" s="3">
        <f t="shared" si="131"/>
        <v>3660</v>
      </c>
      <c r="AX195" s="3">
        <f t="shared" si="127"/>
        <v>269</v>
      </c>
      <c r="AY195" s="3">
        <f t="shared" si="128"/>
        <v>984540</v>
      </c>
      <c r="AZ195" s="13">
        <f t="shared" si="129"/>
        <v>0.14949956860892782</v>
      </c>
      <c r="BA195" s="3">
        <f t="shared" si="135"/>
        <v>147188.30527823381</v>
      </c>
      <c r="BB195" s="3">
        <f t="shared" si="136"/>
        <v>147155.60170656594</v>
      </c>
      <c r="BC195" s="3">
        <f t="shared" si="125"/>
        <v>147051.65184178631</v>
      </c>
      <c r="BD195" s="3">
        <f t="shared" si="126"/>
        <v>294268.06666666671</v>
      </c>
    </row>
    <row r="196" spans="3:56" x14ac:dyDescent="0.45">
      <c r="C196">
        <f t="shared" si="146"/>
        <v>184</v>
      </c>
      <c r="D196" s="2">
        <f t="shared" si="145"/>
        <v>720.70157128568326</v>
      </c>
      <c r="E196" s="2">
        <f t="shared" si="145"/>
        <v>5171.179213782254</v>
      </c>
      <c r="F196" s="2">
        <f t="shared" si="145"/>
        <v>14893.530457566329</v>
      </c>
      <c r="G196" s="2">
        <f t="shared" si="145"/>
        <v>29290.186998548019</v>
      </c>
      <c r="H196" s="2">
        <f t="shared" si="145"/>
        <v>46930.213891802981</v>
      </c>
      <c r="I196" s="2">
        <f t="shared" si="145"/>
        <v>66495.109840026707</v>
      </c>
      <c r="J196" s="2">
        <f t="shared" si="145"/>
        <v>87066.406104555674</v>
      </c>
      <c r="K196" s="2">
        <f t="shared" si="145"/>
        <v>108084.89774668295</v>
      </c>
      <c r="L196" s="2">
        <f t="shared" si="145"/>
        <v>129235.95678007636</v>
      </c>
      <c r="M196" s="2">
        <f t="shared" si="145"/>
        <v>150353.202020622</v>
      </c>
      <c r="N196" s="2">
        <f t="shared" si="145"/>
        <v>171355.02557680663</v>
      </c>
      <c r="O196" s="2">
        <f t="shared" si="145"/>
        <v>192206.61898869716</v>
      </c>
      <c r="P196" s="2">
        <f t="shared" si="147"/>
        <v>168811.54927929369</v>
      </c>
      <c r="R196">
        <f t="shared" si="148"/>
        <v>184</v>
      </c>
      <c r="S196" s="2">
        <f t="shared" ref="S196:Z205" si="163">$R196*S$12</f>
        <v>92000</v>
      </c>
      <c r="T196" s="2">
        <f t="shared" si="163"/>
        <v>184000</v>
      </c>
      <c r="U196" s="2">
        <f t="shared" si="163"/>
        <v>276000</v>
      </c>
      <c r="V196" s="2">
        <f t="shared" si="163"/>
        <v>368000</v>
      </c>
      <c r="W196" s="2">
        <f t="shared" si="163"/>
        <v>460000</v>
      </c>
      <c r="X196" s="2">
        <f t="shared" si="163"/>
        <v>552000</v>
      </c>
      <c r="Y196" s="2">
        <f t="shared" si="163"/>
        <v>644000</v>
      </c>
      <c r="Z196" s="2">
        <f t="shared" si="163"/>
        <v>736000</v>
      </c>
      <c r="AA196" s="2">
        <f t="shared" si="144"/>
        <v>828000</v>
      </c>
      <c r="AB196" s="2">
        <f t="shared" si="144"/>
        <v>920000</v>
      </c>
      <c r="AC196" s="2">
        <f t="shared" si="144"/>
        <v>1012000</v>
      </c>
      <c r="AD196" s="2">
        <f t="shared" si="144"/>
        <v>1104000</v>
      </c>
      <c r="AE196" s="2">
        <f t="shared" si="144"/>
        <v>828000</v>
      </c>
      <c r="AG196">
        <f t="shared" si="149"/>
        <v>184</v>
      </c>
      <c r="AH196" s="6">
        <f t="shared" si="150"/>
        <v>7.8337127313661218E-3</v>
      </c>
      <c r="AI196" s="6">
        <f t="shared" si="151"/>
        <v>2.8104234857512251E-2</v>
      </c>
      <c r="AJ196" s="6">
        <f t="shared" si="152"/>
        <v>5.3962066875240321E-2</v>
      </c>
      <c r="AK196" s="6">
        <f t="shared" si="153"/>
        <v>7.9592899452576138E-2</v>
      </c>
      <c r="AL196" s="6">
        <f t="shared" si="154"/>
        <v>0.10202220411261517</v>
      </c>
      <c r="AM196" s="6">
        <f t="shared" si="155"/>
        <v>0.12046215550729476</v>
      </c>
      <c r="AN196" s="6">
        <f t="shared" si="156"/>
        <v>0.13519628277104917</v>
      </c>
      <c r="AO196" s="6">
        <f t="shared" si="157"/>
        <v>0.1468544806340801</v>
      </c>
      <c r="AP196" s="6">
        <f t="shared" si="158"/>
        <v>0.15608207340588934</v>
      </c>
      <c r="AQ196" s="6">
        <f t="shared" si="159"/>
        <v>0.16342739350067609</v>
      </c>
      <c r="AR196" s="6">
        <f t="shared" si="160"/>
        <v>0.16932314780316859</v>
      </c>
      <c r="AS196" s="6">
        <f t="shared" si="161"/>
        <v>0.17410019835932714</v>
      </c>
      <c r="AT196" s="6">
        <f t="shared" si="162"/>
        <v>0.20387868270446097</v>
      </c>
      <c r="AW196" s="3">
        <f t="shared" si="131"/>
        <v>3680</v>
      </c>
      <c r="AX196" s="3">
        <f t="shared" si="127"/>
        <v>270</v>
      </c>
      <c r="AY196" s="3">
        <f t="shared" si="128"/>
        <v>993600</v>
      </c>
      <c r="AZ196" s="13">
        <f t="shared" si="129"/>
        <v>0.15005532693321871</v>
      </c>
      <c r="BA196" s="3">
        <f t="shared" si="135"/>
        <v>149094.97284084611</v>
      </c>
      <c r="BB196" s="3">
        <f t="shared" si="136"/>
        <v>149191.5153019992</v>
      </c>
      <c r="BC196" s="3">
        <f t="shared" si="125"/>
        <v>149215.7355940025</v>
      </c>
      <c r="BD196" s="3">
        <f t="shared" si="126"/>
        <v>298080</v>
      </c>
    </row>
    <row r="197" spans="3:56" x14ac:dyDescent="0.45">
      <c r="C197">
        <f t="shared" si="146"/>
        <v>185</v>
      </c>
      <c r="D197" s="2">
        <f t="shared" si="145"/>
        <v>720.99942989581632</v>
      </c>
      <c r="E197" s="2">
        <f t="shared" si="145"/>
        <v>5178.8548272987127</v>
      </c>
      <c r="F197" s="2">
        <f t="shared" si="145"/>
        <v>14936.034622021376</v>
      </c>
      <c r="G197" s="2">
        <f t="shared" si="145"/>
        <v>29413.648290296183</v>
      </c>
      <c r="H197" s="2">
        <f t="shared" si="145"/>
        <v>47184.075923650846</v>
      </c>
      <c r="I197" s="2">
        <f t="shared" si="145"/>
        <v>66920.233891530806</v>
      </c>
      <c r="J197" s="2">
        <f t="shared" si="145"/>
        <v>87691.622636212036</v>
      </c>
      <c r="K197" s="2">
        <f t="shared" si="145"/>
        <v>108928.49723896509</v>
      </c>
      <c r="L197" s="2">
        <f t="shared" si="145"/>
        <v>130308.54623044562</v>
      </c>
      <c r="M197" s="2">
        <f t="shared" si="145"/>
        <v>151660.28851668589</v>
      </c>
      <c r="N197" s="2">
        <f t="shared" si="145"/>
        <v>172898.9150192861</v>
      </c>
      <c r="O197" s="2">
        <f t="shared" si="145"/>
        <v>193987.68916425435</v>
      </c>
      <c r="P197" s="2">
        <f t="shared" si="147"/>
        <v>170650.72696590127</v>
      </c>
      <c r="R197">
        <f t="shared" si="148"/>
        <v>185</v>
      </c>
      <c r="S197" s="2">
        <f t="shared" si="163"/>
        <v>92500</v>
      </c>
      <c r="T197" s="2">
        <f t="shared" si="163"/>
        <v>185000</v>
      </c>
      <c r="U197" s="2">
        <f t="shared" si="163"/>
        <v>277500</v>
      </c>
      <c r="V197" s="2">
        <f t="shared" si="163"/>
        <v>370000</v>
      </c>
      <c r="W197" s="2">
        <f t="shared" si="163"/>
        <v>462500</v>
      </c>
      <c r="X197" s="2">
        <f t="shared" si="163"/>
        <v>555000</v>
      </c>
      <c r="Y197" s="2">
        <f t="shared" si="163"/>
        <v>647500</v>
      </c>
      <c r="Z197" s="2">
        <f t="shared" si="163"/>
        <v>740000</v>
      </c>
      <c r="AA197" s="2">
        <f t="shared" si="144"/>
        <v>832500</v>
      </c>
      <c r="AB197" s="2">
        <f t="shared" si="144"/>
        <v>925000</v>
      </c>
      <c r="AC197" s="2">
        <f t="shared" si="144"/>
        <v>1017500</v>
      </c>
      <c r="AD197" s="2">
        <f t="shared" si="144"/>
        <v>1110000</v>
      </c>
      <c r="AE197" s="2">
        <f t="shared" si="144"/>
        <v>832500</v>
      </c>
      <c r="AG197">
        <f t="shared" si="149"/>
        <v>185</v>
      </c>
      <c r="AH197" s="6">
        <f t="shared" si="150"/>
        <v>7.7945884313061226E-3</v>
      </c>
      <c r="AI197" s="6">
        <f t="shared" si="151"/>
        <v>2.7993809877290339E-2</v>
      </c>
      <c r="AJ197" s="6">
        <f t="shared" si="152"/>
        <v>5.3823548187464418E-2</v>
      </c>
      <c r="AK197" s="6">
        <f t="shared" si="153"/>
        <v>7.9496346730530229E-2</v>
      </c>
      <c r="AL197" s="6">
        <f t="shared" si="154"/>
        <v>0.10201962361870454</v>
      </c>
      <c r="AM197" s="6">
        <f t="shared" si="155"/>
        <v>0.12057699800275822</v>
      </c>
      <c r="AN197" s="6">
        <f t="shared" si="156"/>
        <v>0.1354310774304433</v>
      </c>
      <c r="AO197" s="6">
        <f t="shared" si="157"/>
        <v>0.14720067194454742</v>
      </c>
      <c r="AP197" s="6">
        <f t="shared" si="158"/>
        <v>0.15652678225879355</v>
      </c>
      <c r="AQ197" s="6">
        <f t="shared" si="159"/>
        <v>0.16395706866668744</v>
      </c>
      <c r="AR197" s="6">
        <f t="shared" si="160"/>
        <v>0.16992522360617798</v>
      </c>
      <c r="AS197" s="6">
        <f t="shared" si="161"/>
        <v>0.17476368393176067</v>
      </c>
      <c r="AT197" s="6">
        <f t="shared" si="162"/>
        <v>0.20498585821729881</v>
      </c>
      <c r="AW197" s="3">
        <f t="shared" si="131"/>
        <v>3700</v>
      </c>
      <c r="AX197" s="3">
        <f t="shared" si="127"/>
        <v>272</v>
      </c>
      <c r="AY197" s="3">
        <f t="shared" si="128"/>
        <v>1006400</v>
      </c>
      <c r="AZ197" s="13">
        <f t="shared" si="129"/>
        <v>0.15116684358180049</v>
      </c>
      <c r="BA197" s="3">
        <f t="shared" si="135"/>
        <v>152134.31138072402</v>
      </c>
      <c r="BB197" s="3">
        <f t="shared" si="136"/>
        <v>152083.70808619968</v>
      </c>
      <c r="BC197" s="3">
        <f t="shared" si="125"/>
        <v>151959.46097029647</v>
      </c>
      <c r="BD197" s="3">
        <f t="shared" si="126"/>
        <v>304156.44444444444</v>
      </c>
    </row>
    <row r="198" spans="3:56" x14ac:dyDescent="0.45">
      <c r="C198">
        <f t="shared" si="146"/>
        <v>186</v>
      </c>
      <c r="D198" s="2">
        <f t="shared" si="145"/>
        <v>721.29273765386324</v>
      </c>
      <c r="E198" s="2">
        <f t="shared" si="145"/>
        <v>5186.4292453009593</v>
      </c>
      <c r="F198" s="2">
        <f t="shared" si="145"/>
        <v>14978.092527003771</v>
      </c>
      <c r="G198" s="2">
        <f t="shared" si="145"/>
        <v>29536.14368610493</v>
      </c>
      <c r="H198" s="2">
        <f t="shared" si="145"/>
        <v>47436.549312061528</v>
      </c>
      <c r="I198" s="2">
        <f t="shared" si="145"/>
        <v>67343.858583152323</v>
      </c>
      <c r="J198" s="2">
        <f t="shared" si="145"/>
        <v>88315.608283478941</v>
      </c>
      <c r="K198" s="2">
        <f t="shared" si="145"/>
        <v>109771.4788673093</v>
      </c>
      <c r="L198" s="2">
        <f t="shared" si="145"/>
        <v>131381.40202649345</v>
      </c>
      <c r="M198" s="2">
        <f t="shared" si="145"/>
        <v>152968.72180640383</v>
      </c>
      <c r="N198" s="2">
        <f t="shared" si="145"/>
        <v>174445.36575294696</v>
      </c>
      <c r="O198" s="2">
        <f t="shared" si="145"/>
        <v>195772.62229673777</v>
      </c>
      <c r="P198" s="2">
        <f t="shared" si="147"/>
        <v>172499.86535109192</v>
      </c>
      <c r="R198">
        <f t="shared" si="148"/>
        <v>186</v>
      </c>
      <c r="S198" s="2">
        <f t="shared" si="163"/>
        <v>93000</v>
      </c>
      <c r="T198" s="2">
        <f t="shared" si="163"/>
        <v>186000</v>
      </c>
      <c r="U198" s="2">
        <f t="shared" si="163"/>
        <v>279000</v>
      </c>
      <c r="V198" s="2">
        <f t="shared" si="163"/>
        <v>372000</v>
      </c>
      <c r="W198" s="2">
        <f t="shared" si="163"/>
        <v>465000</v>
      </c>
      <c r="X198" s="2">
        <f t="shared" si="163"/>
        <v>558000</v>
      </c>
      <c r="Y198" s="2">
        <f t="shared" si="163"/>
        <v>651000</v>
      </c>
      <c r="Z198" s="2">
        <f t="shared" si="163"/>
        <v>744000</v>
      </c>
      <c r="AA198" s="2">
        <f t="shared" si="144"/>
        <v>837000</v>
      </c>
      <c r="AB198" s="2">
        <f t="shared" si="144"/>
        <v>930000</v>
      </c>
      <c r="AC198" s="2">
        <f t="shared" si="144"/>
        <v>1023000</v>
      </c>
      <c r="AD198" s="2">
        <f t="shared" si="144"/>
        <v>1116000</v>
      </c>
      <c r="AE198" s="2">
        <f t="shared" si="144"/>
        <v>837000</v>
      </c>
      <c r="AG198">
        <f t="shared" si="149"/>
        <v>186</v>
      </c>
      <c r="AH198" s="6">
        <f t="shared" si="150"/>
        <v>7.7558358887512176E-3</v>
      </c>
      <c r="AI198" s="6">
        <f t="shared" si="151"/>
        <v>2.7884028200542792E-2</v>
      </c>
      <c r="AJ198" s="6">
        <f t="shared" si="152"/>
        <v>5.3684919451626421E-2</v>
      </c>
      <c r="AK198" s="6">
        <f t="shared" si="153"/>
        <v>7.939823571533583E-2</v>
      </c>
      <c r="AL198" s="6">
        <f t="shared" si="154"/>
        <v>0.1020140845420678</v>
      </c>
      <c r="AM198" s="6">
        <f t="shared" si="155"/>
        <v>0.12068791860779986</v>
      </c>
      <c r="AN198" s="6">
        <f t="shared" si="156"/>
        <v>0.13566145665664969</v>
      </c>
      <c r="AO198" s="6">
        <f t="shared" si="157"/>
        <v>0.14754231030552326</v>
      </c>
      <c r="AP198" s="6">
        <f t="shared" si="158"/>
        <v>0.15696702751074487</v>
      </c>
      <c r="AQ198" s="6">
        <f t="shared" si="159"/>
        <v>0.16448249656602562</v>
      </c>
      <c r="AR198" s="6">
        <f t="shared" si="160"/>
        <v>0.17052332918176633</v>
      </c>
      <c r="AS198" s="6">
        <f t="shared" si="161"/>
        <v>0.17542349668166468</v>
      </c>
      <c r="AT198" s="6">
        <f t="shared" si="162"/>
        <v>0.2060930290932998</v>
      </c>
      <c r="AW198" s="3">
        <f t="shared" si="131"/>
        <v>3720</v>
      </c>
      <c r="AX198" s="3">
        <f t="shared" si="127"/>
        <v>273</v>
      </c>
      <c r="AY198" s="3">
        <f t="shared" si="128"/>
        <v>1015560</v>
      </c>
      <c r="AZ198" s="13">
        <f t="shared" si="129"/>
        <v>0.15172260190609138</v>
      </c>
      <c r="BA198" s="3">
        <f t="shared" si="135"/>
        <v>154083.40559175017</v>
      </c>
      <c r="BB198" s="3">
        <f t="shared" si="136"/>
        <v>154164.76709149103</v>
      </c>
      <c r="BC198" s="3">
        <f t="shared" si="125"/>
        <v>154171.41537224941</v>
      </c>
      <c r="BD198" s="3">
        <f t="shared" si="126"/>
        <v>308053.2</v>
      </c>
    </row>
    <row r="199" spans="3:56" x14ac:dyDescent="0.45">
      <c r="C199">
        <f t="shared" si="146"/>
        <v>187</v>
      </c>
      <c r="D199" s="2">
        <f t="shared" si="145"/>
        <v>721.58158556858848</v>
      </c>
      <c r="E199" s="2">
        <f t="shared" si="145"/>
        <v>5193.9041322118292</v>
      </c>
      <c r="F199" s="2">
        <f t="shared" si="145"/>
        <v>15019.709359133452</v>
      </c>
      <c r="G199" s="2">
        <f t="shared" si="145"/>
        <v>29657.679199352002</v>
      </c>
      <c r="H199" s="2">
        <f t="shared" si="145"/>
        <v>47687.634504240952</v>
      </c>
      <c r="I199" s="2">
        <f t="shared" si="145"/>
        <v>67765.973464181137</v>
      </c>
      <c r="J199" s="2">
        <f t="shared" si="145"/>
        <v>88938.339557721367</v>
      </c>
      <c r="K199" s="2">
        <f t="shared" si="145"/>
        <v>110613.80660417386</v>
      </c>
      <c r="L199" s="2">
        <f t="shared" si="145"/>
        <v>132454.47748312954</v>
      </c>
      <c r="M199" s="2">
        <f t="shared" si="145"/>
        <v>154278.44684822857</v>
      </c>
      <c r="N199" s="2">
        <f t="shared" si="145"/>
        <v>175994.31657744024</v>
      </c>
      <c r="O199" s="2">
        <f t="shared" si="145"/>
        <v>197561.35290666216</v>
      </c>
      <c r="P199" s="2">
        <f t="shared" si="147"/>
        <v>174358.96439326243</v>
      </c>
      <c r="R199">
        <f t="shared" si="148"/>
        <v>187</v>
      </c>
      <c r="S199" s="2">
        <f t="shared" si="163"/>
        <v>93500</v>
      </c>
      <c r="T199" s="2">
        <f t="shared" si="163"/>
        <v>187000</v>
      </c>
      <c r="U199" s="2">
        <f t="shared" si="163"/>
        <v>280500</v>
      </c>
      <c r="V199" s="2">
        <f t="shared" si="163"/>
        <v>374000</v>
      </c>
      <c r="W199" s="2">
        <f t="shared" si="163"/>
        <v>467500</v>
      </c>
      <c r="X199" s="2">
        <f t="shared" si="163"/>
        <v>561000</v>
      </c>
      <c r="Y199" s="2">
        <f t="shared" si="163"/>
        <v>654500</v>
      </c>
      <c r="Z199" s="2">
        <f t="shared" si="163"/>
        <v>748000</v>
      </c>
      <c r="AA199" s="2">
        <f t="shared" si="144"/>
        <v>841500</v>
      </c>
      <c r="AB199" s="2">
        <f t="shared" si="144"/>
        <v>935000</v>
      </c>
      <c r="AC199" s="2">
        <f t="shared" si="144"/>
        <v>1028500</v>
      </c>
      <c r="AD199" s="2">
        <f t="shared" si="144"/>
        <v>1122000</v>
      </c>
      <c r="AE199" s="2">
        <f t="shared" si="144"/>
        <v>841500</v>
      </c>
      <c r="AG199">
        <f t="shared" si="149"/>
        <v>187</v>
      </c>
      <c r="AH199" s="6">
        <f t="shared" si="150"/>
        <v>7.7174501130330316E-3</v>
      </c>
      <c r="AI199" s="6">
        <f t="shared" si="151"/>
        <v>2.7774888407549887E-2</v>
      </c>
      <c r="AJ199" s="6">
        <f t="shared" si="152"/>
        <v>5.3546200923826927E-2</v>
      </c>
      <c r="AK199" s="6">
        <f t="shared" si="153"/>
        <v>7.9298607484898406E-2</v>
      </c>
      <c r="AL199" s="6">
        <f t="shared" si="154"/>
        <v>0.10200563530318921</v>
      </c>
      <c r="AM199" s="6">
        <f t="shared" si="155"/>
        <v>0.12079496161173109</v>
      </c>
      <c r="AN199" s="6">
        <f t="shared" si="156"/>
        <v>0.13588745539758804</v>
      </c>
      <c r="AO199" s="6">
        <f t="shared" si="157"/>
        <v>0.14787942059381531</v>
      </c>
      <c r="AP199" s="6">
        <f t="shared" si="158"/>
        <v>0.15740282529189487</v>
      </c>
      <c r="AQ199" s="6">
        <f t="shared" si="159"/>
        <v>0.16500368646869365</v>
      </c>
      <c r="AR199" s="6">
        <f t="shared" si="160"/>
        <v>0.17111746871895017</v>
      </c>
      <c r="AS199" s="6">
        <f t="shared" si="161"/>
        <v>0.17607963717171315</v>
      </c>
      <c r="AT199" s="6">
        <f t="shared" si="162"/>
        <v>0.20720019535741227</v>
      </c>
      <c r="AW199" s="3">
        <f t="shared" si="131"/>
        <v>3740</v>
      </c>
      <c r="AX199" s="3">
        <f t="shared" si="127"/>
        <v>275</v>
      </c>
      <c r="AY199" s="3">
        <f t="shared" si="128"/>
        <v>1028500</v>
      </c>
      <c r="AZ199" s="13">
        <f t="shared" si="129"/>
        <v>0.15283411855467316</v>
      </c>
      <c r="BA199" s="3">
        <f t="shared" si="135"/>
        <v>157189.89093348134</v>
      </c>
      <c r="BB199" s="3">
        <f t="shared" si="136"/>
        <v>157120.6238411848</v>
      </c>
      <c r="BC199" s="3">
        <f t="shared" si="125"/>
        <v>156975.25850797514</v>
      </c>
      <c r="BD199" s="3">
        <f t="shared" si="126"/>
        <v>314263.88888888888</v>
      </c>
    </row>
    <row r="200" spans="3:56" x14ac:dyDescent="0.45">
      <c r="C200">
        <f t="shared" si="146"/>
        <v>188</v>
      </c>
      <c r="D200" s="2">
        <f t="shared" si="145"/>
        <v>721.86606241664094</v>
      </c>
      <c r="E200" s="2">
        <f t="shared" si="145"/>
        <v>5201.2811209790871</v>
      </c>
      <c r="F200" s="2">
        <f t="shared" si="145"/>
        <v>15060.890253965015</v>
      </c>
      <c r="G200" s="2">
        <f t="shared" si="145"/>
        <v>29778.26088857256</v>
      </c>
      <c r="H200" s="2">
        <f t="shared" si="145"/>
        <v>47937.332178949066</v>
      </c>
      <c r="I200" s="2">
        <f t="shared" si="145"/>
        <v>68186.568485169366</v>
      </c>
      <c r="J200" s="2">
        <f t="shared" si="145"/>
        <v>89559.793463229231</v>
      </c>
      <c r="K200" s="2">
        <f t="shared" si="145"/>
        <v>111455.44492708993</v>
      </c>
      <c r="L200" s="2">
        <f t="shared" si="145"/>
        <v>133527.72637741658</v>
      </c>
      <c r="M200" s="2">
        <f t="shared" si="145"/>
        <v>155589.40899065719</v>
      </c>
      <c r="N200" s="2">
        <f t="shared" si="145"/>
        <v>177545.70659994541</v>
      </c>
      <c r="O200" s="2">
        <f t="shared" si="145"/>
        <v>199353.81574043675</v>
      </c>
      <c r="P200" s="2">
        <f t="shared" si="147"/>
        <v>176228.02405103308</v>
      </c>
      <c r="R200">
        <f t="shared" si="148"/>
        <v>188</v>
      </c>
      <c r="S200" s="2">
        <f t="shared" si="163"/>
        <v>94000</v>
      </c>
      <c r="T200" s="2">
        <f t="shared" si="163"/>
        <v>188000</v>
      </c>
      <c r="U200" s="2">
        <f t="shared" si="163"/>
        <v>282000</v>
      </c>
      <c r="V200" s="2">
        <f t="shared" si="163"/>
        <v>376000</v>
      </c>
      <c r="W200" s="2">
        <f t="shared" si="163"/>
        <v>470000</v>
      </c>
      <c r="X200" s="2">
        <f t="shared" si="163"/>
        <v>564000</v>
      </c>
      <c r="Y200" s="2">
        <f t="shared" si="163"/>
        <v>658000</v>
      </c>
      <c r="Z200" s="2">
        <f t="shared" si="163"/>
        <v>752000</v>
      </c>
      <c r="AA200" s="2">
        <f t="shared" si="144"/>
        <v>846000</v>
      </c>
      <c r="AB200" s="2">
        <f t="shared" si="144"/>
        <v>940000</v>
      </c>
      <c r="AC200" s="2">
        <f t="shared" si="144"/>
        <v>1034000</v>
      </c>
      <c r="AD200" s="2">
        <f t="shared" si="144"/>
        <v>1128000</v>
      </c>
      <c r="AE200" s="2">
        <f t="shared" si="144"/>
        <v>846000</v>
      </c>
      <c r="AG200">
        <f t="shared" si="149"/>
        <v>188</v>
      </c>
      <c r="AH200" s="6">
        <f t="shared" si="150"/>
        <v>7.6794261959217125E-3</v>
      </c>
      <c r="AI200" s="6">
        <f t="shared" si="151"/>
        <v>2.7666388941378121E-2</v>
      </c>
      <c r="AJ200" s="6">
        <f t="shared" si="152"/>
        <v>5.3407412248102894E-2</v>
      </c>
      <c r="AK200" s="6">
        <f t="shared" si="153"/>
        <v>7.9197502363224898E-2</v>
      </c>
      <c r="AL200" s="6">
        <f t="shared" si="154"/>
        <v>0.10199432378499801</v>
      </c>
      <c r="AM200" s="6">
        <f t="shared" si="155"/>
        <v>0.12089817107299533</v>
      </c>
      <c r="AN200" s="6">
        <f t="shared" si="156"/>
        <v>0.13610910860673137</v>
      </c>
      <c r="AO200" s="6">
        <f t="shared" si="157"/>
        <v>0.14821202782857704</v>
      </c>
      <c r="AP200" s="6">
        <f t="shared" si="158"/>
        <v>0.15783419193548059</v>
      </c>
      <c r="AQ200" s="6">
        <f t="shared" si="159"/>
        <v>0.16552064786240125</v>
      </c>
      <c r="AR200" s="6">
        <f t="shared" si="160"/>
        <v>0.17170764661503424</v>
      </c>
      <c r="AS200" s="6">
        <f t="shared" si="161"/>
        <v>0.17673210615286947</v>
      </c>
      <c r="AT200" s="6">
        <f t="shared" si="162"/>
        <v>0.20830735703431805</v>
      </c>
      <c r="AW200" s="3">
        <f t="shared" si="131"/>
        <v>3760</v>
      </c>
      <c r="AX200" s="3">
        <f t="shared" si="127"/>
        <v>276</v>
      </c>
      <c r="AY200" s="3">
        <f t="shared" si="128"/>
        <v>1037760</v>
      </c>
      <c r="AZ200" s="13">
        <f t="shared" si="129"/>
        <v>0.15338987687896405</v>
      </c>
      <c r="BA200" s="3">
        <f t="shared" si="135"/>
        <v>159181.87862991373</v>
      </c>
      <c r="BB200" s="3">
        <f t="shared" si="136"/>
        <v>159247.32329449142</v>
      </c>
      <c r="BC200" s="3">
        <f t="shared" si="125"/>
        <v>159235.60715956634</v>
      </c>
      <c r="BD200" s="3">
        <f t="shared" si="126"/>
        <v>318246.40000000002</v>
      </c>
    </row>
    <row r="201" spans="3:56" x14ac:dyDescent="0.45">
      <c r="C201">
        <f t="shared" si="146"/>
        <v>189</v>
      </c>
      <c r="D201" s="2">
        <f t="shared" si="145"/>
        <v>722.14625480695474</v>
      </c>
      <c r="E201" s="2">
        <f t="shared" si="145"/>
        <v>5208.5618137088004</v>
      </c>
      <c r="F201" s="2">
        <f t="shared" si="145"/>
        <v>15101.64029583151</v>
      </c>
      <c r="G201" s="2">
        <f t="shared" si="145"/>
        <v>29897.89485387495</v>
      </c>
      <c r="H201" s="2">
        <f t="shared" si="145"/>
        <v>48185.643240085563</v>
      </c>
      <c r="I201" s="2">
        <f t="shared" si="145"/>
        <v>68605.633991436727</v>
      </c>
      <c r="J201" s="2">
        <f t="shared" si="145"/>
        <v>90179.947492705338</v>
      </c>
      <c r="K201" s="2">
        <f t="shared" si="145"/>
        <v>112296.35881676491</v>
      </c>
      <c r="L201" s="2">
        <f t="shared" si="145"/>
        <v>134601.10294900165</v>
      </c>
      <c r="M201" s="2">
        <f t="shared" si="145"/>
        <v>156901.55397437405</v>
      </c>
      <c r="N201" s="2">
        <f t="shared" si="145"/>
        <v>179099.47523840901</v>
      </c>
      <c r="O201" s="2">
        <f t="shared" si="145"/>
        <v>201149.94577420814</v>
      </c>
      <c r="P201" s="2">
        <f t="shared" si="147"/>
        <v>178107.04428324522</v>
      </c>
      <c r="R201">
        <f t="shared" si="148"/>
        <v>189</v>
      </c>
      <c r="S201" s="2">
        <f t="shared" si="163"/>
        <v>94500</v>
      </c>
      <c r="T201" s="2">
        <f t="shared" si="163"/>
        <v>189000</v>
      </c>
      <c r="U201" s="2">
        <f t="shared" si="163"/>
        <v>283500</v>
      </c>
      <c r="V201" s="2">
        <f t="shared" si="163"/>
        <v>378000</v>
      </c>
      <c r="W201" s="2">
        <f t="shared" si="163"/>
        <v>472500</v>
      </c>
      <c r="X201" s="2">
        <f t="shared" si="163"/>
        <v>567000</v>
      </c>
      <c r="Y201" s="2">
        <f t="shared" si="163"/>
        <v>661500</v>
      </c>
      <c r="Z201" s="2">
        <f t="shared" si="163"/>
        <v>756000</v>
      </c>
      <c r="AA201" s="2">
        <f t="shared" ref="AA201:AE210" si="164">$R201*AA$12</f>
        <v>850500</v>
      </c>
      <c r="AB201" s="2">
        <f t="shared" si="164"/>
        <v>945000</v>
      </c>
      <c r="AC201" s="2">
        <f t="shared" si="164"/>
        <v>1039500</v>
      </c>
      <c r="AD201" s="2">
        <f t="shared" si="164"/>
        <v>1134000</v>
      </c>
      <c r="AE201" s="2">
        <f t="shared" si="164"/>
        <v>850500</v>
      </c>
      <c r="AG201">
        <f t="shared" si="149"/>
        <v>189</v>
      </c>
      <c r="AH201" s="6">
        <f t="shared" si="150"/>
        <v>7.6417593101265049E-3</v>
      </c>
      <c r="AI201" s="6">
        <f t="shared" si="151"/>
        <v>2.7558528114861376E-2</v>
      </c>
      <c r="AJ201" s="6">
        <f t="shared" si="152"/>
        <v>5.3268572472068822E-2</v>
      </c>
      <c r="AK201" s="6">
        <f t="shared" si="153"/>
        <v>7.9094959930886111E-2</v>
      </c>
      <c r="AL201" s="6">
        <f t="shared" si="154"/>
        <v>0.10198019733351442</v>
      </c>
      <c r="AM201" s="6">
        <f t="shared" si="155"/>
        <v>0.12099759081382139</v>
      </c>
      <c r="AN201" s="6">
        <f t="shared" si="156"/>
        <v>0.13632645123613807</v>
      </c>
      <c r="AO201" s="6">
        <f t="shared" si="157"/>
        <v>0.14854015716503297</v>
      </c>
      <c r="AP201" s="6">
        <f t="shared" si="158"/>
        <v>0.15826114397295904</v>
      </c>
      <c r="AQ201" s="6">
        <f t="shared" si="159"/>
        <v>0.16603339044907306</v>
      </c>
      <c r="AR201" s="6">
        <f t="shared" si="160"/>
        <v>0.17229386747321693</v>
      </c>
      <c r="AS201" s="6">
        <f t="shared" si="161"/>
        <v>0.17738090456279379</v>
      </c>
      <c r="AT201" s="6">
        <f t="shared" si="162"/>
        <v>0.20941451414843648</v>
      </c>
      <c r="AW201" s="3">
        <f t="shared" si="131"/>
        <v>3780</v>
      </c>
      <c r="AX201" s="3">
        <f t="shared" si="127"/>
        <v>278</v>
      </c>
      <c r="AY201" s="3">
        <f t="shared" si="128"/>
        <v>1050840</v>
      </c>
      <c r="AZ201" s="13">
        <f t="shared" si="129"/>
        <v>0.15450139352754583</v>
      </c>
      <c r="BA201" s="3">
        <f t="shared" si="135"/>
        <v>162356.24437448627</v>
      </c>
      <c r="BB201" s="3">
        <f t="shared" si="136"/>
        <v>162267.53706296542</v>
      </c>
      <c r="BC201" s="3">
        <f t="shared" si="125"/>
        <v>162100.21949862802</v>
      </c>
      <c r="BD201" s="3">
        <f t="shared" si="126"/>
        <v>324592.8</v>
      </c>
    </row>
    <row r="202" spans="3:56" x14ac:dyDescent="0.45">
      <c r="C202">
        <f t="shared" si="146"/>
        <v>190</v>
      </c>
      <c r="D202" s="2">
        <f t="shared" si="145"/>
        <v>722.42224724302866</v>
      </c>
      <c r="E202" s="2">
        <f t="shared" si="145"/>
        <v>5215.7477822867459</v>
      </c>
      <c r="F202" s="2">
        <f t="shared" si="145"/>
        <v>15141.96451772742</v>
      </c>
      <c r="G202" s="2">
        <f t="shared" si="145"/>
        <v>30016.587233474347</v>
      </c>
      <c r="H202" s="2">
        <f t="shared" si="145"/>
        <v>48432.568810385405</v>
      </c>
      <c r="I202" s="2">
        <f t="shared" si="145"/>
        <v>69023.160716608545</v>
      </c>
      <c r="J202" s="2">
        <f t="shared" si="145"/>
        <v>90798.779622709451</v>
      </c>
      <c r="K202" s="2">
        <f t="shared" si="145"/>
        <v>113136.51375509682</v>
      </c>
      <c r="L202" s="2">
        <f t="shared" si="145"/>
        <v>135674.56190044546</v>
      </c>
      <c r="M202" s="2">
        <f t="shared" si="145"/>
        <v>158214.82793429663</v>
      </c>
      <c r="N202" s="2">
        <f t="shared" si="145"/>
        <v>180655.56222470052</v>
      </c>
      <c r="O202" s="2">
        <f t="shared" si="145"/>
        <v>202949.67821763596</v>
      </c>
      <c r="P202" s="2">
        <f t="shared" si="147"/>
        <v>179996.02504895869</v>
      </c>
      <c r="R202">
        <f t="shared" si="148"/>
        <v>190</v>
      </c>
      <c r="S202" s="2">
        <f t="shared" si="163"/>
        <v>95000</v>
      </c>
      <c r="T202" s="2">
        <f t="shared" si="163"/>
        <v>190000</v>
      </c>
      <c r="U202" s="2">
        <f t="shared" si="163"/>
        <v>285000</v>
      </c>
      <c r="V202" s="2">
        <f t="shared" si="163"/>
        <v>380000</v>
      </c>
      <c r="W202" s="2">
        <f t="shared" si="163"/>
        <v>475000</v>
      </c>
      <c r="X202" s="2">
        <f t="shared" si="163"/>
        <v>570000</v>
      </c>
      <c r="Y202" s="2">
        <f t="shared" si="163"/>
        <v>665000</v>
      </c>
      <c r="Z202" s="2">
        <f t="shared" si="163"/>
        <v>760000</v>
      </c>
      <c r="AA202" s="2">
        <f t="shared" si="164"/>
        <v>855000</v>
      </c>
      <c r="AB202" s="2">
        <f t="shared" si="164"/>
        <v>950000</v>
      </c>
      <c r="AC202" s="2">
        <f t="shared" si="164"/>
        <v>1045000</v>
      </c>
      <c r="AD202" s="2">
        <f t="shared" si="164"/>
        <v>1140000</v>
      </c>
      <c r="AE202" s="2">
        <f t="shared" si="164"/>
        <v>855000</v>
      </c>
      <c r="AG202">
        <f t="shared" si="149"/>
        <v>190</v>
      </c>
      <c r="AH202" s="6">
        <f t="shared" si="150"/>
        <v>7.6044447078213546E-3</v>
      </c>
      <c r="AI202" s="6">
        <f t="shared" si="151"/>
        <v>2.7451304117298663E-2</v>
      </c>
      <c r="AJ202" s="6">
        <f t="shared" si="152"/>
        <v>5.3129700062201475E-2</v>
      </c>
      <c r="AK202" s="6">
        <f t="shared" si="153"/>
        <v>7.8991019035458812E-2</v>
      </c>
      <c r="AL202" s="6">
        <f t="shared" si="154"/>
        <v>0.10196330275870612</v>
      </c>
      <c r="AM202" s="6">
        <f t="shared" si="155"/>
        <v>0.12109326441510271</v>
      </c>
      <c r="AN202" s="6">
        <f t="shared" si="156"/>
        <v>0.13653951822963828</v>
      </c>
      <c r="AO202" s="6">
        <f t="shared" si="157"/>
        <v>0.14886383388828528</v>
      </c>
      <c r="AP202" s="6">
        <f t="shared" si="158"/>
        <v>0.15868369812917599</v>
      </c>
      <c r="AQ202" s="6">
        <f t="shared" si="159"/>
        <v>0.16654192414136487</v>
      </c>
      <c r="AR202" s="6">
        <f t="shared" si="160"/>
        <v>0.1728761361001919</v>
      </c>
      <c r="AS202" s="6">
        <f t="shared" si="161"/>
        <v>0.17802603352424207</v>
      </c>
      <c r="AT202" s="6">
        <f t="shared" si="162"/>
        <v>0.2105216667239283</v>
      </c>
      <c r="AW202" s="3">
        <f t="shared" si="131"/>
        <v>3800</v>
      </c>
      <c r="AX202" s="3">
        <f t="shared" si="127"/>
        <v>279</v>
      </c>
      <c r="AY202" s="3">
        <f t="shared" si="128"/>
        <v>1060200</v>
      </c>
      <c r="AZ202" s="13">
        <f t="shared" si="129"/>
        <v>0.15505715185183672</v>
      </c>
      <c r="BA202" s="3">
        <f t="shared" si="135"/>
        <v>164391.59239331729</v>
      </c>
      <c r="BB202" s="3">
        <f t="shared" si="136"/>
        <v>164440.37200244411</v>
      </c>
      <c r="BC202" s="3">
        <f t="shared" si="125"/>
        <v>164409.48599974063</v>
      </c>
      <c r="BD202" s="3">
        <f t="shared" si="126"/>
        <v>328662</v>
      </c>
    </row>
    <row r="203" spans="3:56" x14ac:dyDescent="0.45">
      <c r="C203">
        <f t="shared" si="146"/>
        <v>191</v>
      </c>
      <c r="D203" s="2">
        <f t="shared" ref="D203:O212" si="165">$C$7*BL_MBPS*BL_KM^2*D$12^3*$C203^2/((EM_KM*D$12)^2+(2*PI()*AVG_SUN_DIST_KM*$C203)^2)</f>
        <v>722.69412218316097</v>
      </c>
      <c r="E203" s="2">
        <f t="shared" si="165"/>
        <v>5222.8405689880019</v>
      </c>
      <c r="F203" s="2">
        <f t="shared" si="165"/>
        <v>15181.867901228716</v>
      </c>
      <c r="G203" s="2">
        <f t="shared" si="165"/>
        <v>30134.34420034138</v>
      </c>
      <c r="H203" s="2">
        <f t="shared" si="165"/>
        <v>48678.110225223165</v>
      </c>
      <c r="I203" s="2">
        <f t="shared" si="165"/>
        <v>69439.139776188109</v>
      </c>
      <c r="J203" s="2">
        <f t="shared" si="165"/>
        <v>91416.268309060732</v>
      </c>
      <c r="K203" s="2">
        <f t="shared" si="165"/>
        <v>113975.8757231034</v>
      </c>
      <c r="L203" s="2">
        <f t="shared" si="165"/>
        <v>136748.05839745124</v>
      </c>
      <c r="M203" s="2">
        <f t="shared" si="165"/>
        <v>159529.17740152538</v>
      </c>
      <c r="N203" s="2">
        <f t="shared" si="165"/>
        <v>182213.90760768446</v>
      </c>
      <c r="O203" s="2">
        <f t="shared" si="165"/>
        <v>204752.94851760138</v>
      </c>
      <c r="P203" s="2">
        <f t="shared" si="147"/>
        <v>181894.96630744921</v>
      </c>
      <c r="R203">
        <f t="shared" si="148"/>
        <v>191</v>
      </c>
      <c r="S203" s="2">
        <f t="shared" si="163"/>
        <v>95500</v>
      </c>
      <c r="T203" s="2">
        <f t="shared" si="163"/>
        <v>191000</v>
      </c>
      <c r="U203" s="2">
        <f t="shared" si="163"/>
        <v>286500</v>
      </c>
      <c r="V203" s="2">
        <f t="shared" si="163"/>
        <v>382000</v>
      </c>
      <c r="W203" s="2">
        <f t="shared" si="163"/>
        <v>477500</v>
      </c>
      <c r="X203" s="2">
        <f t="shared" si="163"/>
        <v>573000</v>
      </c>
      <c r="Y203" s="2">
        <f t="shared" si="163"/>
        <v>668500</v>
      </c>
      <c r="Z203" s="2">
        <f t="shared" si="163"/>
        <v>764000</v>
      </c>
      <c r="AA203" s="2">
        <f t="shared" si="164"/>
        <v>859500</v>
      </c>
      <c r="AB203" s="2">
        <f t="shared" si="164"/>
        <v>955000</v>
      </c>
      <c r="AC203" s="2">
        <f t="shared" si="164"/>
        <v>1050500</v>
      </c>
      <c r="AD203" s="2">
        <f t="shared" si="164"/>
        <v>1146000</v>
      </c>
      <c r="AE203" s="2">
        <f t="shared" si="164"/>
        <v>859500</v>
      </c>
      <c r="AG203">
        <f t="shared" si="149"/>
        <v>191</v>
      </c>
      <c r="AH203" s="6">
        <f t="shared" si="150"/>
        <v>7.5674777191954024E-3</v>
      </c>
      <c r="AI203" s="6">
        <f t="shared" si="151"/>
        <v>2.7344715020879592E-2</v>
      </c>
      <c r="AJ203" s="6">
        <f t="shared" si="152"/>
        <v>5.2990812918773875E-2</v>
      </c>
      <c r="AK203" s="6">
        <f t="shared" si="153"/>
        <v>7.8885717801940786E-2</v>
      </c>
      <c r="AL203" s="6">
        <f t="shared" si="154"/>
        <v>0.10194368633554589</v>
      </c>
      <c r="AM203" s="6">
        <f t="shared" si="155"/>
        <v>0.12118523521149757</v>
      </c>
      <c r="AN203" s="6">
        <f t="shared" si="156"/>
        <v>0.13674834451617163</v>
      </c>
      <c r="AO203" s="6">
        <f t="shared" si="157"/>
        <v>0.1491830834072034</v>
      </c>
      <c r="AP203" s="6">
        <f t="shared" si="158"/>
        <v>0.15910187131756981</v>
      </c>
      <c r="AQ203" s="6">
        <f t="shared" si="159"/>
        <v>0.16704625905918888</v>
      </c>
      <c r="AR203" s="6">
        <f t="shared" si="160"/>
        <v>0.17345445750374533</v>
      </c>
      <c r="AS203" s="6">
        <f t="shared" si="161"/>
        <v>0.17866749434345672</v>
      </c>
      <c r="AT203" s="6">
        <f t="shared" si="162"/>
        <v>0.2116288147846995</v>
      </c>
      <c r="AW203" s="3">
        <f t="shared" si="131"/>
        <v>3820</v>
      </c>
      <c r="AX203" s="3">
        <f t="shared" si="127"/>
        <v>280</v>
      </c>
      <c r="AY203" s="3">
        <f t="shared" si="128"/>
        <v>1069600</v>
      </c>
      <c r="AZ203" s="13">
        <f t="shared" si="129"/>
        <v>0.15561291017612761</v>
      </c>
      <c r="BA203" s="3">
        <f t="shared" si="135"/>
        <v>166443.56872438607</v>
      </c>
      <c r="BB203" s="3">
        <f t="shared" si="136"/>
        <v>166632.1669648891</v>
      </c>
      <c r="BC203" s="3">
        <f t="shared" si="125"/>
        <v>166739.80099110489</v>
      </c>
      <c r="BD203" s="3">
        <f t="shared" si="126"/>
        <v>332764.44444444444</v>
      </c>
    </row>
    <row r="204" spans="3:56" x14ac:dyDescent="0.45">
      <c r="C204">
        <f t="shared" si="146"/>
        <v>192</v>
      </c>
      <c r="D204" s="2">
        <f t="shared" si="165"/>
        <v>722.96196009871494</v>
      </c>
      <c r="E204" s="2">
        <f t="shared" si="165"/>
        <v>5229.8416870748379</v>
      </c>
      <c r="F204" s="2">
        <f t="shared" si="165"/>
        <v>15221.355376448102</v>
      </c>
      <c r="G204" s="2">
        <f t="shared" si="165"/>
        <v>30251.171958962932</v>
      </c>
      <c r="H204" s="2">
        <f t="shared" si="165"/>
        <v>48922.269026526112</v>
      </c>
      <c r="I204" s="2">
        <f t="shared" si="165"/>
        <v>69853.562661165546</v>
      </c>
      <c r="J204" s="2">
        <f t="shared" si="165"/>
        <v>92032.392482202078</v>
      </c>
      <c r="K204" s="2">
        <f t="shared" si="165"/>
        <v>114814.41119876709</v>
      </c>
      <c r="L204" s="2">
        <f t="shared" si="165"/>
        <v>137821.54806899498</v>
      </c>
      <c r="M204" s="2">
        <f t="shared" si="165"/>
        <v>160844.54930519877</v>
      </c>
      <c r="N204" s="2">
        <f t="shared" si="165"/>
        <v>183774.45175621114</v>
      </c>
      <c r="O204" s="2">
        <f t="shared" si="165"/>
        <v>206559.69236184802</v>
      </c>
      <c r="P204" s="2">
        <f t="shared" si="147"/>
        <v>183803.8680182063</v>
      </c>
      <c r="R204">
        <f t="shared" si="148"/>
        <v>192</v>
      </c>
      <c r="S204" s="2">
        <f t="shared" si="163"/>
        <v>96000</v>
      </c>
      <c r="T204" s="2">
        <f t="shared" si="163"/>
        <v>192000</v>
      </c>
      <c r="U204" s="2">
        <f t="shared" si="163"/>
        <v>288000</v>
      </c>
      <c r="V204" s="2">
        <f t="shared" si="163"/>
        <v>384000</v>
      </c>
      <c r="W204" s="2">
        <f t="shared" si="163"/>
        <v>480000</v>
      </c>
      <c r="X204" s="2">
        <f t="shared" si="163"/>
        <v>576000</v>
      </c>
      <c r="Y204" s="2">
        <f t="shared" si="163"/>
        <v>672000</v>
      </c>
      <c r="Z204" s="2">
        <f t="shared" si="163"/>
        <v>768000</v>
      </c>
      <c r="AA204" s="2">
        <f t="shared" si="164"/>
        <v>864000</v>
      </c>
      <c r="AB204" s="2">
        <f t="shared" si="164"/>
        <v>960000</v>
      </c>
      <c r="AC204" s="2">
        <f t="shared" si="164"/>
        <v>1056000</v>
      </c>
      <c r="AD204" s="2">
        <f t="shared" si="164"/>
        <v>1152000</v>
      </c>
      <c r="AE204" s="2">
        <f t="shared" si="164"/>
        <v>864000</v>
      </c>
      <c r="AG204">
        <f t="shared" si="149"/>
        <v>192</v>
      </c>
      <c r="AH204" s="6">
        <f t="shared" si="150"/>
        <v>7.5308537510282809E-3</v>
      </c>
      <c r="AI204" s="6">
        <f t="shared" si="151"/>
        <v>2.7238758786848113E-2</v>
      </c>
      <c r="AJ204" s="6">
        <f t="shared" si="152"/>
        <v>5.2851928390444801E-2</v>
      </c>
      <c r="AK204" s="6">
        <f t="shared" si="153"/>
        <v>7.8779093643132639E-2</v>
      </c>
      <c r="AL204" s="6">
        <f t="shared" si="154"/>
        <v>0.10192139380526273</v>
      </c>
      <c r="AM204" s="6">
        <f t="shared" si="155"/>
        <v>0.12127354628674573</v>
      </c>
      <c r="AN204" s="6">
        <f t="shared" si="156"/>
        <v>0.13695296500327689</v>
      </c>
      <c r="AO204" s="6">
        <f t="shared" si="157"/>
        <v>0.14949793124839464</v>
      </c>
      <c r="AP204" s="6">
        <f t="shared" si="158"/>
        <v>0.15951568063541086</v>
      </c>
      <c r="AQ204" s="6">
        <f t="shared" si="159"/>
        <v>0.16754640552624872</v>
      </c>
      <c r="AR204" s="6">
        <f t="shared" si="160"/>
        <v>0.17402883689035145</v>
      </c>
      <c r="AS204" s="6">
        <f t="shared" si="161"/>
        <v>0.17930528850854863</v>
      </c>
      <c r="AT204" s="6">
        <f t="shared" si="162"/>
        <v>0.21273595835440542</v>
      </c>
      <c r="AW204" s="3">
        <f t="shared" si="131"/>
        <v>3840</v>
      </c>
      <c r="AX204" s="3">
        <f t="shared" si="127"/>
        <v>282</v>
      </c>
      <c r="AY204" s="3">
        <f t="shared" si="128"/>
        <v>1082880</v>
      </c>
      <c r="AZ204" s="13">
        <f t="shared" si="129"/>
        <v>0.15672442682470938</v>
      </c>
      <c r="BA204" s="3">
        <f t="shared" si="135"/>
        <v>169713.74731994129</v>
      </c>
      <c r="BB204" s="3">
        <f t="shared" si="136"/>
        <v>169745.10130679264</v>
      </c>
      <c r="BC204" s="3">
        <f t="shared" si="125"/>
        <v>169694.22693656254</v>
      </c>
      <c r="BD204" s="3">
        <f t="shared" si="126"/>
        <v>339302.40000000002</v>
      </c>
    </row>
    <row r="205" spans="3:56" x14ac:dyDescent="0.45">
      <c r="C205">
        <f t="shared" si="146"/>
        <v>193</v>
      </c>
      <c r="D205" s="2">
        <f t="shared" si="165"/>
        <v>723.22583953048536</v>
      </c>
      <c r="E205" s="2">
        <f t="shared" si="165"/>
        <v>5236.7526213830433</v>
      </c>
      <c r="F205" s="2">
        <f t="shared" si="165"/>
        <v>15260.431822023565</v>
      </c>
      <c r="G205" s="2">
        <f t="shared" si="165"/>
        <v>30367.076742212397</v>
      </c>
      <c r="H205" s="2">
        <f t="shared" si="165"/>
        <v>49165.046956795639</v>
      </c>
      <c r="I205" s="2">
        <f t="shared" si="165"/>
        <v>70266.421231665212</v>
      </c>
      <c r="J205" s="2">
        <f t="shared" si="165"/>
        <v>92647.13154252863</v>
      </c>
      <c r="K205" s="2">
        <f t="shared" si="165"/>
        <v>115652.08715479958</v>
      </c>
      <c r="L205" s="2">
        <f t="shared" si="165"/>
        <v>138894.98700735869</v>
      </c>
      <c r="M205" s="2">
        <f t="shared" si="165"/>
        <v>162160.89097425446</v>
      </c>
      <c r="N205" s="2">
        <f t="shared" si="165"/>
        <v>185337.13536202468</v>
      </c>
      <c r="O205" s="2">
        <f t="shared" si="165"/>
        <v>208369.84568255648</v>
      </c>
      <c r="P205" s="2">
        <f t="shared" si="147"/>
        <v>185722.73014093211</v>
      </c>
      <c r="R205">
        <f t="shared" si="148"/>
        <v>193</v>
      </c>
      <c r="S205" s="2">
        <f t="shared" si="163"/>
        <v>96500</v>
      </c>
      <c r="T205" s="2">
        <f t="shared" si="163"/>
        <v>193000</v>
      </c>
      <c r="U205" s="2">
        <f t="shared" si="163"/>
        <v>289500</v>
      </c>
      <c r="V205" s="2">
        <f t="shared" si="163"/>
        <v>386000</v>
      </c>
      <c r="W205" s="2">
        <f t="shared" si="163"/>
        <v>482500</v>
      </c>
      <c r="X205" s="2">
        <f t="shared" si="163"/>
        <v>579000</v>
      </c>
      <c r="Y205" s="2">
        <f t="shared" si="163"/>
        <v>675500</v>
      </c>
      <c r="Z205" s="2">
        <f t="shared" si="163"/>
        <v>772000</v>
      </c>
      <c r="AA205" s="2">
        <f t="shared" si="164"/>
        <v>868500</v>
      </c>
      <c r="AB205" s="2">
        <f t="shared" si="164"/>
        <v>965000</v>
      </c>
      <c r="AC205" s="2">
        <f t="shared" si="164"/>
        <v>1061500</v>
      </c>
      <c r="AD205" s="2">
        <f t="shared" si="164"/>
        <v>1158000</v>
      </c>
      <c r="AE205" s="2">
        <f t="shared" si="164"/>
        <v>868500</v>
      </c>
      <c r="AG205">
        <f t="shared" si="149"/>
        <v>193</v>
      </c>
      <c r="AH205" s="6">
        <f t="shared" si="150"/>
        <v>7.4945682852900035E-3</v>
      </c>
      <c r="AI205" s="6">
        <f t="shared" si="151"/>
        <v>2.7133433271414733E-2</v>
      </c>
      <c r="AJ205" s="6">
        <f t="shared" si="152"/>
        <v>5.2713063288509727E-2</v>
      </c>
      <c r="AK205" s="6">
        <f t="shared" si="153"/>
        <v>7.8671183269980308E-2</v>
      </c>
      <c r="AL205" s="6">
        <f t="shared" si="154"/>
        <v>0.10189647037677853</v>
      </c>
      <c r="AM205" s="6">
        <f t="shared" si="155"/>
        <v>0.12135824046919726</v>
      </c>
      <c r="AN205" s="6">
        <f t="shared" si="156"/>
        <v>0.13715341457073077</v>
      </c>
      <c r="AO205" s="6">
        <f t="shared" si="157"/>
        <v>0.14980840305025853</v>
      </c>
      <c r="AP205" s="6">
        <f t="shared" si="158"/>
        <v>0.15992514335907737</v>
      </c>
      <c r="AQ205" s="6">
        <f t="shared" si="159"/>
        <v>0.16804237406658493</v>
      </c>
      <c r="AR205" s="6">
        <f t="shared" si="160"/>
        <v>0.17459927966276464</v>
      </c>
      <c r="AS205" s="6">
        <f t="shared" si="161"/>
        <v>0.17993941768787261</v>
      </c>
      <c r="AT205" s="6">
        <f t="shared" si="162"/>
        <v>0.21384309745645608</v>
      </c>
      <c r="AW205" s="3">
        <f t="shared" si="131"/>
        <v>3860</v>
      </c>
      <c r="AX205" s="3">
        <f t="shared" si="127"/>
        <v>283</v>
      </c>
      <c r="AY205" s="3">
        <f t="shared" si="128"/>
        <v>1092380</v>
      </c>
      <c r="AZ205" s="13">
        <f t="shared" si="129"/>
        <v>0.15728018514900027</v>
      </c>
      <c r="BA205" s="3">
        <f t="shared" si="135"/>
        <v>171809.72865306493</v>
      </c>
      <c r="BB205" s="3">
        <f t="shared" si="136"/>
        <v>171983.72893347705</v>
      </c>
      <c r="BC205" s="3">
        <f t="shared" ref="BC205:BC268" si="166">IMPROVEMENT_V2*BL_MBPS*BL_KM^2*AW205^3*AX205^2/((EM_KM*AW205)^2+(2*PI()*AVG_SUN_DIST_KM*AX205)^2)</f>
        <v>172074.20766047013</v>
      </c>
      <c r="BD205" s="3">
        <f t="shared" ref="BD205:BD268" si="167">IMPROVEMENT_V2*BL_MBPS*BL_KM^2*AW205*AX205^2/EM_KM^2</f>
        <v>343492.82222222222</v>
      </c>
    </row>
    <row r="206" spans="3:56" x14ac:dyDescent="0.45">
      <c r="C206">
        <f t="shared" si="146"/>
        <v>194</v>
      </c>
      <c r="D206" s="2">
        <f t="shared" si="165"/>
        <v>723.48583714324013</v>
      </c>
      <c r="E206" s="2">
        <f t="shared" si="165"/>
        <v>5243.5748288968662</v>
      </c>
      <c r="F206" s="2">
        <f t="shared" si="165"/>
        <v>15299.102065138517</v>
      </c>
      <c r="G206" s="2">
        <f t="shared" si="165"/>
        <v>30482.064808326792</v>
      </c>
      <c r="H206" s="2">
        <f t="shared" si="165"/>
        <v>49406.44595323626</v>
      </c>
      <c r="I206" s="2">
        <f t="shared" si="165"/>
        <v>70677.707710633593</v>
      </c>
      <c r="J206" s="2">
        <f t="shared" si="165"/>
        <v>93260.465355684035</v>
      </c>
      <c r="K206" s="2">
        <f t="shared" si="165"/>
        <v>116488.87105632786</v>
      </c>
      <c r="L206" s="2">
        <f t="shared" si="165"/>
        <v>139968.33176806878</v>
      </c>
      <c r="M206" s="2">
        <f t="shared" si="165"/>
        <v>163478.15013909721</v>
      </c>
      <c r="N206" s="2">
        <f t="shared" si="165"/>
        <v>186901.89944259028</v>
      </c>
      <c r="O206" s="2">
        <f t="shared" si="165"/>
        <v>210183.34465985117</v>
      </c>
      <c r="P206" s="2">
        <f t="shared" si="147"/>
        <v>187651.55263553764</v>
      </c>
      <c r="R206">
        <f t="shared" si="148"/>
        <v>194</v>
      </c>
      <c r="S206" s="2">
        <f t="shared" ref="S206:Z215" si="168">$R206*S$12</f>
        <v>97000</v>
      </c>
      <c r="T206" s="2">
        <f t="shared" si="168"/>
        <v>194000</v>
      </c>
      <c r="U206" s="2">
        <f t="shared" si="168"/>
        <v>291000</v>
      </c>
      <c r="V206" s="2">
        <f t="shared" si="168"/>
        <v>388000</v>
      </c>
      <c r="W206" s="2">
        <f t="shared" si="168"/>
        <v>485000</v>
      </c>
      <c r="X206" s="2">
        <f t="shared" si="168"/>
        <v>582000</v>
      </c>
      <c r="Y206" s="2">
        <f t="shared" si="168"/>
        <v>679000</v>
      </c>
      <c r="Z206" s="2">
        <f t="shared" si="168"/>
        <v>776000</v>
      </c>
      <c r="AA206" s="2">
        <f t="shared" si="164"/>
        <v>873000</v>
      </c>
      <c r="AB206" s="2">
        <f t="shared" si="164"/>
        <v>970000</v>
      </c>
      <c r="AC206" s="2">
        <f t="shared" si="164"/>
        <v>1067000</v>
      </c>
      <c r="AD206" s="2">
        <f t="shared" si="164"/>
        <v>1164000</v>
      </c>
      <c r="AE206" s="2">
        <f t="shared" si="164"/>
        <v>873000</v>
      </c>
      <c r="AG206">
        <f t="shared" si="149"/>
        <v>194</v>
      </c>
      <c r="AH206" s="6">
        <f t="shared" si="150"/>
        <v>7.4586168777653625E-3</v>
      </c>
      <c r="AI206" s="6">
        <f t="shared" si="151"/>
        <v>2.7028736231427146E-2</v>
      </c>
      <c r="AJ206" s="6">
        <f t="shared" si="152"/>
        <v>5.2574233900819646E-2</v>
      </c>
      <c r="AK206" s="6">
        <f t="shared" si="153"/>
        <v>7.856202270187318E-2</v>
      </c>
      <c r="AL206" s="6">
        <f t="shared" si="154"/>
        <v>0.10186896072832219</v>
      </c>
      <c r="AM206" s="6">
        <f t="shared" si="155"/>
        <v>0.12143936032754912</v>
      </c>
      <c r="AN206" s="6">
        <f t="shared" si="156"/>
        <v>0.13734972806433585</v>
      </c>
      <c r="AO206" s="6">
        <f t="shared" si="157"/>
        <v>0.15011452455712354</v>
      </c>
      <c r="AP206" s="6">
        <f t="shared" si="158"/>
        <v>0.16033027693936858</v>
      </c>
      <c r="AQ206" s="6">
        <f t="shared" si="159"/>
        <v>0.16853417540113114</v>
      </c>
      <c r="AR206" s="6">
        <f t="shared" si="160"/>
        <v>0.17516579141761038</v>
      </c>
      <c r="AS206" s="6">
        <f t="shared" si="161"/>
        <v>0.18056988372839447</v>
      </c>
      <c r="AT206" s="6">
        <f t="shared" si="162"/>
        <v>0.2149502321140179</v>
      </c>
      <c r="AW206" s="3">
        <f t="shared" si="131"/>
        <v>3880</v>
      </c>
      <c r="AX206" s="3">
        <f t="shared" ref="AX206:AX269" si="169">ROUND($BB$7*AW206,0)</f>
        <v>285</v>
      </c>
      <c r="AY206" s="3">
        <f t="shared" ref="AY206:AY269" si="170">AW206*AX206</f>
        <v>1105800</v>
      </c>
      <c r="AZ206" s="13">
        <f t="shared" ref="AZ206:AZ269" si="171">$AX$7*AX206+$AY$7</f>
        <v>0.15839170179758205</v>
      </c>
      <c r="BA206" s="3">
        <f t="shared" si="135"/>
        <v>175149.54384776624</v>
      </c>
      <c r="BB206" s="3">
        <f t="shared" si="136"/>
        <v>175162.69929897992</v>
      </c>
      <c r="BC206" s="3">
        <f t="shared" si="166"/>
        <v>175091.00501382488</v>
      </c>
      <c r="BD206" s="3">
        <f t="shared" si="167"/>
        <v>350170</v>
      </c>
    </row>
    <row r="207" spans="3:56" x14ac:dyDescent="0.45">
      <c r="C207">
        <f t="shared" si="146"/>
        <v>195</v>
      </c>
      <c r="D207" s="2">
        <f t="shared" si="165"/>
        <v>723.74202777849598</v>
      </c>
      <c r="E207" s="2">
        <f t="shared" si="165"/>
        <v>5250.3097393126554</v>
      </c>
      <c r="F207" s="2">
        <f t="shared" si="165"/>
        <v>15337.370881571736</v>
      </c>
      <c r="G207" s="2">
        <f t="shared" si="165"/>
        <v>30596.142437987783</v>
      </c>
      <c r="H207" s="2">
        <f t="shared" si="165"/>
        <v>49646.468141991769</v>
      </c>
      <c r="I207" s="2">
        <f t="shared" si="165"/>
        <v>71087.414677569453</v>
      </c>
      <c r="J207" s="2">
        <f t="shared" si="165"/>
        <v>93872.37424782633</v>
      </c>
      <c r="K207" s="2">
        <f t="shared" si="165"/>
        <v>117324.73085850426</v>
      </c>
      <c r="L207" s="2">
        <f t="shared" si="165"/>
        <v>141041.53936974073</v>
      </c>
      <c r="M207" s="2">
        <f t="shared" si="165"/>
        <v>164796.27493317527</v>
      </c>
      <c r="N207" s="2">
        <f t="shared" si="165"/>
        <v>188468.68534384001</v>
      </c>
      <c r="O207" s="2">
        <f t="shared" si="165"/>
        <v>212000.1257252408</v>
      </c>
      <c r="P207" s="2">
        <f t="shared" si="147"/>
        <v>189590.33546214073</v>
      </c>
      <c r="R207">
        <f t="shared" si="148"/>
        <v>195</v>
      </c>
      <c r="S207" s="2">
        <f t="shared" si="168"/>
        <v>97500</v>
      </c>
      <c r="T207" s="2">
        <f t="shared" si="168"/>
        <v>195000</v>
      </c>
      <c r="U207" s="2">
        <f t="shared" si="168"/>
        <v>292500</v>
      </c>
      <c r="V207" s="2">
        <f t="shared" si="168"/>
        <v>390000</v>
      </c>
      <c r="W207" s="2">
        <f t="shared" si="168"/>
        <v>487500</v>
      </c>
      <c r="X207" s="2">
        <f t="shared" si="168"/>
        <v>585000</v>
      </c>
      <c r="Y207" s="2">
        <f t="shared" si="168"/>
        <v>682500</v>
      </c>
      <c r="Z207" s="2">
        <f t="shared" si="168"/>
        <v>780000</v>
      </c>
      <c r="AA207" s="2">
        <f t="shared" si="164"/>
        <v>877500</v>
      </c>
      <c r="AB207" s="2">
        <f t="shared" si="164"/>
        <v>975000</v>
      </c>
      <c r="AC207" s="2">
        <f t="shared" si="164"/>
        <v>1072500</v>
      </c>
      <c r="AD207" s="2">
        <f t="shared" si="164"/>
        <v>1170000</v>
      </c>
      <c r="AE207" s="2">
        <f t="shared" si="164"/>
        <v>877500</v>
      </c>
      <c r="AG207">
        <f t="shared" si="149"/>
        <v>195</v>
      </c>
      <c r="AH207" s="6">
        <f t="shared" si="150"/>
        <v>7.4229951567025233E-3</v>
      </c>
      <c r="AI207" s="6">
        <f t="shared" si="151"/>
        <v>2.692466532980849E-2</v>
      </c>
      <c r="AJ207" s="6">
        <f t="shared" si="152"/>
        <v>5.2435456005373457E-2</v>
      </c>
      <c r="AK207" s="6">
        <f t="shared" si="153"/>
        <v>7.8451647276891745E-2</v>
      </c>
      <c r="AL207" s="6">
        <f t="shared" si="154"/>
        <v>0.10183890900921388</v>
      </c>
      <c r="AM207" s="6">
        <f t="shared" si="155"/>
        <v>0.12151694816678539</v>
      </c>
      <c r="AN207" s="6">
        <f t="shared" si="156"/>
        <v>0.13754194028985542</v>
      </c>
      <c r="AO207" s="6">
        <f t="shared" si="157"/>
        <v>0.15041632161346699</v>
      </c>
      <c r="AP207" s="6">
        <f t="shared" si="158"/>
        <v>0.16073109899685553</v>
      </c>
      <c r="AQ207" s="6">
        <f t="shared" si="159"/>
        <v>0.16902182044428232</v>
      </c>
      <c r="AR207" s="6">
        <f t="shared" si="160"/>
        <v>0.17572837794297438</v>
      </c>
      <c r="AS207" s="6">
        <f t="shared" si="161"/>
        <v>0.18119668865405197</v>
      </c>
      <c r="AT207" s="6">
        <f t="shared" si="162"/>
        <v>0.21605736235001793</v>
      </c>
      <c r="AW207" s="3">
        <f t="shared" ref="AW207:AW270" si="172">AW206+$AW$13</f>
        <v>3900</v>
      </c>
      <c r="AX207" s="3">
        <f t="shared" si="169"/>
        <v>286</v>
      </c>
      <c r="AY207" s="3">
        <f t="shared" si="170"/>
        <v>1115400</v>
      </c>
      <c r="AZ207" s="13">
        <f t="shared" si="171"/>
        <v>0.15894746012187294</v>
      </c>
      <c r="BA207" s="3">
        <f t="shared" si="135"/>
        <v>177289.99701993709</v>
      </c>
      <c r="BB207" s="3">
        <f t="shared" si="136"/>
        <v>177448.6546280699</v>
      </c>
      <c r="BC207" s="3">
        <f t="shared" si="166"/>
        <v>177521.1750702631</v>
      </c>
      <c r="BD207" s="3">
        <f t="shared" si="167"/>
        <v>354449.33333333331</v>
      </c>
    </row>
    <row r="208" spans="3:56" x14ac:dyDescent="0.45">
      <c r="C208">
        <f t="shared" si="146"/>
        <v>196</v>
      </c>
      <c r="D208" s="2">
        <f t="shared" si="165"/>
        <v>723.99448450559896</v>
      </c>
      <c r="E208" s="2">
        <f t="shared" si="165"/>
        <v>5256.9587555914213</v>
      </c>
      <c r="F208" s="2">
        <f t="shared" si="165"/>
        <v>15375.242995775554</v>
      </c>
      <c r="G208" s="2">
        <f t="shared" si="165"/>
        <v>30709.315931504316</v>
      </c>
      <c r="H208" s="2">
        <f t="shared" si="165"/>
        <v>49885.115832487943</v>
      </c>
      <c r="I208" s="2">
        <f t="shared" si="165"/>
        <v>71495.535062297815</v>
      </c>
      <c r="J208" s="2">
        <f t="shared" si="165"/>
        <v>94482.839000866748</v>
      </c>
      <c r="K208" s="2">
        <f t="shared" si="165"/>
        <v>118159.63500404316</v>
      </c>
      <c r="L208" s="2">
        <f t="shared" si="165"/>
        <v>142114.56729383228</v>
      </c>
      <c r="M208" s="2">
        <f t="shared" si="165"/>
        <v>166115.21389446588</v>
      </c>
      <c r="N208" s="2">
        <f t="shared" si="165"/>
        <v>190037.43474283867</v>
      </c>
      <c r="O208" s="2">
        <f t="shared" si="165"/>
        <v>213820.12556499205</v>
      </c>
      <c r="P208" s="2">
        <f t="shared" si="147"/>
        <v>191539.07858106558</v>
      </c>
      <c r="R208">
        <f t="shared" si="148"/>
        <v>196</v>
      </c>
      <c r="S208" s="2">
        <f t="shared" si="168"/>
        <v>98000</v>
      </c>
      <c r="T208" s="2">
        <f t="shared" si="168"/>
        <v>196000</v>
      </c>
      <c r="U208" s="2">
        <f t="shared" si="168"/>
        <v>294000</v>
      </c>
      <c r="V208" s="2">
        <f t="shared" si="168"/>
        <v>392000</v>
      </c>
      <c r="W208" s="2">
        <f t="shared" si="168"/>
        <v>490000</v>
      </c>
      <c r="X208" s="2">
        <f t="shared" si="168"/>
        <v>588000</v>
      </c>
      <c r="Y208" s="2">
        <f t="shared" si="168"/>
        <v>686000</v>
      </c>
      <c r="Z208" s="2">
        <f t="shared" si="168"/>
        <v>784000</v>
      </c>
      <c r="AA208" s="2">
        <f t="shared" si="164"/>
        <v>882000</v>
      </c>
      <c r="AB208" s="2">
        <f t="shared" si="164"/>
        <v>980000</v>
      </c>
      <c r="AC208" s="2">
        <f t="shared" si="164"/>
        <v>1078000</v>
      </c>
      <c r="AD208" s="2">
        <f t="shared" si="164"/>
        <v>1176000</v>
      </c>
      <c r="AE208" s="2">
        <f t="shared" si="164"/>
        <v>882000</v>
      </c>
      <c r="AG208">
        <f t="shared" si="149"/>
        <v>196</v>
      </c>
      <c r="AH208" s="6">
        <f t="shared" si="150"/>
        <v>7.3876988214857039E-3</v>
      </c>
      <c r="AI208" s="6">
        <f t="shared" si="151"/>
        <v>2.6821218140772558E-2</v>
      </c>
      <c r="AJ208" s="6">
        <f t="shared" si="152"/>
        <v>5.2296744883590318E-2</v>
      </c>
      <c r="AK208" s="6">
        <f t="shared" si="153"/>
        <v>7.8340091662000802E-2</v>
      </c>
      <c r="AL208" s="6">
        <f t="shared" si="154"/>
        <v>0.10180635884181213</v>
      </c>
      <c r="AM208" s="6">
        <f t="shared" si="155"/>
        <v>0.12159104602431602</v>
      </c>
      <c r="AN208" s="6">
        <f t="shared" si="156"/>
        <v>0.13773008600709438</v>
      </c>
      <c r="AO208" s="6">
        <f t="shared" si="157"/>
        <v>0.15071382015821833</v>
      </c>
      <c r="AP208" s="6">
        <f t="shared" si="158"/>
        <v>0.16112762731727015</v>
      </c>
      <c r="AQ208" s="6">
        <f t="shared" si="159"/>
        <v>0.16950532030047538</v>
      </c>
      <c r="AR208" s="6">
        <f t="shared" si="160"/>
        <v>0.17628704521599134</v>
      </c>
      <c r="AS208" s="6">
        <f t="shared" si="161"/>
        <v>0.18181983466410889</v>
      </c>
      <c r="AT208" s="6">
        <f t="shared" si="162"/>
        <v>0.21716448818714917</v>
      </c>
      <c r="AW208" s="3">
        <f t="shared" si="172"/>
        <v>3920</v>
      </c>
      <c r="AX208" s="3">
        <f t="shared" si="169"/>
        <v>288</v>
      </c>
      <c r="AY208" s="3">
        <f t="shared" si="170"/>
        <v>1128960</v>
      </c>
      <c r="AZ208" s="13">
        <f t="shared" si="171"/>
        <v>0.16005897677045472</v>
      </c>
      <c r="BA208" s="3">
        <f t="shared" si="135"/>
        <v>180700.18241477257</v>
      </c>
      <c r="BB208" s="3">
        <f t="shared" si="136"/>
        <v>180694.35407044934</v>
      </c>
      <c r="BC208" s="3">
        <f t="shared" si="166"/>
        <v>180600.99527532284</v>
      </c>
      <c r="BD208" s="3">
        <f t="shared" si="167"/>
        <v>361267.20000000001</v>
      </c>
    </row>
    <row r="209" spans="3:56" x14ac:dyDescent="0.45">
      <c r="C209">
        <f t="shared" si="146"/>
        <v>197</v>
      </c>
      <c r="D209" s="2">
        <f t="shared" si="165"/>
        <v>724.2432786711654</v>
      </c>
      <c r="E209" s="2">
        <f t="shared" si="165"/>
        <v>5263.5232545004246</v>
      </c>
      <c r="F209" s="2">
        <f t="shared" si="165"/>
        <v>15412.723080980681</v>
      </c>
      <c r="G209" s="2">
        <f t="shared" si="165"/>
        <v>30821.591606093974</v>
      </c>
      <c r="H209" s="2">
        <f t="shared" si="165"/>
        <v>50122.391511880916</v>
      </c>
      <c r="I209" s="2">
        <f t="shared" si="165"/>
        <v>71902.062138789828</v>
      </c>
      <c r="J209" s="2">
        <f t="shared" si="165"/>
        <v>95091.840847683823</v>
      </c>
      <c r="K209" s="2">
        <f t="shared" si="165"/>
        <v>118993.55242068641</v>
      </c>
      <c r="L209" s="2">
        <f t="shared" si="165"/>
        <v>143187.37348430688</v>
      </c>
      <c r="M209" s="2">
        <f t="shared" si="165"/>
        <v>167434.9159668707</v>
      </c>
      <c r="N209" s="2">
        <f t="shared" si="165"/>
        <v>191608.08965036945</v>
      </c>
      <c r="O209" s="2">
        <f t="shared" si="165"/>
        <v>215643.28112343687</v>
      </c>
      <c r="P209" s="2">
        <f t="shared" si="147"/>
        <v>193497.781952839</v>
      </c>
      <c r="R209">
        <f t="shared" si="148"/>
        <v>197</v>
      </c>
      <c r="S209" s="2">
        <f t="shared" si="168"/>
        <v>98500</v>
      </c>
      <c r="T209" s="2">
        <f t="shared" si="168"/>
        <v>197000</v>
      </c>
      <c r="U209" s="2">
        <f t="shared" si="168"/>
        <v>295500</v>
      </c>
      <c r="V209" s="2">
        <f t="shared" si="168"/>
        <v>394000</v>
      </c>
      <c r="W209" s="2">
        <f t="shared" si="168"/>
        <v>492500</v>
      </c>
      <c r="X209" s="2">
        <f t="shared" si="168"/>
        <v>591000</v>
      </c>
      <c r="Y209" s="2">
        <f t="shared" si="168"/>
        <v>689500</v>
      </c>
      <c r="Z209" s="2">
        <f t="shared" si="168"/>
        <v>788000</v>
      </c>
      <c r="AA209" s="2">
        <f t="shared" si="164"/>
        <v>886500</v>
      </c>
      <c r="AB209" s="2">
        <f t="shared" si="164"/>
        <v>985000</v>
      </c>
      <c r="AC209" s="2">
        <f t="shared" si="164"/>
        <v>1083500</v>
      </c>
      <c r="AD209" s="2">
        <f t="shared" si="164"/>
        <v>1182000</v>
      </c>
      <c r="AE209" s="2">
        <f t="shared" si="164"/>
        <v>886500</v>
      </c>
      <c r="AG209">
        <f t="shared" si="149"/>
        <v>197</v>
      </c>
      <c r="AH209" s="6">
        <f t="shared" si="150"/>
        <v>7.3527236413316287E-3</v>
      </c>
      <c r="AI209" s="6">
        <f t="shared" si="151"/>
        <v>2.6718392154824491E-2</v>
      </c>
      <c r="AJ209" s="6">
        <f t="shared" si="152"/>
        <v>5.2158115333267953E-2</v>
      </c>
      <c r="AK209" s="6">
        <f t="shared" si="153"/>
        <v>7.8227389863182673E-2</v>
      </c>
      <c r="AL209" s="6">
        <f t="shared" si="154"/>
        <v>0.10177135332361607</v>
      </c>
      <c r="AM209" s="6">
        <f t="shared" si="155"/>
        <v>0.12166169566631105</v>
      </c>
      <c r="AN209" s="6">
        <f t="shared" si="156"/>
        <v>0.13791419992412446</v>
      </c>
      <c r="AO209" s="6">
        <f t="shared" si="157"/>
        <v>0.15100704621914518</v>
      </c>
      <c r="AP209" s="6">
        <f t="shared" si="158"/>
        <v>0.16151987984693389</v>
      </c>
      <c r="AQ209" s="6">
        <f t="shared" si="159"/>
        <v>0.16998468626078245</v>
      </c>
      <c r="AR209" s="6">
        <f t="shared" si="160"/>
        <v>0.17684179940043326</v>
      </c>
      <c r="AS209" s="6">
        <f t="shared" si="161"/>
        <v>0.18243932413150327</v>
      </c>
      <c r="AT209" s="6">
        <f t="shared" si="162"/>
        <v>0.21827160964787254</v>
      </c>
      <c r="AW209" s="3">
        <f t="shared" si="172"/>
        <v>3940</v>
      </c>
      <c r="AX209" s="3">
        <f t="shared" si="169"/>
        <v>289</v>
      </c>
      <c r="AY209" s="3">
        <f t="shared" si="170"/>
        <v>1138660</v>
      </c>
      <c r="AZ209" s="13">
        <f t="shared" si="171"/>
        <v>0.16061473509474561</v>
      </c>
      <c r="BA209" s="3">
        <f t="shared" si="135"/>
        <v>182885.57426298305</v>
      </c>
      <c r="BB209" s="3">
        <f t="shared" si="136"/>
        <v>183028.13214011095</v>
      </c>
      <c r="BC209" s="3">
        <f t="shared" si="166"/>
        <v>183081.87826425879</v>
      </c>
      <c r="BD209" s="3">
        <f t="shared" si="167"/>
        <v>365636.37777777779</v>
      </c>
    </row>
    <row r="210" spans="3:56" x14ac:dyDescent="0.45">
      <c r="C210">
        <f t="shared" si="146"/>
        <v>198</v>
      </c>
      <c r="D210" s="2">
        <f t="shared" si="165"/>
        <v>724.48847994694586</v>
      </c>
      <c r="E210" s="2">
        <f t="shared" si="165"/>
        <v>5270.0045871439734</v>
      </c>
      <c r="F210" s="2">
        <f t="shared" si="165"/>
        <v>15449.81575932618</v>
      </c>
      <c r="G210" s="2">
        <f t="shared" si="165"/>
        <v>30932.975793260761</v>
      </c>
      <c r="H210" s="2">
        <f t="shared" si="165"/>
        <v>50358.297839610597</v>
      </c>
      <c r="I210" s="2">
        <f t="shared" si="165"/>
        <v>72306.989519029405</v>
      </c>
      <c r="J210" s="2">
        <f t="shared" si="165"/>
        <v>95699.361467315248</v>
      </c>
      <c r="K210" s="2">
        <f t="shared" si="165"/>
        <v>119826.45251860055</v>
      </c>
      <c r="L210" s="2">
        <f t="shared" si="165"/>
        <v>144259.91634720867</v>
      </c>
      <c r="M210" s="2">
        <f t="shared" si="165"/>
        <v>168755.33050152316</v>
      </c>
      <c r="N210" s="2">
        <f t="shared" si="165"/>
        <v>193180.5924134404</v>
      </c>
      <c r="O210" s="2">
        <f t="shared" si="165"/>
        <v>217469.5296062133</v>
      </c>
      <c r="P210" s="2">
        <f t="shared" si="147"/>
        <v>195466.44553818798</v>
      </c>
      <c r="R210">
        <f t="shared" si="148"/>
        <v>198</v>
      </c>
      <c r="S210" s="2">
        <f t="shared" si="168"/>
        <v>99000</v>
      </c>
      <c r="T210" s="2">
        <f t="shared" si="168"/>
        <v>198000</v>
      </c>
      <c r="U210" s="2">
        <f t="shared" si="168"/>
        <v>297000</v>
      </c>
      <c r="V210" s="2">
        <f t="shared" si="168"/>
        <v>396000</v>
      </c>
      <c r="W210" s="2">
        <f t="shared" si="168"/>
        <v>495000</v>
      </c>
      <c r="X210" s="2">
        <f t="shared" si="168"/>
        <v>594000</v>
      </c>
      <c r="Y210" s="2">
        <f t="shared" si="168"/>
        <v>693000</v>
      </c>
      <c r="Z210" s="2">
        <f t="shared" si="168"/>
        <v>792000</v>
      </c>
      <c r="AA210" s="2">
        <f t="shared" si="164"/>
        <v>891000</v>
      </c>
      <c r="AB210" s="2">
        <f t="shared" si="164"/>
        <v>990000</v>
      </c>
      <c r="AC210" s="2">
        <f t="shared" si="164"/>
        <v>1089000</v>
      </c>
      <c r="AD210" s="2">
        <f t="shared" si="164"/>
        <v>1188000</v>
      </c>
      <c r="AE210" s="2">
        <f t="shared" si="164"/>
        <v>891000</v>
      </c>
      <c r="AG210">
        <f t="shared" si="149"/>
        <v>198</v>
      </c>
      <c r="AH210" s="6">
        <f t="shared" si="150"/>
        <v>7.3180654540095542E-3</v>
      </c>
      <c r="AI210" s="6">
        <f t="shared" si="151"/>
        <v>2.661618478355542E-2</v>
      </c>
      <c r="AJ210" s="6">
        <f t="shared" si="152"/>
        <v>5.2019581681232933E-2</v>
      </c>
      <c r="AK210" s="6">
        <f t="shared" si="153"/>
        <v>7.8113575235506966E-2</v>
      </c>
      <c r="AL210" s="6">
        <f t="shared" si="154"/>
        <v>0.10173393502951636</v>
      </c>
      <c r="AM210" s="6">
        <f t="shared" si="155"/>
        <v>0.12172893858422458</v>
      </c>
      <c r="AN210" s="6">
        <f t="shared" si="156"/>
        <v>0.13809431669165259</v>
      </c>
      <c r="AO210" s="6">
        <f t="shared" si="157"/>
        <v>0.15129602590732391</v>
      </c>
      <c r="AP210" s="6">
        <f t="shared" si="158"/>
        <v>0.16190787468822521</v>
      </c>
      <c r="AQ210" s="6">
        <f t="shared" si="159"/>
        <v>0.17045992979951835</v>
      </c>
      <c r="AR210" s="6">
        <f t="shared" si="160"/>
        <v>0.1773926468442979</v>
      </c>
      <c r="AS210" s="6">
        <f t="shared" si="161"/>
        <v>0.18305515960118965</v>
      </c>
      <c r="AT210" s="6">
        <f t="shared" si="162"/>
        <v>0.21937872675441975</v>
      </c>
      <c r="AW210" s="3">
        <f t="shared" si="172"/>
        <v>3960</v>
      </c>
      <c r="AX210" s="3">
        <f t="shared" si="169"/>
        <v>291</v>
      </c>
      <c r="AY210" s="3">
        <f t="shared" si="170"/>
        <v>1152360</v>
      </c>
      <c r="AZ210" s="13">
        <f t="shared" si="171"/>
        <v>0.16172625174332741</v>
      </c>
      <c r="BA210" s="3">
        <f t="shared" si="135"/>
        <v>186366.86345894079</v>
      </c>
      <c r="BB210" s="3">
        <f t="shared" si="136"/>
        <v>186341.2537126453</v>
      </c>
      <c r="BC210" s="3">
        <f t="shared" si="166"/>
        <v>186225.37276485402</v>
      </c>
      <c r="BD210" s="3">
        <f t="shared" si="167"/>
        <v>372596.4</v>
      </c>
    </row>
    <row r="211" spans="3:56" x14ac:dyDescent="0.45">
      <c r="C211">
        <f t="shared" si="146"/>
        <v>199</v>
      </c>
      <c r="D211" s="2">
        <f t="shared" si="165"/>
        <v>724.73015637616595</v>
      </c>
      <c r="E211" s="2">
        <f t="shared" si="165"/>
        <v>5276.404079483581</v>
      </c>
      <c r="F211" s="2">
        <f t="shared" si="165"/>
        <v>15486.525602013169</v>
      </c>
      <c r="G211" s="2">
        <f t="shared" si="165"/>
        <v>31043.474836266574</v>
      </c>
      <c r="H211" s="2">
        <f t="shared" si="165"/>
        <v>50592.837642058374</v>
      </c>
      <c r="I211" s="2">
        <f t="shared" si="165"/>
        <v>72710.311146928798</v>
      </c>
      <c r="J211" s="2">
        <f t="shared" si="165"/>
        <v>96305.382980130424</v>
      </c>
      <c r="K211" s="2">
        <f t="shared" si="165"/>
        <v>120658.30518770697</v>
      </c>
      <c r="L211" s="2">
        <f t="shared" si="165"/>
        <v>145332.15475015127</v>
      </c>
      <c r="M211" s="2">
        <f t="shared" si="165"/>
        <v>170076.40725800733</v>
      </c>
      <c r="N211" s="2">
        <f t="shared" si="165"/>
        <v>194754.88571771182</v>
      </c>
      <c r="O211" s="2">
        <f t="shared" si="165"/>
        <v>219298.80848344008</v>
      </c>
      <c r="P211" s="2">
        <f t="shared" si="147"/>
        <v>197445.06929804003</v>
      </c>
      <c r="R211">
        <f t="shared" si="148"/>
        <v>199</v>
      </c>
      <c r="S211" s="2">
        <f t="shared" si="168"/>
        <v>99500</v>
      </c>
      <c r="T211" s="2">
        <f t="shared" si="168"/>
        <v>199000</v>
      </c>
      <c r="U211" s="2">
        <f t="shared" si="168"/>
        <v>298500</v>
      </c>
      <c r="V211" s="2">
        <f t="shared" si="168"/>
        <v>398000</v>
      </c>
      <c r="W211" s="2">
        <f t="shared" si="168"/>
        <v>497500</v>
      </c>
      <c r="X211" s="2">
        <f t="shared" si="168"/>
        <v>597000</v>
      </c>
      <c r="Y211" s="2">
        <f t="shared" si="168"/>
        <v>696500</v>
      </c>
      <c r="Z211" s="2">
        <f t="shared" si="168"/>
        <v>796000</v>
      </c>
      <c r="AA211" s="2">
        <f t="shared" ref="AA211:AE220" si="173">$R211*AA$12</f>
        <v>895500</v>
      </c>
      <c r="AB211" s="2">
        <f t="shared" si="173"/>
        <v>995000</v>
      </c>
      <c r="AC211" s="2">
        <f t="shared" si="173"/>
        <v>1094500</v>
      </c>
      <c r="AD211" s="2">
        <f t="shared" si="173"/>
        <v>1194000</v>
      </c>
      <c r="AE211" s="2">
        <f t="shared" si="173"/>
        <v>895500</v>
      </c>
      <c r="AG211">
        <f t="shared" si="149"/>
        <v>199</v>
      </c>
      <c r="AH211" s="6">
        <f t="shared" si="150"/>
        <v>7.2837201645845825E-3</v>
      </c>
      <c r="AI211" s="6">
        <f t="shared" si="151"/>
        <v>2.65145933642391E-2</v>
      </c>
      <c r="AJ211" s="6">
        <f t="shared" si="152"/>
        <v>5.1881157795689012E-2</v>
      </c>
      <c r="AK211" s="6">
        <f t="shared" si="153"/>
        <v>7.7998680493132092E-2</v>
      </c>
      <c r="AL211" s="6">
        <f t="shared" si="154"/>
        <v>0.10169414601418769</v>
      </c>
      <c r="AM211" s="6">
        <f t="shared" si="155"/>
        <v>0.12179281599150553</v>
      </c>
      <c r="AN211" s="6">
        <f t="shared" si="156"/>
        <v>0.13827047089753111</v>
      </c>
      <c r="AO211" s="6">
        <f t="shared" si="157"/>
        <v>0.15158078541169218</v>
      </c>
      <c r="AP211" s="6">
        <f t="shared" si="158"/>
        <v>0.16229163009508796</v>
      </c>
      <c r="AQ211" s="6">
        <f t="shared" si="159"/>
        <v>0.17093106257086163</v>
      </c>
      <c r="AR211" s="6">
        <f t="shared" si="160"/>
        <v>0.17793959407739773</v>
      </c>
      <c r="AS211" s="6">
        <f t="shared" si="161"/>
        <v>0.18366734378847577</v>
      </c>
      <c r="AT211" s="6">
        <f t="shared" si="162"/>
        <v>0.2204858395287996</v>
      </c>
      <c r="AW211" s="3">
        <f t="shared" si="172"/>
        <v>3980</v>
      </c>
      <c r="AX211" s="3">
        <f t="shared" si="169"/>
        <v>292</v>
      </c>
      <c r="AY211" s="3">
        <f t="shared" si="170"/>
        <v>1162160</v>
      </c>
      <c r="AZ211" s="13">
        <f t="shared" si="171"/>
        <v>0.1622820100676183</v>
      </c>
      <c r="BA211" s="3">
        <f t="shared" si="135"/>
        <v>188597.66082018329</v>
      </c>
      <c r="BB211" s="3">
        <f t="shared" si="136"/>
        <v>188723.3495610393</v>
      </c>
      <c r="BC211" s="3">
        <f t="shared" si="166"/>
        <v>188757.49228623541</v>
      </c>
      <c r="BD211" s="3">
        <f t="shared" si="167"/>
        <v>377056.35555555561</v>
      </c>
    </row>
    <row r="212" spans="3:56" x14ac:dyDescent="0.45">
      <c r="C212">
        <f t="shared" si="146"/>
        <v>200</v>
      </c>
      <c r="D212" s="2">
        <f t="shared" si="165"/>
        <v>724.96837441840046</v>
      </c>
      <c r="E212" s="2">
        <f t="shared" si="165"/>
        <v>5282.7230328476653</v>
      </c>
      <c r="F212" s="2">
        <f t="shared" si="165"/>
        <v>15522.857129480843</v>
      </c>
      <c r="G212" s="2">
        <f t="shared" si="165"/>
        <v>31153.095087694102</v>
      </c>
      <c r="H212" s="2">
        <f t="shared" si="165"/>
        <v>50826.013907308072</v>
      </c>
      <c r="I212" s="2">
        <f t="shared" si="165"/>
        <v>73112.021292293939</v>
      </c>
      <c r="J212" s="2">
        <f t="shared" si="165"/>
        <v>96909.887942985282</v>
      </c>
      <c r="K212" s="2">
        <f t="shared" si="165"/>
        <v>121489.08079494895</v>
      </c>
      <c r="L212" s="2">
        <f t="shared" si="165"/>
        <v>146404.04802172186</v>
      </c>
      <c r="M212" s="2">
        <f t="shared" si="165"/>
        <v>171398.096405491</v>
      </c>
      <c r="N212" s="2">
        <f t="shared" si="165"/>
        <v>196330.91258984595</v>
      </c>
      <c r="O212" s="2">
        <f t="shared" si="165"/>
        <v>221131.05549282589</v>
      </c>
      <c r="P212" s="2">
        <f t="shared" si="147"/>
        <v>199433.65319351849</v>
      </c>
      <c r="R212">
        <f t="shared" si="148"/>
        <v>200</v>
      </c>
      <c r="S212" s="2">
        <f t="shared" si="168"/>
        <v>100000</v>
      </c>
      <c r="T212" s="2">
        <f t="shared" si="168"/>
        <v>200000</v>
      </c>
      <c r="U212" s="2">
        <f t="shared" si="168"/>
        <v>300000</v>
      </c>
      <c r="V212" s="2">
        <f t="shared" si="168"/>
        <v>400000</v>
      </c>
      <c r="W212" s="2">
        <f t="shared" si="168"/>
        <v>500000</v>
      </c>
      <c r="X212" s="2">
        <f t="shared" si="168"/>
        <v>600000</v>
      </c>
      <c r="Y212" s="2">
        <f t="shared" si="168"/>
        <v>700000</v>
      </c>
      <c r="Z212" s="2">
        <f t="shared" si="168"/>
        <v>800000</v>
      </c>
      <c r="AA212" s="2">
        <f t="shared" si="173"/>
        <v>900000</v>
      </c>
      <c r="AB212" s="2">
        <f t="shared" si="173"/>
        <v>1000000</v>
      </c>
      <c r="AC212" s="2">
        <f t="shared" si="173"/>
        <v>1100000</v>
      </c>
      <c r="AD212" s="2">
        <f t="shared" si="173"/>
        <v>1200000</v>
      </c>
      <c r="AE212" s="2">
        <f t="shared" si="173"/>
        <v>900000</v>
      </c>
      <c r="AG212">
        <f t="shared" si="149"/>
        <v>200</v>
      </c>
      <c r="AH212" s="6">
        <f t="shared" si="150"/>
        <v>7.2496837441840042E-3</v>
      </c>
      <c r="AI212" s="6">
        <f t="shared" si="151"/>
        <v>2.6413615164238326E-2</v>
      </c>
      <c r="AJ212" s="6">
        <f t="shared" si="152"/>
        <v>5.1742857098269472E-2</v>
      </c>
      <c r="AK212" s="6">
        <f t="shared" si="153"/>
        <v>7.7882737719235262E-2</v>
      </c>
      <c r="AL212" s="6">
        <f t="shared" si="154"/>
        <v>0.10165202781461614</v>
      </c>
      <c r="AM212" s="6">
        <f t="shared" si="155"/>
        <v>0.1218533688204899</v>
      </c>
      <c r="AN212" s="6">
        <f t="shared" si="156"/>
        <v>0.13844269706140755</v>
      </c>
      <c r="AO212" s="6">
        <f t="shared" si="157"/>
        <v>0.15186135099368619</v>
      </c>
      <c r="AP212" s="6">
        <f t="shared" si="158"/>
        <v>0.16267116446857985</v>
      </c>
      <c r="AQ212" s="6">
        <f t="shared" si="159"/>
        <v>0.171398096405491</v>
      </c>
      <c r="AR212" s="6">
        <f t="shared" si="160"/>
        <v>0.17848264780895087</v>
      </c>
      <c r="AS212" s="6">
        <f t="shared" si="161"/>
        <v>0.18427587957735492</v>
      </c>
      <c r="AT212" s="6">
        <f t="shared" si="162"/>
        <v>0.22159294799279833</v>
      </c>
      <c r="AW212" s="3">
        <f t="shared" si="172"/>
        <v>4000</v>
      </c>
      <c r="AX212" s="3">
        <f t="shared" si="169"/>
        <v>294</v>
      </c>
      <c r="AY212" s="3">
        <f t="shared" si="170"/>
        <v>1176000</v>
      </c>
      <c r="AZ212" s="13">
        <f t="shared" si="171"/>
        <v>0.16339352671620008</v>
      </c>
      <c r="BA212" s="3">
        <f t="shared" si="135"/>
        <v>192150.7874182513</v>
      </c>
      <c r="BB212" s="3">
        <f t="shared" si="136"/>
        <v>192104.58631701276</v>
      </c>
      <c r="BC212" s="3">
        <f t="shared" si="166"/>
        <v>191965.31252621819</v>
      </c>
      <c r="BD212" s="3">
        <f t="shared" si="167"/>
        <v>384160</v>
      </c>
    </row>
    <row r="213" spans="3:56" x14ac:dyDescent="0.45">
      <c r="C213">
        <f t="shared" si="146"/>
        <v>201</v>
      </c>
      <c r="D213" s="2">
        <f t="shared" ref="D213:O222" si="174">$C$7*BL_MBPS*BL_KM^2*D$12^3*$C213^2/((EM_KM*D$12)^2+(2*PI()*AVG_SUN_DIST_KM*$C213)^2)</f>
        <v>725.20319899303081</v>
      </c>
      <c r="E213" s="2">
        <f t="shared" si="174"/>
        <v>5288.9627244309213</v>
      </c>
      <c r="F213" s="2">
        <f t="shared" si="174"/>
        <v>15558.814811603534</v>
      </c>
      <c r="G213" s="2">
        <f t="shared" si="174"/>
        <v>31261.842907098555</v>
      </c>
      <c r="H213" s="2">
        <f t="shared" si="174"/>
        <v>51057.829780009517</v>
      </c>
      <c r="I213" s="2">
        <f t="shared" si="174"/>
        <v>73512.11454484117</v>
      </c>
      <c r="J213" s="2">
        <f t="shared" si="174"/>
        <v>97512.859344362761</v>
      </c>
      <c r="K213" s="2">
        <f t="shared" si="174"/>
        <v>122318.75018149641</v>
      </c>
      <c r="L213" s="2">
        <f t="shared" si="174"/>
        <v>147475.55595080231</v>
      </c>
      <c r="M213" s="2">
        <f t="shared" si="174"/>
        <v>172720.34852377285</v>
      </c>
      <c r="N213" s="2">
        <f t="shared" si="174"/>
        <v>197908.61639977852</v>
      </c>
      <c r="O213" s="2">
        <f t="shared" si="174"/>
        <v>222966.20864271215</v>
      </c>
      <c r="P213" s="2">
        <f t="shared" si="147"/>
        <v>201432.1971859425</v>
      </c>
      <c r="R213">
        <f t="shared" si="148"/>
        <v>201</v>
      </c>
      <c r="S213" s="2">
        <f t="shared" si="168"/>
        <v>100500</v>
      </c>
      <c r="T213" s="2">
        <f t="shared" si="168"/>
        <v>201000</v>
      </c>
      <c r="U213" s="2">
        <f t="shared" si="168"/>
        <v>301500</v>
      </c>
      <c r="V213" s="2">
        <f t="shared" si="168"/>
        <v>402000</v>
      </c>
      <c r="W213" s="2">
        <f t="shared" si="168"/>
        <v>502500</v>
      </c>
      <c r="X213" s="2">
        <f t="shared" si="168"/>
        <v>603000</v>
      </c>
      <c r="Y213" s="2">
        <f t="shared" si="168"/>
        <v>703500</v>
      </c>
      <c r="Z213" s="2">
        <f t="shared" si="168"/>
        <v>804000</v>
      </c>
      <c r="AA213" s="2">
        <f t="shared" si="173"/>
        <v>904500</v>
      </c>
      <c r="AB213" s="2">
        <f t="shared" si="173"/>
        <v>1005000</v>
      </c>
      <c r="AC213" s="2">
        <f t="shared" si="173"/>
        <v>1105500</v>
      </c>
      <c r="AD213" s="2">
        <f t="shared" si="173"/>
        <v>1206000</v>
      </c>
      <c r="AE213" s="2">
        <f t="shared" si="173"/>
        <v>904500</v>
      </c>
      <c r="AG213">
        <f t="shared" si="149"/>
        <v>201</v>
      </c>
      <c r="AH213" s="6">
        <f t="shared" si="150"/>
        <v>7.2159522287863764E-3</v>
      </c>
      <c r="AI213" s="6">
        <f t="shared" si="151"/>
        <v>2.6313247385228465E-2</v>
      </c>
      <c r="AJ213" s="6">
        <f t="shared" si="152"/>
        <v>5.160469257579945E-2</v>
      </c>
      <c r="AK213" s="6">
        <f t="shared" si="153"/>
        <v>7.7765778375867053E-2</v>
      </c>
      <c r="AL213" s="6">
        <f t="shared" si="154"/>
        <v>0.10160762145275526</v>
      </c>
      <c r="AM213" s="6">
        <f t="shared" si="155"/>
        <v>0.12191063771947126</v>
      </c>
      <c r="AN213" s="6">
        <f t="shared" si="156"/>
        <v>0.13861102962951352</v>
      </c>
      <c r="AO213" s="6">
        <f t="shared" si="157"/>
        <v>0.1521377489819607</v>
      </c>
      <c r="AP213" s="6">
        <f t="shared" si="158"/>
        <v>0.16304649635246249</v>
      </c>
      <c r="AQ213" s="6">
        <f t="shared" si="159"/>
        <v>0.17186104330723667</v>
      </c>
      <c r="AR213" s="6">
        <f t="shared" si="160"/>
        <v>0.1790218149251728</v>
      </c>
      <c r="AS213" s="6">
        <f t="shared" si="161"/>
        <v>0.18488077001883263</v>
      </c>
      <c r="AT213" s="6">
        <f t="shared" si="162"/>
        <v>0.22270005216798508</v>
      </c>
      <c r="AW213" s="3">
        <f t="shared" si="172"/>
        <v>4020</v>
      </c>
      <c r="AX213" s="3">
        <f t="shared" si="169"/>
        <v>295</v>
      </c>
      <c r="AY213" s="3">
        <f t="shared" si="170"/>
        <v>1185900</v>
      </c>
      <c r="AZ213" s="13">
        <f t="shared" si="171"/>
        <v>0.16394928504049097</v>
      </c>
      <c r="BA213" s="3">
        <f t="shared" si="135"/>
        <v>194427.45712951824</v>
      </c>
      <c r="BB213" s="3">
        <f t="shared" si="136"/>
        <v>194535.49498229969</v>
      </c>
      <c r="BC213" s="3">
        <f t="shared" si="166"/>
        <v>194549.19217997394</v>
      </c>
      <c r="BD213" s="3">
        <f t="shared" si="167"/>
        <v>388711.66666666669</v>
      </c>
    </row>
    <row r="214" spans="3:56" x14ac:dyDescent="0.45">
      <c r="C214">
        <f t="shared" si="146"/>
        <v>202</v>
      </c>
      <c r="D214" s="2">
        <f t="shared" si="174"/>
        <v>725.43469352133661</v>
      </c>
      <c r="E214" s="2">
        <f t="shared" si="174"/>
        <v>5295.1244077835681</v>
      </c>
      <c r="F214" s="2">
        <f t="shared" si="174"/>
        <v>15594.403067907529</v>
      </c>
      <c r="G214" s="2">
        <f t="shared" si="174"/>
        <v>31369.724658745978</v>
      </c>
      <c r="H214" s="2">
        <f t="shared" si="174"/>
        <v>51288.288556343563</v>
      </c>
      <c r="I214" s="2">
        <f t="shared" si="174"/>
        <v>73910.585808266391</v>
      </c>
      <c r="J214" s="2">
        <f t="shared" si="174"/>
        <v>98114.280599500344</v>
      </c>
      <c r="K214" s="2">
        <f t="shared" si="174"/>
        <v>123147.2846598914</v>
      </c>
      <c r="L214" s="2">
        <f t="shared" si="174"/>
        <v>148546.63878580913</v>
      </c>
      <c r="M214" s="2">
        <f t="shared" si="174"/>
        <v>174043.11460424558</v>
      </c>
      <c r="N214" s="2">
        <f t="shared" si="174"/>
        <v>199487.94086291347</v>
      </c>
      <c r="O214" s="2">
        <f t="shared" si="174"/>
        <v>224804.20621505106</v>
      </c>
      <c r="P214" s="2">
        <f t="shared" si="147"/>
        <v>203440.70123682369</v>
      </c>
      <c r="R214">
        <f t="shared" si="148"/>
        <v>202</v>
      </c>
      <c r="S214" s="2">
        <f t="shared" si="168"/>
        <v>101000</v>
      </c>
      <c r="T214" s="2">
        <f t="shared" si="168"/>
        <v>202000</v>
      </c>
      <c r="U214" s="2">
        <f t="shared" si="168"/>
        <v>303000</v>
      </c>
      <c r="V214" s="2">
        <f t="shared" si="168"/>
        <v>404000</v>
      </c>
      <c r="W214" s="2">
        <f t="shared" si="168"/>
        <v>505000</v>
      </c>
      <c r="X214" s="2">
        <f t="shared" si="168"/>
        <v>606000</v>
      </c>
      <c r="Y214" s="2">
        <f t="shared" si="168"/>
        <v>707000</v>
      </c>
      <c r="Z214" s="2">
        <f t="shared" si="168"/>
        <v>808000</v>
      </c>
      <c r="AA214" s="2">
        <f t="shared" si="173"/>
        <v>909000</v>
      </c>
      <c r="AB214" s="2">
        <f t="shared" si="173"/>
        <v>1010000</v>
      </c>
      <c r="AC214" s="2">
        <f t="shared" si="173"/>
        <v>1111000</v>
      </c>
      <c r="AD214" s="2">
        <f t="shared" si="173"/>
        <v>1212000</v>
      </c>
      <c r="AE214" s="2">
        <f t="shared" si="173"/>
        <v>909000</v>
      </c>
      <c r="AG214">
        <f t="shared" si="149"/>
        <v>202</v>
      </c>
      <c r="AH214" s="6">
        <f t="shared" si="150"/>
        <v>7.1825217180330357E-3</v>
      </c>
      <c r="AI214" s="6">
        <f t="shared" si="151"/>
        <v>2.6213487167245388E-2</v>
      </c>
      <c r="AJ214" s="6">
        <f t="shared" si="152"/>
        <v>5.1466676791774024E-2</v>
      </c>
      <c r="AK214" s="6">
        <f t="shared" si="153"/>
        <v>7.7647833313727668E-2</v>
      </c>
      <c r="AL214" s="6">
        <f t="shared" si="154"/>
        <v>0.10156096743830409</v>
      </c>
      <c r="AM214" s="6">
        <f t="shared" si="155"/>
        <v>0.12196466304994454</v>
      </c>
      <c r="AN214" s="6">
        <f t="shared" si="156"/>
        <v>0.13877550296959029</v>
      </c>
      <c r="AO214" s="6">
        <f t="shared" si="157"/>
        <v>0.15241000576719232</v>
      </c>
      <c r="AP214" s="6">
        <f t="shared" si="158"/>
        <v>0.16341764442883294</v>
      </c>
      <c r="AQ214" s="6">
        <f t="shared" si="159"/>
        <v>0.17231991544974809</v>
      </c>
      <c r="AR214" s="6">
        <f t="shared" si="160"/>
        <v>0.17955710248687082</v>
      </c>
      <c r="AS214" s="6">
        <f t="shared" si="161"/>
        <v>0.18548201832925004</v>
      </c>
      <c r="AT214" s="6">
        <f t="shared" si="162"/>
        <v>0.22380715207571364</v>
      </c>
      <c r="AW214" s="3">
        <f t="shared" si="172"/>
        <v>4040</v>
      </c>
      <c r="AX214" s="3">
        <f t="shared" si="169"/>
        <v>297</v>
      </c>
      <c r="AY214" s="3">
        <f t="shared" si="170"/>
        <v>1199880</v>
      </c>
      <c r="AZ214" s="13">
        <f t="shared" si="171"/>
        <v>0.16506080168907275</v>
      </c>
      <c r="BA214" s="3">
        <f t="shared" si="135"/>
        <v>198053.15473068462</v>
      </c>
      <c r="BB214" s="3">
        <f t="shared" si="136"/>
        <v>197985.53997499519</v>
      </c>
      <c r="BC214" s="3">
        <f t="shared" si="166"/>
        <v>197821.98960321728</v>
      </c>
      <c r="BD214" s="3">
        <f t="shared" si="167"/>
        <v>395960.4</v>
      </c>
    </row>
    <row r="215" spans="3:56" x14ac:dyDescent="0.45">
      <c r="C215">
        <f t="shared" si="146"/>
        <v>203</v>
      </c>
      <c r="D215" s="2">
        <f t="shared" si="174"/>
        <v>725.6629199672708</v>
      </c>
      <c r="E215" s="2">
        <f t="shared" si="174"/>
        <v>5301.2093132906211</v>
      </c>
      <c r="F215" s="2">
        <f t="shared" si="174"/>
        <v>15629.626267806458</v>
      </c>
      <c r="G215" s="2">
        <f t="shared" si="174"/>
        <v>31476.746709435763</v>
      </c>
      <c r="H215" s="2">
        <f t="shared" si="174"/>
        <v>51517.393679087843</v>
      </c>
      <c r="I215" s="2">
        <f t="shared" si="174"/>
        <v>74307.430294367819</v>
      </c>
      <c r="J215" s="2">
        <f t="shared" si="174"/>
        <v>98714.135545507335</v>
      </c>
      <c r="K215" s="2">
        <f t="shared" si="174"/>
        <v>123974.65601113676</v>
      </c>
      <c r="L215" s="2">
        <f t="shared" si="174"/>
        <v>149617.25723385374</v>
      </c>
      <c r="M215" s="2">
        <f t="shared" si="174"/>
        <v>175366.34605077561</v>
      </c>
      <c r="N215" s="2">
        <f t="shared" si="174"/>
        <v>201068.83004224105</v>
      </c>
      <c r="O215" s="2">
        <f t="shared" si="174"/>
        <v>226644.98676831779</v>
      </c>
      <c r="P215" s="2">
        <f t="shared" si="147"/>
        <v>205459.16530786507</v>
      </c>
      <c r="R215">
        <f t="shared" si="148"/>
        <v>203</v>
      </c>
      <c r="S215" s="2">
        <f t="shared" si="168"/>
        <v>101500</v>
      </c>
      <c r="T215" s="2">
        <f t="shared" si="168"/>
        <v>203000</v>
      </c>
      <c r="U215" s="2">
        <f t="shared" si="168"/>
        <v>304500</v>
      </c>
      <c r="V215" s="2">
        <f t="shared" si="168"/>
        <v>406000</v>
      </c>
      <c r="W215" s="2">
        <f t="shared" si="168"/>
        <v>507500</v>
      </c>
      <c r="X215" s="2">
        <f t="shared" si="168"/>
        <v>609000</v>
      </c>
      <c r="Y215" s="2">
        <f t="shared" si="168"/>
        <v>710500</v>
      </c>
      <c r="Z215" s="2">
        <f t="shared" si="168"/>
        <v>812000</v>
      </c>
      <c r="AA215" s="2">
        <f t="shared" si="173"/>
        <v>913500</v>
      </c>
      <c r="AB215" s="2">
        <f t="shared" si="173"/>
        <v>1015000</v>
      </c>
      <c r="AC215" s="2">
        <f t="shared" si="173"/>
        <v>1116500</v>
      </c>
      <c r="AD215" s="2">
        <f t="shared" si="173"/>
        <v>1218000</v>
      </c>
      <c r="AE215" s="2">
        <f t="shared" si="173"/>
        <v>913500</v>
      </c>
      <c r="AG215">
        <f t="shared" si="149"/>
        <v>203</v>
      </c>
      <c r="AH215" s="6">
        <f t="shared" si="150"/>
        <v>7.1493883740617811E-3</v>
      </c>
      <c r="AI215" s="6">
        <f t="shared" si="151"/>
        <v>2.6114331592564637E-2</v>
      </c>
      <c r="AJ215" s="6">
        <f t="shared" si="152"/>
        <v>5.1328821897558156E-2</v>
      </c>
      <c r="AK215" s="6">
        <f t="shared" si="153"/>
        <v>7.7528932781861487E-2</v>
      </c>
      <c r="AL215" s="6">
        <f t="shared" si="154"/>
        <v>0.10151210577160166</v>
      </c>
      <c r="AM215" s="6">
        <f t="shared" si="155"/>
        <v>0.12201548488401941</v>
      </c>
      <c r="AN215" s="6">
        <f t="shared" si="156"/>
        <v>0.13893615136594981</v>
      </c>
      <c r="AO215" s="6">
        <f t="shared" si="157"/>
        <v>0.15267814779696645</v>
      </c>
      <c r="AP215" s="6">
        <f t="shared" si="158"/>
        <v>0.16378462751379719</v>
      </c>
      <c r="AQ215" s="6">
        <f t="shared" si="159"/>
        <v>0.17277472517317793</v>
      </c>
      <c r="AR215" s="6">
        <f t="shared" si="160"/>
        <v>0.18008851772704079</v>
      </c>
      <c r="AS215" s="6">
        <f t="shared" si="161"/>
        <v>0.18607962788860244</v>
      </c>
      <c r="AT215" s="6">
        <f t="shared" si="162"/>
        <v>0.22491424773712651</v>
      </c>
      <c r="AW215" s="3">
        <f t="shared" si="172"/>
        <v>4060</v>
      </c>
      <c r="AX215" s="3">
        <f t="shared" si="169"/>
        <v>298</v>
      </c>
      <c r="AY215" s="3">
        <f t="shared" si="170"/>
        <v>1209880</v>
      </c>
      <c r="AZ215" s="13">
        <f t="shared" si="171"/>
        <v>0.16561656001336364</v>
      </c>
      <c r="BA215" s="3">
        <f t="shared" si="135"/>
        <v>200376.16362896841</v>
      </c>
      <c r="BB215" s="3">
        <f t="shared" si="136"/>
        <v>200465.75649533427</v>
      </c>
      <c r="BC215" s="3">
        <f t="shared" si="166"/>
        <v>200458.15298925852</v>
      </c>
      <c r="BD215" s="3">
        <f t="shared" si="167"/>
        <v>400604.7111111111</v>
      </c>
    </row>
    <row r="216" spans="3:56" x14ac:dyDescent="0.45">
      <c r="C216">
        <f t="shared" si="146"/>
        <v>204</v>
      </c>
      <c r="D216" s="2">
        <f t="shared" si="174"/>
        <v>725.88793887696113</v>
      </c>
      <c r="E216" s="2">
        <f t="shared" si="174"/>
        <v>5307.218648641342</v>
      </c>
      <c r="F216" s="2">
        <f t="shared" si="174"/>
        <v>15664.488730854062</v>
      </c>
      <c r="G216" s="2">
        <f t="shared" si="174"/>
        <v>31582.915426405023</v>
      </c>
      <c r="H216" s="2">
        <f t="shared" si="174"/>
        <v>51745.148732781898</v>
      </c>
      <c r="I216" s="2">
        <f t="shared" si="174"/>
        <v>74702.643517223609</v>
      </c>
      <c r="J216" s="2">
        <f t="shared" si="174"/>
        <v>99312.408436474157</v>
      </c>
      <c r="K216" s="2">
        <f t="shared" si="174"/>
        <v>124800.83648172923</v>
      </c>
      <c r="L216" s="2">
        <f t="shared" si="174"/>
        <v>150687.3724598253</v>
      </c>
      <c r="M216" s="2">
        <f t="shared" si="174"/>
        <v>176689.99468050059</v>
      </c>
      <c r="N216" s="2">
        <f t="shared" si="174"/>
        <v>202651.22835038046</v>
      </c>
      <c r="O216" s="2">
        <f t="shared" si="174"/>
        <v>228488.48914035817</v>
      </c>
      <c r="P216" s="2">
        <f t="shared" si="147"/>
        <v>207487.58936095869</v>
      </c>
      <c r="R216">
        <f t="shared" si="148"/>
        <v>204</v>
      </c>
      <c r="S216" s="2">
        <f t="shared" ref="S216:Z228" si="175">$R216*S$12</f>
        <v>102000</v>
      </c>
      <c r="T216" s="2">
        <f t="shared" si="175"/>
        <v>204000</v>
      </c>
      <c r="U216" s="2">
        <f t="shared" si="175"/>
        <v>306000</v>
      </c>
      <c r="V216" s="2">
        <f t="shared" si="175"/>
        <v>408000</v>
      </c>
      <c r="W216" s="2">
        <f t="shared" si="175"/>
        <v>510000</v>
      </c>
      <c r="X216" s="2">
        <f t="shared" si="175"/>
        <v>612000</v>
      </c>
      <c r="Y216" s="2">
        <f t="shared" si="175"/>
        <v>714000</v>
      </c>
      <c r="Z216" s="2">
        <f t="shared" si="175"/>
        <v>816000</v>
      </c>
      <c r="AA216" s="2">
        <f t="shared" si="173"/>
        <v>918000</v>
      </c>
      <c r="AB216" s="2">
        <f t="shared" si="173"/>
        <v>1020000</v>
      </c>
      <c r="AC216" s="2">
        <f t="shared" si="173"/>
        <v>1122000</v>
      </c>
      <c r="AD216" s="2">
        <f t="shared" si="173"/>
        <v>1224000</v>
      </c>
      <c r="AE216" s="2">
        <f t="shared" si="173"/>
        <v>918000</v>
      </c>
      <c r="AG216">
        <f t="shared" si="149"/>
        <v>204</v>
      </c>
      <c r="AH216" s="6">
        <f t="shared" si="150"/>
        <v>7.1165484203623642E-3</v>
      </c>
      <c r="AI216" s="6">
        <f t="shared" si="151"/>
        <v>2.6015777689418342E-2</v>
      </c>
      <c r="AJ216" s="6">
        <f t="shared" si="152"/>
        <v>5.1191139643313927E-2</v>
      </c>
      <c r="AK216" s="6">
        <f t="shared" si="153"/>
        <v>7.7409106437267214E-2</v>
      </c>
      <c r="AL216" s="6">
        <f t="shared" si="154"/>
        <v>0.10146107594663117</v>
      </c>
      <c r="AM216" s="6">
        <f t="shared" si="155"/>
        <v>0.12206314300199936</v>
      </c>
      <c r="AN216" s="6">
        <f t="shared" si="156"/>
        <v>0.1390930090146697</v>
      </c>
      <c r="AO216" s="6">
        <f t="shared" si="157"/>
        <v>0.15294220157074662</v>
      </c>
      <c r="AP216" s="6">
        <f t="shared" si="158"/>
        <v>0.1641474645531866</v>
      </c>
      <c r="AQ216" s="6">
        <f t="shared" si="159"/>
        <v>0.17322548498088294</v>
      </c>
      <c r="AR216" s="6">
        <f t="shared" si="160"/>
        <v>0.18061606804846744</v>
      </c>
      <c r="AS216" s="6">
        <f t="shared" si="161"/>
        <v>0.18667360223885471</v>
      </c>
      <c r="AT216" s="6">
        <f t="shared" si="162"/>
        <v>0.22602133917315761</v>
      </c>
      <c r="AW216" s="3">
        <f t="shared" si="172"/>
        <v>4080</v>
      </c>
      <c r="AX216" s="3">
        <f t="shared" si="169"/>
        <v>300</v>
      </c>
      <c r="AY216" s="3">
        <f t="shared" si="170"/>
        <v>1224000</v>
      </c>
      <c r="AZ216" s="13">
        <f t="shared" si="171"/>
        <v>0.16672807666194542</v>
      </c>
      <c r="BA216" s="3">
        <f t="shared" si="135"/>
        <v>204075.1658342212</v>
      </c>
      <c r="BB216" s="3">
        <f t="shared" si="136"/>
        <v>203985.30277803674</v>
      </c>
      <c r="BC216" s="3">
        <f t="shared" si="166"/>
        <v>203796.57903965519</v>
      </c>
      <c r="BD216" s="3">
        <f t="shared" si="167"/>
        <v>408000</v>
      </c>
    </row>
    <row r="217" spans="3:56" x14ac:dyDescent="0.45">
      <c r="C217">
        <f t="shared" si="146"/>
        <v>205</v>
      </c>
      <c r="D217" s="2">
        <f t="shared" si="174"/>
        <v>726.10980941698745</v>
      </c>
      <c r="E217" s="2">
        <f t="shared" si="174"/>
        <v>5313.1535992890695</v>
      </c>
      <c r="F217" s="2">
        <f t="shared" si="174"/>
        <v>15698.994727013287</v>
      </c>
      <c r="G217" s="2">
        <f t="shared" si="174"/>
        <v>31688.237175312617</v>
      </c>
      <c r="H217" s="2">
        <f t="shared" si="174"/>
        <v>51971.557438991127</v>
      </c>
      <c r="I217" s="2">
        <f t="shared" si="174"/>
        <v>75096.221287424967</v>
      </c>
      <c r="J217" s="2">
        <f t="shared" si="174"/>
        <v>99909.083938575408</v>
      </c>
      <c r="K217" s="2">
        <f t="shared" si="174"/>
        <v>125625.79878064035</v>
      </c>
      <c r="L217" s="2">
        <f t="shared" si="174"/>
        <v>151756.94608539712</v>
      </c>
      <c r="M217" s="2">
        <f t="shared" si="174"/>
        <v>178014.01272454608</v>
      </c>
      <c r="N217" s="2">
        <f t="shared" si="174"/>
        <v>204235.08055154647</v>
      </c>
      <c r="O217" s="2">
        <f t="shared" si="174"/>
        <v>230334.65245117171</v>
      </c>
      <c r="P217" s="2">
        <f t="shared" si="147"/>
        <v>209525.97335818506</v>
      </c>
      <c r="R217">
        <f t="shared" si="148"/>
        <v>205</v>
      </c>
      <c r="S217" s="2">
        <f t="shared" si="175"/>
        <v>102500</v>
      </c>
      <c r="T217" s="2">
        <f t="shared" si="175"/>
        <v>205000</v>
      </c>
      <c r="U217" s="2">
        <f t="shared" si="175"/>
        <v>307500</v>
      </c>
      <c r="V217" s="2">
        <f t="shared" si="175"/>
        <v>410000</v>
      </c>
      <c r="W217" s="2">
        <f t="shared" si="175"/>
        <v>512500</v>
      </c>
      <c r="X217" s="2">
        <f t="shared" si="175"/>
        <v>615000</v>
      </c>
      <c r="Y217" s="2">
        <f t="shared" si="175"/>
        <v>717500</v>
      </c>
      <c r="Z217" s="2">
        <f t="shared" si="175"/>
        <v>820000</v>
      </c>
      <c r="AA217" s="2">
        <f t="shared" si="173"/>
        <v>922500</v>
      </c>
      <c r="AB217" s="2">
        <f t="shared" si="173"/>
        <v>1025000</v>
      </c>
      <c r="AC217" s="2">
        <f t="shared" si="173"/>
        <v>1127500</v>
      </c>
      <c r="AD217" s="2">
        <f t="shared" si="173"/>
        <v>1230000</v>
      </c>
      <c r="AE217" s="2">
        <f t="shared" si="173"/>
        <v>922500</v>
      </c>
      <c r="AG217">
        <f t="shared" si="149"/>
        <v>205</v>
      </c>
      <c r="AH217" s="6">
        <f t="shared" si="150"/>
        <v>7.0839981406535359E-3</v>
      </c>
      <c r="AI217" s="6">
        <f t="shared" si="151"/>
        <v>2.5917822435556435E-2</v>
      </c>
      <c r="AJ217" s="6">
        <f t="shared" si="152"/>
        <v>5.1053641388661093E-2</v>
      </c>
      <c r="AK217" s="6">
        <f t="shared" si="153"/>
        <v>7.7288383354421022E-2</v>
      </c>
      <c r="AL217" s="6">
        <f t="shared" si="154"/>
        <v>0.10140791695412903</v>
      </c>
      <c r="AM217" s="6">
        <f t="shared" si="155"/>
        <v>0.12210767689012189</v>
      </c>
      <c r="AN217" s="6">
        <f t="shared" si="156"/>
        <v>0.13924611001892043</v>
      </c>
      <c r="AO217" s="6">
        <f t="shared" si="157"/>
        <v>0.15320219363492726</v>
      </c>
      <c r="AP217" s="6">
        <f t="shared" si="158"/>
        <v>0.16450617461831665</v>
      </c>
      <c r="AQ217" s="6">
        <f t="shared" si="159"/>
        <v>0.17367220753614251</v>
      </c>
      <c r="AR217" s="6">
        <f t="shared" si="160"/>
        <v>0.18113976102132726</v>
      </c>
      <c r="AS217" s="6">
        <f t="shared" si="161"/>
        <v>0.18726394508225341</v>
      </c>
      <c r="AT217" s="6">
        <f t="shared" si="162"/>
        <v>0.22712842640453665</v>
      </c>
      <c r="AW217" s="3">
        <f t="shared" si="172"/>
        <v>4100</v>
      </c>
      <c r="AX217" s="3">
        <f t="shared" si="169"/>
        <v>301</v>
      </c>
      <c r="AY217" s="3">
        <f t="shared" si="170"/>
        <v>1234100</v>
      </c>
      <c r="AZ217" s="13">
        <f t="shared" si="171"/>
        <v>0.16728383498623631</v>
      </c>
      <c r="BA217" s="3">
        <f t="shared" si="135"/>
        <v>206444.98075651424</v>
      </c>
      <c r="BB217" s="3">
        <f t="shared" si="136"/>
        <v>206515.32219158599</v>
      </c>
      <c r="BC217" s="3">
        <f t="shared" si="166"/>
        <v>206485.54975787582</v>
      </c>
      <c r="BD217" s="3">
        <f t="shared" si="167"/>
        <v>412737.88888888888</v>
      </c>
    </row>
    <row r="218" spans="3:56" x14ac:dyDescent="0.45">
      <c r="C218">
        <f t="shared" si="146"/>
        <v>206</v>
      </c>
      <c r="D218" s="2">
        <f t="shared" si="174"/>
        <v>726.32858941147128</v>
      </c>
      <c r="E218" s="2">
        <f t="shared" si="174"/>
        <v>5319.0153289015607</v>
      </c>
      <c r="F218" s="2">
        <f t="shared" si="174"/>
        <v>15733.148476940616</v>
      </c>
      <c r="G218" s="2">
        <f t="shared" si="174"/>
        <v>31792.718318300685</v>
      </c>
      <c r="H218" s="2">
        <f t="shared" si="174"/>
        <v>52196.623651668051</v>
      </c>
      <c r="I218" s="2">
        <f t="shared" si="174"/>
        <v>75488.159706365957</v>
      </c>
      <c r="J218" s="2">
        <f t="shared" si="174"/>
        <v>100504.14712516899</v>
      </c>
      <c r="K218" s="2">
        <f t="shared" si="174"/>
        <v>126449.51607624638</v>
      </c>
      <c r="L218" s="2">
        <f t="shared" si="174"/>
        <v>152825.94018795894</v>
      </c>
      <c r="M218" s="2">
        <f t="shared" si="174"/>
        <v>179338.35282866235</v>
      </c>
      <c r="N218" s="2">
        <f t="shared" si="174"/>
        <v>205820.33176344255</v>
      </c>
      <c r="O218" s="2">
        <f t="shared" si="174"/>
        <v>232183.41610562979</v>
      </c>
      <c r="P218" s="2">
        <f t="shared" si="147"/>
        <v>211574.31726180864</v>
      </c>
      <c r="R218">
        <f t="shared" si="148"/>
        <v>206</v>
      </c>
      <c r="S218" s="2">
        <f t="shared" si="175"/>
        <v>103000</v>
      </c>
      <c r="T218" s="2">
        <f t="shared" si="175"/>
        <v>206000</v>
      </c>
      <c r="U218" s="2">
        <f t="shared" si="175"/>
        <v>309000</v>
      </c>
      <c r="V218" s="2">
        <f t="shared" si="175"/>
        <v>412000</v>
      </c>
      <c r="W218" s="2">
        <f t="shared" si="175"/>
        <v>515000</v>
      </c>
      <c r="X218" s="2">
        <f t="shared" si="175"/>
        <v>618000</v>
      </c>
      <c r="Y218" s="2">
        <f t="shared" si="175"/>
        <v>721000</v>
      </c>
      <c r="Z218" s="2">
        <f t="shared" si="175"/>
        <v>824000</v>
      </c>
      <c r="AA218" s="2">
        <f t="shared" si="173"/>
        <v>927000</v>
      </c>
      <c r="AB218" s="2">
        <f t="shared" si="173"/>
        <v>1030000</v>
      </c>
      <c r="AC218" s="2">
        <f t="shared" si="173"/>
        <v>1133000</v>
      </c>
      <c r="AD218" s="2">
        <f t="shared" si="173"/>
        <v>1236000</v>
      </c>
      <c r="AE218" s="2">
        <f t="shared" si="173"/>
        <v>927000</v>
      </c>
      <c r="AG218">
        <f t="shared" si="149"/>
        <v>206</v>
      </c>
      <c r="AH218" s="6">
        <f t="shared" si="150"/>
        <v>7.0517338777812749E-3</v>
      </c>
      <c r="AI218" s="6">
        <f t="shared" si="151"/>
        <v>2.5820462761658062E-2</v>
      </c>
      <c r="AJ218" s="6">
        <f t="shared" si="152"/>
        <v>5.0916338113076429E-2</v>
      </c>
      <c r="AK218" s="6">
        <f t="shared" si="153"/>
        <v>7.7166792034710399E-2</v>
      </c>
      <c r="AL218" s="6">
        <f t="shared" si="154"/>
        <v>0.10135266728479234</v>
      </c>
      <c r="AM218" s="6">
        <f t="shared" si="155"/>
        <v>0.12214912573845624</v>
      </c>
      <c r="AN218" s="6">
        <f t="shared" si="156"/>
        <v>0.13939548838442301</v>
      </c>
      <c r="AO218" s="6">
        <f t="shared" si="157"/>
        <v>0.15345815057796891</v>
      </c>
      <c r="AP218" s="6">
        <f t="shared" si="158"/>
        <v>0.16486077690178957</v>
      </c>
      <c r="AQ218" s="6">
        <f t="shared" si="159"/>
        <v>0.17411490565889548</v>
      </c>
      <c r="AR218" s="6">
        <f t="shared" si="160"/>
        <v>0.18165960438079659</v>
      </c>
      <c r="AS218" s="6">
        <f t="shared" si="161"/>
        <v>0.18785066027963576</v>
      </c>
      <c r="AT218" s="6">
        <f t="shared" si="162"/>
        <v>0.22823550945178925</v>
      </c>
      <c r="AW218" s="3">
        <f t="shared" si="172"/>
        <v>4120</v>
      </c>
      <c r="AX218" s="3">
        <f t="shared" si="169"/>
        <v>303</v>
      </c>
      <c r="AY218" s="3">
        <f t="shared" si="170"/>
        <v>1248360</v>
      </c>
      <c r="AZ218" s="13">
        <f t="shared" si="171"/>
        <v>0.16839535163481809</v>
      </c>
      <c r="BA218" s="3">
        <f t="shared" si="135"/>
        <v>210218.0211668415</v>
      </c>
      <c r="BB218" s="3">
        <f t="shared" si="136"/>
        <v>210105.06281758353</v>
      </c>
      <c r="BC218" s="3">
        <f t="shared" si="166"/>
        <v>209890.25587933767</v>
      </c>
      <c r="BD218" s="3">
        <f t="shared" si="167"/>
        <v>420281.2</v>
      </c>
    </row>
    <row r="219" spans="3:56" x14ac:dyDescent="0.45">
      <c r="C219">
        <f t="shared" si="146"/>
        <v>207</v>
      </c>
      <c r="D219" s="2">
        <f t="shared" si="174"/>
        <v>726.54433537802618</v>
      </c>
      <c r="E219" s="2">
        <f t="shared" si="174"/>
        <v>5324.8049798020447</v>
      </c>
      <c r="F219" s="2">
        <f t="shared" si="174"/>
        <v>15766.954152284647</v>
      </c>
      <c r="G219" s="2">
        <f t="shared" si="174"/>
        <v>31896.365212131412</v>
      </c>
      <c r="H219" s="2">
        <f t="shared" si="174"/>
        <v>52420.35135261016</v>
      </c>
      <c r="I219" s="2">
        <f t="shared" si="174"/>
        <v>75878.455160590878</v>
      </c>
      <c r="J219" s="2">
        <f t="shared" si="174"/>
        <v>101097.58347189317</v>
      </c>
      <c r="K219" s="2">
        <f t="shared" si="174"/>
        <v>127271.96199320981</v>
      </c>
      <c r="L219" s="2">
        <f t="shared" si="174"/>
        <v>153894.31729947633</v>
      </c>
      <c r="M219" s="2">
        <f t="shared" si="174"/>
        <v>180662.96805378227</v>
      </c>
      <c r="N219" s="2">
        <f t="shared" si="174"/>
        <v>207406.92745907902</v>
      </c>
      <c r="O219" s="2">
        <f t="shared" si="174"/>
        <v>234034.71979613003</v>
      </c>
      <c r="P219" s="2">
        <f t="shared" si="147"/>
        <v>213632.62103427862</v>
      </c>
      <c r="R219">
        <f t="shared" si="148"/>
        <v>207</v>
      </c>
      <c r="S219" s="2">
        <f t="shared" si="175"/>
        <v>103500</v>
      </c>
      <c r="T219" s="2">
        <f t="shared" si="175"/>
        <v>207000</v>
      </c>
      <c r="U219" s="2">
        <f t="shared" si="175"/>
        <v>310500</v>
      </c>
      <c r="V219" s="2">
        <f t="shared" si="175"/>
        <v>414000</v>
      </c>
      <c r="W219" s="2">
        <f t="shared" si="175"/>
        <v>517500</v>
      </c>
      <c r="X219" s="2">
        <f t="shared" si="175"/>
        <v>621000</v>
      </c>
      <c r="Y219" s="2">
        <f t="shared" si="175"/>
        <v>724500</v>
      </c>
      <c r="Z219" s="2">
        <f t="shared" si="175"/>
        <v>828000</v>
      </c>
      <c r="AA219" s="2">
        <f t="shared" si="173"/>
        <v>931500</v>
      </c>
      <c r="AB219" s="2">
        <f t="shared" si="173"/>
        <v>1035000</v>
      </c>
      <c r="AC219" s="2">
        <f t="shared" si="173"/>
        <v>1138500</v>
      </c>
      <c r="AD219" s="2">
        <f t="shared" si="173"/>
        <v>1242000</v>
      </c>
      <c r="AE219" s="2">
        <f t="shared" si="173"/>
        <v>931500</v>
      </c>
      <c r="AG219">
        <f t="shared" si="149"/>
        <v>207</v>
      </c>
      <c r="AH219" s="6">
        <f t="shared" si="150"/>
        <v>7.0197520326379338E-3</v>
      </c>
      <c r="AI219" s="6">
        <f t="shared" si="151"/>
        <v>2.572369555459925E-2</v>
      </c>
      <c r="AJ219" s="6">
        <f t="shared" si="152"/>
        <v>5.0779240426037507E-2</v>
      </c>
      <c r="AK219" s="6">
        <f t="shared" si="153"/>
        <v>7.704436041577635E-2</v>
      </c>
      <c r="AL219" s="6">
        <f t="shared" si="154"/>
        <v>0.10129536493258001</v>
      </c>
      <c r="AM219" s="6">
        <f t="shared" si="155"/>
        <v>0.12218752843895471</v>
      </c>
      <c r="AN219" s="6">
        <f t="shared" si="156"/>
        <v>0.13954117801503543</v>
      </c>
      <c r="AO219" s="6">
        <f t="shared" si="157"/>
        <v>0.15371009902561572</v>
      </c>
      <c r="AP219" s="6">
        <f t="shared" si="158"/>
        <v>0.16521129071334012</v>
      </c>
      <c r="AQ219" s="6">
        <f t="shared" si="159"/>
        <v>0.17455359232249495</v>
      </c>
      <c r="AR219" s="6">
        <f t="shared" si="160"/>
        <v>0.18217560602466318</v>
      </c>
      <c r="AS219" s="6">
        <f t="shared" si="161"/>
        <v>0.18843375184873593</v>
      </c>
      <c r="AT219" s="6">
        <f t="shared" si="162"/>
        <v>0.22934258833524274</v>
      </c>
      <c r="AW219" s="3">
        <f t="shared" si="172"/>
        <v>4140</v>
      </c>
      <c r="AX219" s="3">
        <f t="shared" si="169"/>
        <v>304</v>
      </c>
      <c r="AY219" s="3">
        <f t="shared" si="170"/>
        <v>1258560</v>
      </c>
      <c r="AZ219" s="13">
        <f t="shared" si="171"/>
        <v>0.16895110995910897</v>
      </c>
      <c r="BA219" s="3">
        <f t="shared" si="135"/>
        <v>212635.1089501362</v>
      </c>
      <c r="BB219" s="3">
        <f t="shared" si="136"/>
        <v>212685.38016249827</v>
      </c>
      <c r="BC219" s="3">
        <f t="shared" si="166"/>
        <v>212632.55752961506</v>
      </c>
      <c r="BD219" s="3">
        <f t="shared" si="167"/>
        <v>425113.59999999998</v>
      </c>
    </row>
    <row r="220" spans="3:56" x14ac:dyDescent="0.45">
      <c r="C220">
        <f t="shared" si="146"/>
        <v>208</v>
      </c>
      <c r="D220" s="2">
        <f t="shared" si="174"/>
        <v>726.75710256260163</v>
      </c>
      <c r="E220" s="2">
        <f t="shared" si="174"/>
        <v>5330.5236734011287</v>
      </c>
      <c r="F220" s="2">
        <f t="shared" si="174"/>
        <v>15800.415875997949</v>
      </c>
      <c r="G220" s="2">
        <f t="shared" si="174"/>
        <v>31999.184206397003</v>
      </c>
      <c r="H220" s="2">
        <f t="shared" si="174"/>
        <v>52642.744647012965</v>
      </c>
      <c r="I220" s="2">
        <f t="shared" si="174"/>
        <v>76267.104316199795</v>
      </c>
      <c r="J220" s="2">
        <f t="shared" si="174"/>
        <v>101689.37885176376</v>
      </c>
      <c r="K220" s="2">
        <f t="shared" si="174"/>
        <v>128093.11060931464</v>
      </c>
      <c r="L220" s="2">
        <f t="shared" si="174"/>
        <v>154962.04040527929</v>
      </c>
      <c r="M220" s="2">
        <f t="shared" si="174"/>
        <v>181987.81187650174</v>
      </c>
      <c r="N220" s="2">
        <f t="shared" si="174"/>
        <v>208994.81346851855</v>
      </c>
      <c r="O220" s="2">
        <f t="shared" si="174"/>
        <v>235888.50350518708</v>
      </c>
      <c r="P220" s="2">
        <f t="shared" si="147"/>
        <v>215700.8846382261</v>
      </c>
      <c r="R220">
        <f t="shared" si="148"/>
        <v>208</v>
      </c>
      <c r="S220" s="2">
        <f t="shared" si="175"/>
        <v>104000</v>
      </c>
      <c r="T220" s="2">
        <f t="shared" si="175"/>
        <v>208000</v>
      </c>
      <c r="U220" s="2">
        <f t="shared" si="175"/>
        <v>312000</v>
      </c>
      <c r="V220" s="2">
        <f t="shared" si="175"/>
        <v>416000</v>
      </c>
      <c r="W220" s="2">
        <f t="shared" si="175"/>
        <v>520000</v>
      </c>
      <c r="X220" s="2">
        <f t="shared" si="175"/>
        <v>624000</v>
      </c>
      <c r="Y220" s="2">
        <f t="shared" si="175"/>
        <v>728000</v>
      </c>
      <c r="Z220" s="2">
        <f t="shared" si="175"/>
        <v>832000</v>
      </c>
      <c r="AA220" s="2">
        <f t="shared" si="173"/>
        <v>936000</v>
      </c>
      <c r="AB220" s="2">
        <f t="shared" si="173"/>
        <v>1040000</v>
      </c>
      <c r="AC220" s="2">
        <f t="shared" si="173"/>
        <v>1144000</v>
      </c>
      <c r="AD220" s="2">
        <f t="shared" si="173"/>
        <v>1248000</v>
      </c>
      <c r="AE220" s="2">
        <f t="shared" si="173"/>
        <v>936000</v>
      </c>
      <c r="AG220">
        <f t="shared" si="149"/>
        <v>208</v>
      </c>
      <c r="AH220" s="6">
        <f t="shared" si="150"/>
        <v>6.9880490631019391E-3</v>
      </c>
      <c r="AI220" s="6">
        <f t="shared" si="151"/>
        <v>2.5627517660582348E-2</v>
      </c>
      <c r="AJ220" s="6">
        <f t="shared" si="152"/>
        <v>5.0642358576916506E-2</v>
      </c>
      <c r="AK220" s="6">
        <f t="shared" si="153"/>
        <v>7.6921115880762031E-2</v>
      </c>
      <c r="AL220" s="6">
        <f t="shared" si="154"/>
        <v>0.10123604739810185</v>
      </c>
      <c r="AM220" s="6">
        <f t="shared" si="155"/>
        <v>0.12222292358365351</v>
      </c>
      <c r="AN220" s="6">
        <f t="shared" si="156"/>
        <v>0.1396832127084667</v>
      </c>
      <c r="AO220" s="6">
        <f t="shared" si="157"/>
        <v>0.15395806563619549</v>
      </c>
      <c r="AP220" s="6">
        <f t="shared" si="158"/>
        <v>0.16555773547572575</v>
      </c>
      <c r="AQ220" s="6">
        <f t="shared" si="159"/>
        <v>0.17498828065048244</v>
      </c>
      <c r="AR220" s="6">
        <f t="shared" si="160"/>
        <v>0.1826877740109428</v>
      </c>
      <c r="AS220" s="6">
        <f t="shared" si="161"/>
        <v>0.18901322396248965</v>
      </c>
      <c r="AT220" s="6">
        <f t="shared" si="162"/>
        <v>0.23044966307502787</v>
      </c>
      <c r="AW220" s="3">
        <f t="shared" si="172"/>
        <v>4160</v>
      </c>
      <c r="AX220" s="3">
        <f t="shared" si="169"/>
        <v>305</v>
      </c>
      <c r="AY220" s="3">
        <f t="shared" si="170"/>
        <v>1268800</v>
      </c>
      <c r="AZ220" s="13">
        <f t="shared" si="171"/>
        <v>0.16950686828339986</v>
      </c>
      <c r="BA220" s="3">
        <f t="shared" si="135"/>
        <v>215070.31447797775</v>
      </c>
      <c r="BB220" s="3">
        <f t="shared" si="136"/>
        <v>215286.35544722961</v>
      </c>
      <c r="BC220" s="3">
        <f t="shared" si="166"/>
        <v>215397.7925427164</v>
      </c>
      <c r="BD220" s="3">
        <f t="shared" si="167"/>
        <v>429982.22222222219</v>
      </c>
    </row>
    <row r="221" spans="3:56" x14ac:dyDescent="0.45">
      <c r="C221">
        <f t="shared" si="146"/>
        <v>209</v>
      </c>
      <c r="D221" s="2">
        <f t="shared" si="174"/>
        <v>726.96694497326132</v>
      </c>
      <c r="E221" s="2">
        <f t="shared" si="174"/>
        <v>5336.17251061973</v>
      </c>
      <c r="F221" s="2">
        <f t="shared" si="174"/>
        <v>15833.537722661282</v>
      </c>
      <c r="G221" s="2">
        <f t="shared" si="174"/>
        <v>32101.181641800704</v>
      </c>
      <c r="H221" s="2">
        <f t="shared" si="174"/>
        <v>52863.807759117255</v>
      </c>
      <c r="I221" s="2">
        <f t="shared" si="174"/>
        <v>76654.104113313151</v>
      </c>
      <c r="J221" s="2">
        <f t="shared" si="174"/>
        <v>102279.51953027284</v>
      </c>
      <c r="K221" s="2">
        <f t="shared" si="174"/>
        <v>128912.93645225685</v>
      </c>
      <c r="L221" s="2">
        <f t="shared" si="174"/>
        <v>156029.0729427812</v>
      </c>
      <c r="M221" s="2">
        <f t="shared" si="174"/>
        <v>183312.83818948345</v>
      </c>
      <c r="N221" s="2">
        <f t="shared" si="174"/>
        <v>210583.93598054882</v>
      </c>
      <c r="O221" s="2">
        <f t="shared" si="174"/>
        <v>237744.70750795942</v>
      </c>
      <c r="P221" s="2">
        <f t="shared" si="147"/>
        <v>217779.10803646245</v>
      </c>
      <c r="R221">
        <f t="shared" si="148"/>
        <v>209</v>
      </c>
      <c r="S221" s="2">
        <f t="shared" si="175"/>
        <v>104500</v>
      </c>
      <c r="T221" s="2">
        <f t="shared" si="175"/>
        <v>209000</v>
      </c>
      <c r="U221" s="2">
        <f t="shared" si="175"/>
        <v>313500</v>
      </c>
      <c r="V221" s="2">
        <f t="shared" si="175"/>
        <v>418000</v>
      </c>
      <c r="W221" s="2">
        <f t="shared" si="175"/>
        <v>522500</v>
      </c>
      <c r="X221" s="2">
        <f t="shared" si="175"/>
        <v>627000</v>
      </c>
      <c r="Y221" s="2">
        <f t="shared" si="175"/>
        <v>731500</v>
      </c>
      <c r="Z221" s="2">
        <f t="shared" si="175"/>
        <v>836000</v>
      </c>
      <c r="AA221" s="2">
        <f t="shared" ref="AA221:AE227" si="176">$R221*AA$12</f>
        <v>940500</v>
      </c>
      <c r="AB221" s="2">
        <f t="shared" si="176"/>
        <v>1045000</v>
      </c>
      <c r="AC221" s="2">
        <f t="shared" si="176"/>
        <v>1149500</v>
      </c>
      <c r="AD221" s="2">
        <f t="shared" si="176"/>
        <v>1254000</v>
      </c>
      <c r="AE221" s="2">
        <f t="shared" si="176"/>
        <v>940500</v>
      </c>
      <c r="AG221">
        <f t="shared" si="149"/>
        <v>209</v>
      </c>
      <c r="AH221" s="6">
        <f t="shared" si="150"/>
        <v>6.9566214829977161E-3</v>
      </c>
      <c r="AI221" s="6">
        <f t="shared" si="151"/>
        <v>2.5531925888132679E-2</v>
      </c>
      <c r="AJ221" s="6">
        <f t="shared" si="152"/>
        <v>5.0505702464629286E-2</v>
      </c>
      <c r="AK221" s="6">
        <f t="shared" si="153"/>
        <v>7.6797085267465801E-2</v>
      </c>
      <c r="AL221" s="6">
        <f t="shared" si="154"/>
        <v>0.10117475169209043</v>
      </c>
      <c r="AM221" s="6">
        <f t="shared" si="155"/>
        <v>0.12225534946301939</v>
      </c>
      <c r="AN221" s="6">
        <f t="shared" si="156"/>
        <v>0.13982162615211599</v>
      </c>
      <c r="AO221" s="6">
        <f t="shared" si="157"/>
        <v>0.15420207709600101</v>
      </c>
      <c r="AP221" s="6">
        <f t="shared" si="158"/>
        <v>0.16590013072066051</v>
      </c>
      <c r="AQ221" s="6">
        <f t="shared" si="159"/>
        <v>0.17541898391338129</v>
      </c>
      <c r="AR221" s="6">
        <f t="shared" si="160"/>
        <v>0.18319611655550136</v>
      </c>
      <c r="AS221" s="6">
        <f t="shared" si="161"/>
        <v>0.18958908094733606</v>
      </c>
      <c r="AT221" s="6">
        <f t="shared" si="162"/>
        <v>0.23155673369108182</v>
      </c>
      <c r="AW221" s="3">
        <f t="shared" si="172"/>
        <v>4180</v>
      </c>
      <c r="AX221" s="3">
        <f t="shared" si="169"/>
        <v>307</v>
      </c>
      <c r="AY221" s="3">
        <f t="shared" si="170"/>
        <v>1283260</v>
      </c>
      <c r="AZ221" s="13">
        <f t="shared" si="171"/>
        <v>0.17061838493198164</v>
      </c>
      <c r="BA221" s="3">
        <f t="shared" si="135"/>
        <v>218947.74864781476</v>
      </c>
      <c r="BB221" s="3">
        <f t="shared" si="136"/>
        <v>218977.11849951377</v>
      </c>
      <c r="BC221" s="3">
        <f t="shared" si="166"/>
        <v>218900.35134826796</v>
      </c>
      <c r="BD221" s="3">
        <f t="shared" si="167"/>
        <v>437734.24444444448</v>
      </c>
    </row>
    <row r="222" spans="3:56" x14ac:dyDescent="0.45">
      <c r="C222">
        <f t="shared" si="146"/>
        <v>210</v>
      </c>
      <c r="D222" s="2">
        <f t="shared" si="174"/>
        <v>727.17391541293421</v>
      </c>
      <c r="E222" s="2">
        <f t="shared" si="174"/>
        <v>5341.7525723032077</v>
      </c>
      <c r="F222" s="2">
        <f t="shared" si="174"/>
        <v>15866.323718819287</v>
      </c>
      <c r="G222" s="2">
        <f t="shared" si="174"/>
        <v>32202.363848506942</v>
      </c>
      <c r="H222" s="2">
        <f t="shared" si="174"/>
        <v>53083.54502794952</v>
      </c>
      <c r="I222" s="2">
        <f t="shared" si="174"/>
        <v>77039.451760595999</v>
      </c>
      <c r="J222" s="2">
        <f t="shared" si="174"/>
        <v>102867.99216049138</v>
      </c>
      <c r="K222" s="2">
        <f t="shared" si="174"/>
        <v>129731.41449639288</v>
      </c>
      <c r="L222" s="2">
        <f t="shared" si="174"/>
        <v>157095.37880013048</v>
      </c>
      <c r="M222" s="2">
        <f t="shared" si="174"/>
        <v>184638.00130178552</v>
      </c>
      <c r="N222" s="2">
        <f t="shared" si="174"/>
        <v>212174.24154428329</v>
      </c>
      <c r="O222" s="2">
        <f t="shared" si="174"/>
        <v>239603.27237471336</v>
      </c>
      <c r="P222" s="2">
        <f t="shared" si="147"/>
        <v>219867.29119197727</v>
      </c>
      <c r="R222">
        <f t="shared" si="148"/>
        <v>210</v>
      </c>
      <c r="S222" s="2">
        <f t="shared" si="175"/>
        <v>105000</v>
      </c>
      <c r="T222" s="2">
        <f t="shared" si="175"/>
        <v>210000</v>
      </c>
      <c r="U222" s="2">
        <f t="shared" si="175"/>
        <v>315000</v>
      </c>
      <c r="V222" s="2">
        <f t="shared" si="175"/>
        <v>420000</v>
      </c>
      <c r="W222" s="2">
        <f t="shared" si="175"/>
        <v>525000</v>
      </c>
      <c r="X222" s="2">
        <f t="shared" si="175"/>
        <v>630000</v>
      </c>
      <c r="Y222" s="2">
        <f t="shared" si="175"/>
        <v>735000</v>
      </c>
      <c r="Z222" s="2">
        <f t="shared" si="175"/>
        <v>840000</v>
      </c>
      <c r="AA222" s="2">
        <f t="shared" si="176"/>
        <v>945000</v>
      </c>
      <c r="AB222" s="2">
        <f t="shared" si="176"/>
        <v>1050000</v>
      </c>
      <c r="AC222" s="2">
        <f t="shared" si="176"/>
        <v>1155000</v>
      </c>
      <c r="AD222" s="2">
        <f t="shared" si="176"/>
        <v>1260000</v>
      </c>
      <c r="AE222" s="2">
        <f t="shared" si="176"/>
        <v>945000</v>
      </c>
      <c r="AG222">
        <f t="shared" si="149"/>
        <v>210</v>
      </c>
      <c r="AH222" s="6">
        <f t="shared" si="150"/>
        <v>6.9254658610755637E-3</v>
      </c>
      <c r="AI222" s="6">
        <f t="shared" si="151"/>
        <v>2.5436917010967657E-2</v>
      </c>
      <c r="AJ222" s="6">
        <f t="shared" si="152"/>
        <v>5.0369281647045357E-2</v>
      </c>
      <c r="AK222" s="6">
        <f t="shared" si="153"/>
        <v>7.6672294877397476E-2</v>
      </c>
      <c r="AL222" s="6">
        <f t="shared" si="154"/>
        <v>0.10111151433895146</v>
      </c>
      <c r="AM222" s="6">
        <f t="shared" si="155"/>
        <v>0.1222848440644381</v>
      </c>
      <c r="AN222" s="6">
        <f t="shared" si="156"/>
        <v>0.13995645191903588</v>
      </c>
      <c r="AO222" s="6">
        <f t="shared" si="157"/>
        <v>0.15444216011475342</v>
      </c>
      <c r="AP222" s="6">
        <f t="shared" si="158"/>
        <v>0.16623849608479416</v>
      </c>
      <c r="AQ222" s="6">
        <f t="shared" si="159"/>
        <v>0.17584571552551001</v>
      </c>
      <c r="AR222" s="6">
        <f t="shared" si="160"/>
        <v>0.1837006420296825</v>
      </c>
      <c r="AS222" s="6">
        <f t="shared" si="161"/>
        <v>0.19016132728151855</v>
      </c>
      <c r="AT222" s="6">
        <f t="shared" si="162"/>
        <v>0.23266380020315056</v>
      </c>
      <c r="AW222" s="3">
        <f t="shared" si="172"/>
        <v>4200</v>
      </c>
      <c r="AX222" s="3">
        <f t="shared" si="169"/>
        <v>308</v>
      </c>
      <c r="AY222" s="3">
        <f t="shared" si="170"/>
        <v>1293600</v>
      </c>
      <c r="AZ222" s="13">
        <f t="shared" si="171"/>
        <v>0.17117414325627253</v>
      </c>
      <c r="BA222" s="3">
        <f t="shared" si="135"/>
        <v>221430.87171631414</v>
      </c>
      <c r="BB222" s="3">
        <f t="shared" si="136"/>
        <v>221629.08889368526</v>
      </c>
      <c r="BC222" s="3">
        <f t="shared" si="166"/>
        <v>221719.66517651433</v>
      </c>
      <c r="BD222" s="3">
        <f t="shared" si="167"/>
        <v>442698.66666666669</v>
      </c>
    </row>
    <row r="223" spans="3:56" x14ac:dyDescent="0.45">
      <c r="C223">
        <f t="shared" si="146"/>
        <v>211</v>
      </c>
      <c r="D223" s="2">
        <f t="shared" ref="D223:O232" si="177">$C$7*BL_MBPS*BL_KM^2*D$12^3*$C223^2/((EM_KM*D$12)^2+(2*PI()*AVG_SUN_DIST_KM*$C223)^2)</f>
        <v>727.37806551116978</v>
      </c>
      <c r="E223" s="2">
        <f t="shared" si="177"/>
        <v>5347.264919626854</v>
      </c>
      <c r="F223" s="2">
        <f t="shared" si="177"/>
        <v>15898.777843326836</v>
      </c>
      <c r="G223" s="2">
        <f t="shared" si="177"/>
        <v>32302.737144558512</v>
      </c>
      <c r="H223" s="2">
        <f t="shared" si="177"/>
        <v>53301.960903154017</v>
      </c>
      <c r="I223" s="2">
        <f t="shared" si="177"/>
        <v>77423.144729842534</v>
      </c>
      <c r="J223" s="2">
        <f t="shared" si="177"/>
        <v>103454.78377817701</v>
      </c>
      <c r="K223" s="2">
        <f t="shared" si="177"/>
        <v>130548.5201594477</v>
      </c>
      <c r="L223" s="2">
        <f t="shared" si="177"/>
        <v>158160.92231479578</v>
      </c>
      <c r="M223" s="2">
        <f t="shared" si="177"/>
        <v>185963.25593911592</v>
      </c>
      <c r="N223" s="2">
        <f t="shared" si="177"/>
        <v>213765.67707069073</v>
      </c>
      <c r="O223" s="2">
        <f t="shared" si="177"/>
        <v>241464.13897322389</v>
      </c>
      <c r="P223" s="2">
        <f t="shared" si="147"/>
        <v>221965.43406793787</v>
      </c>
      <c r="R223">
        <f t="shared" si="148"/>
        <v>211</v>
      </c>
      <c r="S223" s="2">
        <f t="shared" si="175"/>
        <v>105500</v>
      </c>
      <c r="T223" s="2">
        <f t="shared" si="175"/>
        <v>211000</v>
      </c>
      <c r="U223" s="2">
        <f t="shared" si="175"/>
        <v>316500</v>
      </c>
      <c r="V223" s="2">
        <f t="shared" si="175"/>
        <v>422000</v>
      </c>
      <c r="W223" s="2">
        <f t="shared" si="175"/>
        <v>527500</v>
      </c>
      <c r="X223" s="2">
        <f t="shared" si="175"/>
        <v>633000</v>
      </c>
      <c r="Y223" s="2">
        <f t="shared" si="175"/>
        <v>738500</v>
      </c>
      <c r="Z223" s="2">
        <f t="shared" si="175"/>
        <v>844000</v>
      </c>
      <c r="AA223" s="2">
        <f t="shared" si="176"/>
        <v>949500</v>
      </c>
      <c r="AB223" s="2">
        <f t="shared" si="176"/>
        <v>1055000</v>
      </c>
      <c r="AC223" s="2">
        <f t="shared" si="176"/>
        <v>1160500</v>
      </c>
      <c r="AD223" s="2">
        <f t="shared" si="176"/>
        <v>1266000</v>
      </c>
      <c r="AE223" s="2">
        <f t="shared" si="176"/>
        <v>949500</v>
      </c>
      <c r="AG223">
        <f t="shared" si="149"/>
        <v>211</v>
      </c>
      <c r="AH223" s="6">
        <f t="shared" si="150"/>
        <v>6.8945788200110878E-3</v>
      </c>
      <c r="AI223" s="6">
        <f t="shared" si="151"/>
        <v>2.5342487770743383E-2</v>
      </c>
      <c r="AJ223" s="6">
        <f t="shared" si="152"/>
        <v>5.023310535016378E-2</v>
      </c>
      <c r="AK223" s="6">
        <f t="shared" si="153"/>
        <v>7.6546770484735807E-2</v>
      </c>
      <c r="AL223" s="6">
        <f t="shared" si="154"/>
        <v>0.10104637138038676</v>
      </c>
      <c r="AM223" s="6">
        <f t="shared" si="155"/>
        <v>0.12231144507084128</v>
      </c>
      <c r="AN223" s="6">
        <f t="shared" si="156"/>
        <v>0.1400877234640176</v>
      </c>
      <c r="AO223" s="6">
        <f t="shared" si="157"/>
        <v>0.15467834142114656</v>
      </c>
      <c r="AP223" s="6">
        <f t="shared" si="158"/>
        <v>0.16657285130573543</v>
      </c>
      <c r="AQ223" s="6">
        <f t="shared" si="159"/>
        <v>0.17626848904181602</v>
      </c>
      <c r="AR223" s="6">
        <f t="shared" si="160"/>
        <v>0.18420135895794118</v>
      </c>
      <c r="AS223" s="6">
        <f t="shared" si="161"/>
        <v>0.19072996759338379</v>
      </c>
      <c r="AT223" s="6">
        <f t="shared" si="162"/>
        <v>0.23377086263079291</v>
      </c>
      <c r="AW223" s="3">
        <f t="shared" si="172"/>
        <v>4220</v>
      </c>
      <c r="AX223" s="3">
        <f t="shared" si="169"/>
        <v>310</v>
      </c>
      <c r="AY223" s="3">
        <f t="shared" si="170"/>
        <v>1308200</v>
      </c>
      <c r="AZ223" s="13">
        <f t="shared" si="171"/>
        <v>0.17228565990485431</v>
      </c>
      <c r="BA223" s="3">
        <f t="shared" si="135"/>
        <v>225384.1002875304</v>
      </c>
      <c r="BB223" s="3">
        <f t="shared" si="136"/>
        <v>225391.72529407594</v>
      </c>
      <c r="BC223" s="3">
        <f t="shared" si="166"/>
        <v>225290.10625762853</v>
      </c>
      <c r="BD223" s="3">
        <f t="shared" si="167"/>
        <v>450602.22222222225</v>
      </c>
    </row>
    <row r="224" spans="3:56" x14ac:dyDescent="0.45">
      <c r="C224">
        <f t="shared" si="146"/>
        <v>212</v>
      </c>
      <c r="D224" s="2">
        <f t="shared" si="177"/>
        <v>727.57944575493445</v>
      </c>
      <c r="E224" s="2">
        <f t="shared" si="177"/>
        <v>5352.7105944928926</v>
      </c>
      <c r="F224" s="2">
        <f t="shared" si="177"/>
        <v>15930.904027705217</v>
      </c>
      <c r="G224" s="2">
        <f t="shared" si="177"/>
        <v>32402.307834358922</v>
      </c>
      <c r="H224" s="2">
        <f t="shared" si="177"/>
        <v>53519.059940915795</v>
      </c>
      <c r="I224" s="2">
        <f t="shared" si="177"/>
        <v>77805.180750621483</v>
      </c>
      <c r="J224" s="2">
        <f t="shared" si="177"/>
        <v>104039.88179688908</v>
      </c>
      <c r="K224" s="2">
        <f t="shared" si="177"/>
        <v>131364.22929918408</v>
      </c>
      <c r="L224" s="2">
        <f t="shared" si="177"/>
        <v>159225.66827208712</v>
      </c>
      <c r="M224" s="2">
        <f t="shared" si="177"/>
        <v>187288.55724401367</v>
      </c>
      <c r="N224" s="2">
        <f t="shared" si="177"/>
        <v>215358.18983405374</v>
      </c>
      <c r="O224" s="2">
        <f t="shared" si="177"/>
        <v>243327.24847111345</v>
      </c>
      <c r="P224" s="2">
        <f t="shared" si="147"/>
        <v>224073.5366276844</v>
      </c>
      <c r="R224">
        <f t="shared" si="148"/>
        <v>212</v>
      </c>
      <c r="S224" s="2">
        <f t="shared" si="175"/>
        <v>106000</v>
      </c>
      <c r="T224" s="2">
        <f t="shared" si="175"/>
        <v>212000</v>
      </c>
      <c r="U224" s="2">
        <f t="shared" si="175"/>
        <v>318000</v>
      </c>
      <c r="V224" s="2">
        <f t="shared" si="175"/>
        <v>424000</v>
      </c>
      <c r="W224" s="2">
        <f t="shared" si="175"/>
        <v>530000</v>
      </c>
      <c r="X224" s="2">
        <f t="shared" si="175"/>
        <v>636000</v>
      </c>
      <c r="Y224" s="2">
        <f t="shared" si="175"/>
        <v>742000</v>
      </c>
      <c r="Z224" s="2">
        <f t="shared" si="175"/>
        <v>848000</v>
      </c>
      <c r="AA224" s="2">
        <f t="shared" si="176"/>
        <v>954000</v>
      </c>
      <c r="AB224" s="2">
        <f t="shared" si="176"/>
        <v>1060000</v>
      </c>
      <c r="AC224" s="2">
        <f t="shared" si="176"/>
        <v>1166000</v>
      </c>
      <c r="AD224" s="2">
        <f t="shared" si="176"/>
        <v>1272000</v>
      </c>
      <c r="AE224" s="2">
        <f t="shared" si="176"/>
        <v>954000</v>
      </c>
      <c r="AG224">
        <f t="shared" si="149"/>
        <v>212</v>
      </c>
      <c r="AH224" s="6">
        <f t="shared" si="150"/>
        <v>6.8639570354239099E-3</v>
      </c>
      <c r="AI224" s="6">
        <f t="shared" si="151"/>
        <v>2.5248634879683457E-2</v>
      </c>
      <c r="AJ224" s="6">
        <f t="shared" si="152"/>
        <v>5.009718247706043E-2</v>
      </c>
      <c r="AK224" s="6">
        <f t="shared" si="153"/>
        <v>7.642053734518614E-2</v>
      </c>
      <c r="AL224" s="6">
        <f t="shared" si="154"/>
        <v>0.10097935837908641</v>
      </c>
      <c r="AM224" s="6">
        <f t="shared" si="155"/>
        <v>0.12233518985946774</v>
      </c>
      <c r="AN224" s="6">
        <f t="shared" si="156"/>
        <v>0.1402154741197966</v>
      </c>
      <c r="AO224" s="6">
        <f t="shared" si="157"/>
        <v>0.1549106477584718</v>
      </c>
      <c r="AP224" s="6">
        <f t="shared" si="158"/>
        <v>0.16690321621812068</v>
      </c>
      <c r="AQ224" s="6">
        <f t="shared" si="159"/>
        <v>0.17668731815472988</v>
      </c>
      <c r="AR224" s="6">
        <f t="shared" si="160"/>
        <v>0.1846982760154835</v>
      </c>
      <c r="AS224" s="6">
        <f t="shared" si="161"/>
        <v>0.19129500665968038</v>
      </c>
      <c r="AT224" s="6">
        <f t="shared" si="162"/>
        <v>0.23487792099337987</v>
      </c>
      <c r="AW224" s="3">
        <f t="shared" si="172"/>
        <v>4240</v>
      </c>
      <c r="AX224" s="3">
        <f t="shared" si="169"/>
        <v>311</v>
      </c>
      <c r="AY224" s="3">
        <f t="shared" si="170"/>
        <v>1318640</v>
      </c>
      <c r="AZ224" s="13">
        <f t="shared" si="171"/>
        <v>0.1728414182291452</v>
      </c>
      <c r="BA224" s="3">
        <f t="shared" ref="BA224:BA278" si="178">AZ224*AY224</f>
        <v>227915.60773368002</v>
      </c>
      <c r="BB224" s="3">
        <f t="shared" ref="BB224:BB278" si="179">0.00015063529793*AY224^1.5</f>
        <v>228095.18583585243</v>
      </c>
      <c r="BC224" s="3">
        <f t="shared" si="166"/>
        <v>228164.02250099211</v>
      </c>
      <c r="BD224" s="3">
        <f t="shared" si="167"/>
        <v>455663.37777777779</v>
      </c>
    </row>
    <row r="225" spans="3:56" x14ac:dyDescent="0.45">
      <c r="C225">
        <f t="shared" si="146"/>
        <v>213</v>
      </c>
      <c r="D225" s="2">
        <f t="shared" si="177"/>
        <v>727.77810551848006</v>
      </c>
      <c r="E225" s="2">
        <f t="shared" si="177"/>
        <v>5358.0906199191804</v>
      </c>
      <c r="F225" s="2">
        <f t="shared" si="177"/>
        <v>15962.706156507425</v>
      </c>
      <c r="G225" s="2">
        <f t="shared" si="177"/>
        <v>32501.082207217954</v>
      </c>
      <c r="H225" s="2">
        <f t="shared" si="177"/>
        <v>53734.846799972991</v>
      </c>
      <c r="I225" s="2">
        <f t="shared" si="177"/>
        <v>78185.557804982789</v>
      </c>
      <c r="J225" s="2">
        <f t="shared" si="177"/>
        <v>104623.27400311246</v>
      </c>
      <c r="K225" s="2">
        <f t="shared" si="177"/>
        <v>132178.51821003587</v>
      </c>
      <c r="L225" s="2">
        <f t="shared" si="177"/>
        <v>160289.58190361405</v>
      </c>
      <c r="M225" s="2">
        <f t="shared" si="177"/>
        <v>188613.86077595816</v>
      </c>
      <c r="N225" s="2">
        <f t="shared" si="177"/>
        <v>216951.72747335827</v>
      </c>
      <c r="O225" s="2">
        <f t="shared" si="177"/>
        <v>245192.54233812826</v>
      </c>
      <c r="P225" s="2">
        <f t="shared" si="147"/>
        <v>226191.59883473339</v>
      </c>
      <c r="R225">
        <f t="shared" si="148"/>
        <v>213</v>
      </c>
      <c r="S225" s="2">
        <f t="shared" si="175"/>
        <v>106500</v>
      </c>
      <c r="T225" s="2">
        <f t="shared" si="175"/>
        <v>213000</v>
      </c>
      <c r="U225" s="2">
        <f t="shared" si="175"/>
        <v>319500</v>
      </c>
      <c r="V225" s="2">
        <f t="shared" si="175"/>
        <v>426000</v>
      </c>
      <c r="W225" s="2">
        <f t="shared" si="175"/>
        <v>532500</v>
      </c>
      <c r="X225" s="2">
        <f t="shared" si="175"/>
        <v>639000</v>
      </c>
      <c r="Y225" s="2">
        <f t="shared" si="175"/>
        <v>745500</v>
      </c>
      <c r="Z225" s="2">
        <f t="shared" si="175"/>
        <v>852000</v>
      </c>
      <c r="AA225" s="2">
        <f t="shared" si="176"/>
        <v>958500</v>
      </c>
      <c r="AB225" s="2">
        <f t="shared" si="176"/>
        <v>1065000</v>
      </c>
      <c r="AC225" s="2">
        <f t="shared" si="176"/>
        <v>1171500</v>
      </c>
      <c r="AD225" s="2">
        <f t="shared" si="176"/>
        <v>1278000</v>
      </c>
      <c r="AE225" s="2">
        <f t="shared" si="176"/>
        <v>958500</v>
      </c>
      <c r="AG225">
        <f t="shared" si="149"/>
        <v>213</v>
      </c>
      <c r="AH225" s="6">
        <f t="shared" si="150"/>
        <v>6.8335972349153054E-3</v>
      </c>
      <c r="AI225" s="6">
        <f t="shared" si="151"/>
        <v>2.5155355023094742E-2</v>
      </c>
      <c r="AJ225" s="6">
        <f t="shared" si="152"/>
        <v>4.9961521616611659E-2</v>
      </c>
      <c r="AK225" s="6">
        <f t="shared" si="153"/>
        <v>7.6293620204736984E-2</v>
      </c>
      <c r="AL225" s="6">
        <f t="shared" si="154"/>
        <v>0.10091051042248449</v>
      </c>
      <c r="AM225" s="6">
        <f t="shared" si="155"/>
        <v>0.12235611550075554</v>
      </c>
      <c r="AN225" s="6">
        <f t="shared" si="156"/>
        <v>0.14033973709337688</v>
      </c>
      <c r="AO225" s="6">
        <f t="shared" si="157"/>
        <v>0.15513910588032379</v>
      </c>
      <c r="AP225" s="6">
        <f t="shared" si="158"/>
        <v>0.16722961074972775</v>
      </c>
      <c r="AQ225" s="6">
        <f t="shared" si="159"/>
        <v>0.17710221669104054</v>
      </c>
      <c r="AR225" s="6">
        <f t="shared" si="160"/>
        <v>0.18519140202591403</v>
      </c>
      <c r="AS225" s="6">
        <f t="shared" si="161"/>
        <v>0.19185644940385624</v>
      </c>
      <c r="AT225" s="6">
        <f t="shared" si="162"/>
        <v>0.23598497531010265</v>
      </c>
      <c r="AW225" s="3">
        <f t="shared" si="172"/>
        <v>4260</v>
      </c>
      <c r="AX225" s="3">
        <f t="shared" si="169"/>
        <v>313</v>
      </c>
      <c r="AY225" s="3">
        <f t="shared" si="170"/>
        <v>1333380</v>
      </c>
      <c r="AZ225" s="13">
        <f t="shared" si="171"/>
        <v>0.17395293487772698</v>
      </c>
      <c r="BA225" s="3">
        <f t="shared" si="178"/>
        <v>231945.3643072636</v>
      </c>
      <c r="BB225" s="3">
        <f t="shared" si="179"/>
        <v>231930.38863763015</v>
      </c>
      <c r="BC225" s="3">
        <f t="shared" si="166"/>
        <v>231802.99730149316</v>
      </c>
      <c r="BD225" s="3">
        <f t="shared" si="167"/>
        <v>463719.93333333335</v>
      </c>
    </row>
    <row r="226" spans="3:56" x14ac:dyDescent="0.45">
      <c r="C226">
        <f t="shared" si="146"/>
        <v>214</v>
      </c>
      <c r="D226" s="2">
        <f t="shared" si="177"/>
        <v>727.97409309231625</v>
      </c>
      <c r="E226" s="2">
        <f t="shared" si="177"/>
        <v>5363.4060004197299</v>
      </c>
      <c r="F226" s="2">
        <f t="shared" si="177"/>
        <v>15994.188067691763</v>
      </c>
      <c r="G226" s="2">
        <f t="shared" si="177"/>
        <v>32599.06653595862</v>
      </c>
      <c r="H226" s="2">
        <f t="shared" si="177"/>
        <v>53949.326237717469</v>
      </c>
      <c r="I226" s="2">
        <f t="shared" si="177"/>
        <v>78564.274122226067</v>
      </c>
      <c r="J226" s="2">
        <f t="shared" si="177"/>
        <v>105204.94855139147</v>
      </c>
      <c r="K226" s="2">
        <f t="shared" si="177"/>
        <v>132991.36361970639</v>
      </c>
      <c r="L226" s="2">
        <f t="shared" si="177"/>
        <v>161352.62888568267</v>
      </c>
      <c r="M226" s="2">
        <f t="shared" si="177"/>
        <v>189939.12251140797</v>
      </c>
      <c r="N226" s="2">
        <f t="shared" si="177"/>
        <v>218546.23799361329</v>
      </c>
      <c r="O226" s="2">
        <f t="shared" si="177"/>
        <v>247059.96234835277</v>
      </c>
      <c r="P226" s="2">
        <f t="shared" si="147"/>
        <v>228319.62065277112</v>
      </c>
      <c r="R226">
        <f t="shared" si="148"/>
        <v>214</v>
      </c>
      <c r="S226" s="2">
        <f t="shared" si="175"/>
        <v>107000</v>
      </c>
      <c r="T226" s="2">
        <f t="shared" si="175"/>
        <v>214000</v>
      </c>
      <c r="U226" s="2">
        <f t="shared" si="175"/>
        <v>321000</v>
      </c>
      <c r="V226" s="2">
        <f t="shared" si="175"/>
        <v>428000</v>
      </c>
      <c r="W226" s="2">
        <f t="shared" si="175"/>
        <v>535000</v>
      </c>
      <c r="X226" s="2">
        <f t="shared" si="175"/>
        <v>642000</v>
      </c>
      <c r="Y226" s="2">
        <f t="shared" si="175"/>
        <v>749000</v>
      </c>
      <c r="Z226" s="2">
        <f t="shared" si="175"/>
        <v>856000</v>
      </c>
      <c r="AA226" s="2">
        <f t="shared" si="176"/>
        <v>963000</v>
      </c>
      <c r="AB226" s="2">
        <f t="shared" si="176"/>
        <v>1070000</v>
      </c>
      <c r="AC226" s="2">
        <f t="shared" si="176"/>
        <v>1177000</v>
      </c>
      <c r="AD226" s="2">
        <f t="shared" si="176"/>
        <v>1284000</v>
      </c>
      <c r="AE226" s="2">
        <f t="shared" si="176"/>
        <v>963000</v>
      </c>
      <c r="AG226">
        <f t="shared" si="149"/>
        <v>214</v>
      </c>
      <c r="AH226" s="6">
        <f t="shared" si="150"/>
        <v>6.8034961971244513E-3</v>
      </c>
      <c r="AI226" s="6">
        <f t="shared" si="151"/>
        <v>2.5062644861774439E-2</v>
      </c>
      <c r="AJ226" s="6">
        <f t="shared" si="152"/>
        <v>4.9826131051999262E-2</v>
      </c>
      <c r="AK226" s="6">
        <f t="shared" si="153"/>
        <v>7.6166043308314529E-2</v>
      </c>
      <c r="AL226" s="6">
        <f t="shared" si="154"/>
        <v>0.10083986212657471</v>
      </c>
      <c r="AM226" s="6">
        <f t="shared" si="155"/>
        <v>0.12237425875736148</v>
      </c>
      <c r="AN226" s="6">
        <f t="shared" si="156"/>
        <v>0.14046054546247191</v>
      </c>
      <c r="AO226" s="6">
        <f t="shared" si="157"/>
        <v>0.15536374254638596</v>
      </c>
      <c r="AP226" s="6">
        <f t="shared" si="158"/>
        <v>0.16755205491763517</v>
      </c>
      <c r="AQ226" s="6">
        <f t="shared" si="159"/>
        <v>0.1775131986087925</v>
      </c>
      <c r="AR226" s="6">
        <f t="shared" si="160"/>
        <v>0.18568074595888981</v>
      </c>
      <c r="AS226" s="6">
        <f t="shared" si="161"/>
        <v>0.19241430089435574</v>
      </c>
      <c r="AT226" s="6">
        <f t="shared" si="162"/>
        <v>0.23709202559997</v>
      </c>
      <c r="AW226" s="3">
        <f t="shared" si="172"/>
        <v>4280</v>
      </c>
      <c r="AX226" s="3">
        <f t="shared" si="169"/>
        <v>314</v>
      </c>
      <c r="AY226" s="3">
        <f t="shared" si="170"/>
        <v>1343920</v>
      </c>
      <c r="AZ226" s="13">
        <f t="shared" si="171"/>
        <v>0.17450869320201787</v>
      </c>
      <c r="BA226" s="3">
        <f t="shared" si="178"/>
        <v>234525.72296805584</v>
      </c>
      <c r="BB226" s="3">
        <f t="shared" si="179"/>
        <v>234685.83436517237</v>
      </c>
      <c r="BC226" s="3">
        <f t="shared" si="166"/>
        <v>234732.03955992774</v>
      </c>
      <c r="BD226" s="3">
        <f t="shared" si="167"/>
        <v>468878.75555555557</v>
      </c>
    </row>
    <row r="227" spans="3:56" x14ac:dyDescent="0.45">
      <c r="C227">
        <f t="shared" si="146"/>
        <v>215</v>
      </c>
      <c r="D227" s="2">
        <f t="shared" si="177"/>
        <v>728.1674557113173</v>
      </c>
      <c r="E227" s="2">
        <f t="shared" si="177"/>
        <v>5368.6577223772429</v>
      </c>
      <c r="F227" s="2">
        <f t="shared" si="177"/>
        <v>16025.35355300317</v>
      </c>
      <c r="G227" s="2">
        <f t="shared" si="177"/>
        <v>32696.267075583644</v>
      </c>
      <c r="H227" s="2">
        <f t="shared" si="177"/>
        <v>54162.503106382639</v>
      </c>
      <c r="I227" s="2">
        <f t="shared" si="177"/>
        <v>78941.328173731206</v>
      </c>
      <c r="J227" s="2">
        <f t="shared" si="177"/>
        <v>105784.8939594761</v>
      </c>
      <c r="K227" s="2">
        <f t="shared" si="177"/>
        <v>133802.74268573397</v>
      </c>
      <c r="L227" s="2">
        <f t="shared" si="177"/>
        <v>162414.7753376333</v>
      </c>
      <c r="M227" s="2">
        <f t="shared" si="177"/>
        <v>191264.29884376979</v>
      </c>
      <c r="N227" s="2">
        <f t="shared" si="177"/>
        <v>220141.66976710205</v>
      </c>
      <c r="O227" s="2">
        <f t="shared" si="177"/>
        <v>248929.45058236332</v>
      </c>
      <c r="P227" s="2">
        <f t="shared" si="147"/>
        <v>230457.60204565464</v>
      </c>
      <c r="R227">
        <f t="shared" si="148"/>
        <v>215</v>
      </c>
      <c r="S227" s="2">
        <f t="shared" si="175"/>
        <v>107500</v>
      </c>
      <c r="T227" s="2">
        <f t="shared" si="175"/>
        <v>215000</v>
      </c>
      <c r="U227" s="2">
        <f t="shared" si="175"/>
        <v>322500</v>
      </c>
      <c r="V227" s="2">
        <f t="shared" si="175"/>
        <v>430000</v>
      </c>
      <c r="W227" s="2">
        <f t="shared" si="175"/>
        <v>537500</v>
      </c>
      <c r="X227" s="2">
        <f t="shared" si="175"/>
        <v>645000</v>
      </c>
      <c r="Y227" s="2">
        <f t="shared" si="175"/>
        <v>752500</v>
      </c>
      <c r="Z227" s="2">
        <f t="shared" si="175"/>
        <v>860000</v>
      </c>
      <c r="AA227" s="2">
        <f t="shared" si="176"/>
        <v>967500</v>
      </c>
      <c r="AB227" s="2">
        <f t="shared" si="176"/>
        <v>1075000</v>
      </c>
      <c r="AC227" s="2">
        <f t="shared" si="176"/>
        <v>1182500</v>
      </c>
      <c r="AD227" s="2">
        <f t="shared" si="176"/>
        <v>1290000</v>
      </c>
      <c r="AE227" s="2">
        <f t="shared" si="176"/>
        <v>967500</v>
      </c>
      <c r="AG227">
        <f t="shared" si="149"/>
        <v>215</v>
      </c>
      <c r="AH227" s="6">
        <f t="shared" si="150"/>
        <v>6.7736507508029519E-3</v>
      </c>
      <c r="AI227" s="6">
        <f t="shared" si="151"/>
        <v>2.4970501034312757E-2</v>
      </c>
      <c r="AJ227" s="6">
        <f t="shared" si="152"/>
        <v>4.9691018769002074E-2</v>
      </c>
      <c r="AK227" s="6">
        <f t="shared" si="153"/>
        <v>7.6037830408334062E-2</v>
      </c>
      <c r="AL227" s="6">
        <f t="shared" si="154"/>
        <v>0.10076744763978165</v>
      </c>
      <c r="AM227" s="6">
        <f t="shared" si="155"/>
        <v>0.1223896560833042</v>
      </c>
      <c r="AN227" s="6">
        <f t="shared" si="156"/>
        <v>0.14057793217206127</v>
      </c>
      <c r="AO227" s="6">
        <f t="shared" si="157"/>
        <v>0.15558458451829532</v>
      </c>
      <c r="AP227" s="6">
        <f t="shared" si="158"/>
        <v>0.16787056882442719</v>
      </c>
      <c r="AQ227" s="6">
        <f t="shared" si="159"/>
        <v>0.17792027799420446</v>
      </c>
      <c r="AR227" s="6">
        <f t="shared" si="160"/>
        <v>0.18616631692778185</v>
      </c>
      <c r="AS227" s="6">
        <f t="shared" si="161"/>
        <v>0.19296856634291731</v>
      </c>
      <c r="AT227" s="6">
        <f t="shared" si="162"/>
        <v>0.23819907188181358</v>
      </c>
      <c r="AW227" s="3">
        <f t="shared" si="172"/>
        <v>4300</v>
      </c>
      <c r="AX227" s="3">
        <f t="shared" si="169"/>
        <v>316</v>
      </c>
      <c r="AY227" s="3">
        <f t="shared" si="170"/>
        <v>1358800</v>
      </c>
      <c r="AZ227" s="13">
        <f t="shared" si="171"/>
        <v>0.17562020985059967</v>
      </c>
      <c r="BA227" s="3">
        <f t="shared" si="178"/>
        <v>238632.74114499483</v>
      </c>
      <c r="BB227" s="3">
        <f t="shared" si="179"/>
        <v>238594.29662161847</v>
      </c>
      <c r="BC227" s="3">
        <f t="shared" si="166"/>
        <v>238440.19952365995</v>
      </c>
      <c r="BD227" s="3">
        <f t="shared" si="167"/>
        <v>477089.77777777781</v>
      </c>
    </row>
    <row r="228" spans="3:56" x14ac:dyDescent="0.45">
      <c r="C228">
        <f t="shared" si="146"/>
        <v>216</v>
      </c>
      <c r="D228" s="2">
        <f t="shared" si="177"/>
        <v>728.3582395819916</v>
      </c>
      <c r="E228" s="2">
        <f t="shared" si="177"/>
        <v>5373.8467544077994</v>
      </c>
      <c r="F228" s="2">
        <f t="shared" si="177"/>
        <v>16056.206358361496</v>
      </c>
      <c r="G228" s="2">
        <f t="shared" si="177"/>
        <v>32792.690061999761</v>
      </c>
      <c r="H228" s="2">
        <f t="shared" si="177"/>
        <v>54374.382349316918</v>
      </c>
      <c r="I228" s="2">
        <f t="shared" si="177"/>
        <v>79316.718667851543</v>
      </c>
      <c r="J228" s="2">
        <f t="shared" si="177"/>
        <v>106363.09910348131</v>
      </c>
      <c r="K228" s="2">
        <f t="shared" si="177"/>
        <v>134612.63299202666</v>
      </c>
      <c r="L228" s="2">
        <f t="shared" si="177"/>
        <v>163475.98782011954</v>
      </c>
      <c r="M228" s="2">
        <f t="shared" si="177"/>
        <v>192589.34658329899</v>
      </c>
      <c r="N228" s="2">
        <f t="shared" si="177"/>
        <v>221737.97153456573</v>
      </c>
      <c r="O228" s="2">
        <f t="shared" si="177"/>
        <v>250800.94942932006</v>
      </c>
      <c r="P228" s="2">
        <f t="shared" si="147"/>
        <v>232605.54297741063</v>
      </c>
      <c r="R228">
        <f t="shared" si="148"/>
        <v>216</v>
      </c>
      <c r="S228" s="2">
        <f t="shared" si="175"/>
        <v>108000</v>
      </c>
      <c r="T228" s="2">
        <f t="shared" si="175"/>
        <v>216000</v>
      </c>
      <c r="U228" s="2">
        <f t="shared" si="175"/>
        <v>324000</v>
      </c>
      <c r="V228" s="2">
        <f t="shared" si="175"/>
        <v>432000</v>
      </c>
      <c r="W228" s="2">
        <f t="shared" si="175"/>
        <v>540000</v>
      </c>
      <c r="X228" s="2">
        <f t="shared" si="175"/>
        <v>648000</v>
      </c>
      <c r="Y228" s="2">
        <f t="shared" si="175"/>
        <v>756000</v>
      </c>
      <c r="Z228" s="2">
        <f t="shared" si="175"/>
        <v>864000</v>
      </c>
      <c r="AA228" s="2">
        <f>$R228*AA$12</f>
        <v>972000</v>
      </c>
      <c r="AB228" s="2">
        <f t="shared" ref="AA228:AE278" si="180">$R228*AB$12</f>
        <v>1080000</v>
      </c>
      <c r="AC228" s="2">
        <f t="shared" si="180"/>
        <v>1188000</v>
      </c>
      <c r="AD228" s="2">
        <f t="shared" si="180"/>
        <v>1296000</v>
      </c>
      <c r="AE228" s="2">
        <f t="shared" si="180"/>
        <v>972000</v>
      </c>
      <c r="AG228">
        <f t="shared" si="149"/>
        <v>216</v>
      </c>
      <c r="AH228" s="6">
        <f t="shared" si="150"/>
        <v>6.7440577739073292E-3</v>
      </c>
      <c r="AI228" s="6">
        <f t="shared" si="151"/>
        <v>2.4878920159295367E-2</v>
      </c>
      <c r="AJ228" s="6">
        <f t="shared" si="152"/>
        <v>4.9556192464078691E-2</v>
      </c>
      <c r="AK228" s="6">
        <f t="shared" si="153"/>
        <v>7.590900477314759E-2</v>
      </c>
      <c r="AL228" s="6">
        <f t="shared" si="154"/>
        <v>0.10069330064688319</v>
      </c>
      <c r="AM228" s="6">
        <f t="shared" si="155"/>
        <v>0.12240234362322769</v>
      </c>
      <c r="AN228" s="6">
        <f t="shared" si="156"/>
        <v>0.14069193003105993</v>
      </c>
      <c r="AO228" s="6">
        <f t="shared" si="157"/>
        <v>0.15580165855558642</v>
      </c>
      <c r="AP228" s="6">
        <f t="shared" si="158"/>
        <v>0.16818517265444397</v>
      </c>
      <c r="AQ228" s="6">
        <f t="shared" si="159"/>
        <v>0.17832346905861018</v>
      </c>
      <c r="AR228" s="6">
        <f t="shared" si="160"/>
        <v>0.18664812418734489</v>
      </c>
      <c r="AS228" s="6">
        <f t="shared" si="161"/>
        <v>0.19351925110287041</v>
      </c>
      <c r="AT228" s="6">
        <f t="shared" si="162"/>
        <v>0.23930611417429076</v>
      </c>
      <c r="AW228" s="3">
        <f t="shared" si="172"/>
        <v>4320</v>
      </c>
      <c r="AX228" s="3">
        <f t="shared" si="169"/>
        <v>317</v>
      </c>
      <c r="AY228" s="3">
        <f t="shared" si="170"/>
        <v>1369440</v>
      </c>
      <c r="AZ228" s="13">
        <f t="shared" si="171"/>
        <v>0.17617596817489056</v>
      </c>
      <c r="BA228" s="3">
        <f t="shared" si="178"/>
        <v>241262.41785742214</v>
      </c>
      <c r="BB228" s="3">
        <f t="shared" si="179"/>
        <v>241402.22257309014</v>
      </c>
      <c r="BC228" s="3">
        <f t="shared" si="166"/>
        <v>241424.89139710201</v>
      </c>
      <c r="BD228" s="3">
        <f t="shared" si="167"/>
        <v>482347.2</v>
      </c>
    </row>
    <row r="229" spans="3:56" x14ac:dyDescent="0.45">
      <c r="C229">
        <f t="shared" si="146"/>
        <v>217</v>
      </c>
      <c r="D229" s="2">
        <f t="shared" si="177"/>
        <v>728.54648990894293</v>
      </c>
      <c r="E229" s="2">
        <f t="shared" si="177"/>
        <v>5378.9740477178639</v>
      </c>
      <c r="F229" s="2">
        <f t="shared" si="177"/>
        <v>16086.750184256203</v>
      </c>
      <c r="G229" s="2">
        <f t="shared" si="177"/>
        <v>32888.341710798071</v>
      </c>
      <c r="H229" s="2">
        <f t="shared" si="177"/>
        <v>54584.968997341923</v>
      </c>
      <c r="I229" s="2">
        <f t="shared" si="177"/>
        <v>79690.444544869693</v>
      </c>
      <c r="J229" s="2">
        <f t="shared" si="177"/>
        <v>106939.5532130613</v>
      </c>
      <c r="K229" s="2">
        <f t="shared" si="177"/>
        <v>135421.01254536776</v>
      </c>
      <c r="L229" s="2">
        <f t="shared" si="177"/>
        <v>164536.23333333182</v>
      </c>
      <c r="M229" s="2">
        <f t="shared" si="177"/>
        <v>193914.22295693288</v>
      </c>
      <c r="N229" s="2">
        <f t="shared" si="177"/>
        <v>223335.09240632039</v>
      </c>
      <c r="O229" s="2">
        <f t="shared" si="177"/>
        <v>252674.4015889985</v>
      </c>
      <c r="P229" s="2">
        <f t="shared" si="147"/>
        <v>234763.4434122314</v>
      </c>
      <c r="R229">
        <f t="shared" si="148"/>
        <v>217</v>
      </c>
      <c r="S229" s="2">
        <f t="shared" ref="S229:Z260" si="181">$R229*S$12</f>
        <v>108500</v>
      </c>
      <c r="T229" s="2">
        <f t="shared" si="181"/>
        <v>217000</v>
      </c>
      <c r="U229" s="2">
        <f t="shared" si="181"/>
        <v>325500</v>
      </c>
      <c r="V229" s="2">
        <f t="shared" si="181"/>
        <v>434000</v>
      </c>
      <c r="W229" s="2">
        <f t="shared" si="181"/>
        <v>542500</v>
      </c>
      <c r="X229" s="2">
        <f t="shared" si="181"/>
        <v>651000</v>
      </c>
      <c r="Y229" s="2">
        <f t="shared" si="181"/>
        <v>759500</v>
      </c>
      <c r="Z229" s="2">
        <f t="shared" si="181"/>
        <v>868000</v>
      </c>
      <c r="AA229" s="2">
        <f t="shared" si="180"/>
        <v>976500</v>
      </c>
      <c r="AB229" s="2">
        <f t="shared" si="180"/>
        <v>1085000</v>
      </c>
      <c r="AC229" s="2">
        <f t="shared" si="180"/>
        <v>1193500</v>
      </c>
      <c r="AD229" s="2">
        <f t="shared" si="180"/>
        <v>1302000</v>
      </c>
      <c r="AE229" s="2">
        <f t="shared" si="180"/>
        <v>976500</v>
      </c>
      <c r="AG229">
        <f t="shared" si="149"/>
        <v>217</v>
      </c>
      <c r="AH229" s="6">
        <f t="shared" si="150"/>
        <v>6.7147141927091517E-3</v>
      </c>
      <c r="AI229" s="6">
        <f t="shared" si="151"/>
        <v>2.4787898837409512E-2</v>
      </c>
      <c r="AJ229" s="6">
        <f t="shared" si="152"/>
        <v>4.9421659552246401E-2</v>
      </c>
      <c r="AK229" s="6">
        <f t="shared" si="153"/>
        <v>7.5779589195387256E-2</v>
      </c>
      <c r="AL229" s="6">
        <f t="shared" si="154"/>
        <v>0.1006174543729805</v>
      </c>
      <c r="AM229" s="6">
        <f t="shared" si="155"/>
        <v>0.1224123572117814</v>
      </c>
      <c r="AN229" s="6">
        <f t="shared" si="156"/>
        <v>0.14080257170909979</v>
      </c>
      <c r="AO229" s="6">
        <f t="shared" si="157"/>
        <v>0.15601499141171402</v>
      </c>
      <c r="AP229" s="6">
        <f t="shared" si="158"/>
        <v>0.16849588667007867</v>
      </c>
      <c r="AQ229" s="6">
        <f t="shared" si="159"/>
        <v>0.178722786135422</v>
      </c>
      <c r="AR229" s="6">
        <f t="shared" si="160"/>
        <v>0.18712617713139537</v>
      </c>
      <c r="AS229" s="6">
        <f t="shared" si="161"/>
        <v>0.19406636066743357</v>
      </c>
      <c r="AT229" s="6">
        <f t="shared" si="162"/>
        <v>0.24041315249588469</v>
      </c>
      <c r="AW229" s="3">
        <f t="shared" si="172"/>
        <v>4340</v>
      </c>
      <c r="AX229" s="3">
        <f t="shared" si="169"/>
        <v>319</v>
      </c>
      <c r="AY229" s="3">
        <f t="shared" si="170"/>
        <v>1384460</v>
      </c>
      <c r="AZ229" s="13">
        <f t="shared" si="171"/>
        <v>0.17728748482347234</v>
      </c>
      <c r="BA229" s="3">
        <f t="shared" si="178"/>
        <v>245447.43123870451</v>
      </c>
      <c r="BB229" s="3">
        <f t="shared" si="179"/>
        <v>245384.63733748751</v>
      </c>
      <c r="BC229" s="3">
        <f t="shared" si="166"/>
        <v>245202.88796792948</v>
      </c>
      <c r="BD229" s="3">
        <f t="shared" si="167"/>
        <v>490714.1555555556</v>
      </c>
    </row>
    <row r="230" spans="3:56" x14ac:dyDescent="0.45">
      <c r="C230">
        <f t="shared" si="146"/>
        <v>218</v>
      </c>
      <c r="D230" s="2">
        <f t="shared" si="177"/>
        <v>728.73225092054906</v>
      </c>
      <c r="E230" s="2">
        <f t="shared" si="177"/>
        <v>5384.0405364537355</v>
      </c>
      <c r="F230" s="2">
        <f t="shared" si="177"/>
        <v>16116.988686146773</v>
      </c>
      <c r="G230" s="2">
        <f t="shared" si="177"/>
        <v>32983.228216088675</v>
      </c>
      <c r="H230" s="2">
        <f t="shared" si="177"/>
        <v>54794.268165193876</v>
      </c>
      <c r="I230" s="2">
        <f t="shared" si="177"/>
        <v>80062.504972016439</v>
      </c>
      <c r="J230" s="2">
        <f t="shared" si="177"/>
        <v>107514.2458665999</v>
      </c>
      <c r="K230" s="2">
        <f t="shared" si="177"/>
        <v>136227.85977189391</v>
      </c>
      <c r="L230" s="2">
        <f t="shared" si="177"/>
        <v>165595.47931516534</v>
      </c>
      <c r="M230" s="2">
        <f t="shared" si="177"/>
        <v>195238.88560805778</v>
      </c>
      <c r="N230" s="2">
        <f t="shared" si="177"/>
        <v>224932.98186330686</v>
      </c>
      <c r="O230" s="2">
        <f t="shared" si="177"/>
        <v>254549.75007376121</v>
      </c>
      <c r="P230" s="2">
        <f t="shared" si="147"/>
        <v>236931.30331447464</v>
      </c>
      <c r="R230">
        <f t="shared" si="148"/>
        <v>218</v>
      </c>
      <c r="S230" s="2">
        <f t="shared" si="181"/>
        <v>109000</v>
      </c>
      <c r="T230" s="2">
        <f t="shared" si="181"/>
        <v>218000</v>
      </c>
      <c r="U230" s="2">
        <f t="shared" si="181"/>
        <v>327000</v>
      </c>
      <c r="V230" s="2">
        <f t="shared" si="181"/>
        <v>436000</v>
      </c>
      <c r="W230" s="2">
        <f t="shared" si="181"/>
        <v>545000</v>
      </c>
      <c r="X230" s="2">
        <f t="shared" si="181"/>
        <v>654000</v>
      </c>
      <c r="Y230" s="2">
        <f t="shared" si="181"/>
        <v>763000</v>
      </c>
      <c r="Z230" s="2">
        <f t="shared" si="181"/>
        <v>872000</v>
      </c>
      <c r="AA230" s="2">
        <f t="shared" si="180"/>
        <v>981000</v>
      </c>
      <c r="AB230" s="2">
        <f t="shared" si="180"/>
        <v>1090000</v>
      </c>
      <c r="AC230" s="2">
        <f t="shared" si="180"/>
        <v>1199000</v>
      </c>
      <c r="AD230" s="2">
        <f t="shared" si="180"/>
        <v>1308000</v>
      </c>
      <c r="AE230" s="2">
        <f t="shared" si="180"/>
        <v>981000</v>
      </c>
      <c r="AG230">
        <f t="shared" si="149"/>
        <v>218</v>
      </c>
      <c r="AH230" s="6">
        <f t="shared" si="150"/>
        <v>6.6856169809224684E-3</v>
      </c>
      <c r="AI230" s="6">
        <f t="shared" si="151"/>
        <v>2.4697433653457501E-2</v>
      </c>
      <c r="AJ230" s="6">
        <f t="shared" si="152"/>
        <v>4.9287427174760777E-2</v>
      </c>
      <c r="AK230" s="6">
        <f t="shared" si="153"/>
        <v>7.5649606000203387E-2</v>
      </c>
      <c r="AL230" s="6">
        <f t="shared" si="154"/>
        <v>0.1005399415875117</v>
      </c>
      <c r="AM230" s="6">
        <f t="shared" si="155"/>
        <v>0.12241973237311382</v>
      </c>
      <c r="AN230" s="6">
        <f t="shared" si="156"/>
        <v>0.14090988973342058</v>
      </c>
      <c r="AO230" s="6">
        <f t="shared" si="157"/>
        <v>0.15622460983015357</v>
      </c>
      <c r="AP230" s="6">
        <f t="shared" si="158"/>
        <v>0.16880273120811962</v>
      </c>
      <c r="AQ230" s="6">
        <f t="shared" si="159"/>
        <v>0.17911824367711723</v>
      </c>
      <c r="AR230" s="6">
        <f t="shared" si="160"/>
        <v>0.1876004852904978</v>
      </c>
      <c r="AS230" s="6">
        <f t="shared" si="161"/>
        <v>0.19460990066801315</v>
      </c>
      <c r="AT230" s="6">
        <f t="shared" si="162"/>
        <v>0.24152018686490789</v>
      </c>
      <c r="AW230" s="3">
        <f t="shared" si="172"/>
        <v>4360</v>
      </c>
      <c r="AX230" s="3">
        <f t="shared" si="169"/>
        <v>320</v>
      </c>
      <c r="AY230" s="3">
        <f t="shared" si="170"/>
        <v>1395200</v>
      </c>
      <c r="AZ230" s="13">
        <f t="shared" si="171"/>
        <v>0.17784324314776323</v>
      </c>
      <c r="BA230" s="3">
        <f t="shared" si="178"/>
        <v>248126.89283975927</v>
      </c>
      <c r="BB230" s="3">
        <f t="shared" si="179"/>
        <v>248245.53855104742</v>
      </c>
      <c r="BC230" s="3">
        <f t="shared" si="166"/>
        <v>248243.75305629848</v>
      </c>
      <c r="BD230" s="3">
        <f t="shared" si="167"/>
        <v>496071.11111111112</v>
      </c>
    </row>
    <row r="231" spans="3:56" x14ac:dyDescent="0.45">
      <c r="C231">
        <f t="shared" si="146"/>
        <v>219</v>
      </c>
      <c r="D231" s="2">
        <f t="shared" si="177"/>
        <v>728.91556589388551</v>
      </c>
      <c r="E231" s="2">
        <f t="shared" si="177"/>
        <v>5389.0471380436447</v>
      </c>
      <c r="F231" s="2">
        <f t="shared" si="177"/>
        <v>16146.925474868414</v>
      </c>
      <c r="G231" s="2">
        <f t="shared" si="177"/>
        <v>33077.355749388109</v>
      </c>
      <c r="H231" s="2">
        <f t="shared" si="177"/>
        <v>55002.285048047343</v>
      </c>
      <c r="I231" s="2">
        <f t="shared" si="177"/>
        <v>80432.899338552961</v>
      </c>
      <c r="J231" s="2">
        <f t="shared" si="177"/>
        <v>108087.16698641884</v>
      </c>
      <c r="K231" s="2">
        <f t="shared" si="177"/>
        <v>137033.15351354756</v>
      </c>
      <c r="L231" s="2">
        <f t="shared" si="177"/>
        <v>166653.6936393349</v>
      </c>
      <c r="M231" s="2">
        <f t="shared" si="177"/>
        <v>196563.29259621116</v>
      </c>
      <c r="N231" s="2">
        <f t="shared" si="177"/>
        <v>226531.58975807604</v>
      </c>
      <c r="O231" s="2">
        <f t="shared" si="177"/>
        <v>256426.93821046912</v>
      </c>
      <c r="P231" s="2">
        <f t="shared" si="147"/>
        <v>239109.12264866434</v>
      </c>
      <c r="R231">
        <f t="shared" si="148"/>
        <v>219</v>
      </c>
      <c r="S231" s="2">
        <f t="shared" si="181"/>
        <v>109500</v>
      </c>
      <c r="T231" s="2">
        <f t="shared" si="181"/>
        <v>219000</v>
      </c>
      <c r="U231" s="2">
        <f t="shared" si="181"/>
        <v>328500</v>
      </c>
      <c r="V231" s="2">
        <f t="shared" si="181"/>
        <v>438000</v>
      </c>
      <c r="W231" s="2">
        <f t="shared" si="181"/>
        <v>547500</v>
      </c>
      <c r="X231" s="2">
        <f t="shared" si="181"/>
        <v>657000</v>
      </c>
      <c r="Y231" s="2">
        <f t="shared" si="181"/>
        <v>766500</v>
      </c>
      <c r="Z231" s="2">
        <f t="shared" si="181"/>
        <v>876000</v>
      </c>
      <c r="AA231" s="2">
        <f t="shared" si="180"/>
        <v>985500</v>
      </c>
      <c r="AB231" s="2">
        <f t="shared" si="180"/>
        <v>1095000</v>
      </c>
      <c r="AC231" s="2">
        <f t="shared" si="180"/>
        <v>1204500</v>
      </c>
      <c r="AD231" s="2">
        <f t="shared" si="180"/>
        <v>1314000</v>
      </c>
      <c r="AE231" s="2">
        <f t="shared" si="180"/>
        <v>985500</v>
      </c>
      <c r="AG231">
        <f t="shared" si="149"/>
        <v>219</v>
      </c>
      <c r="AH231" s="6">
        <f t="shared" si="150"/>
        <v>6.6567631588482692E-3</v>
      </c>
      <c r="AI231" s="6">
        <f t="shared" si="151"/>
        <v>2.4607521178281484E-2</v>
      </c>
      <c r="AJ231" s="6">
        <f t="shared" si="152"/>
        <v>4.915350220660096E-2</v>
      </c>
      <c r="AK231" s="6">
        <f t="shared" si="153"/>
        <v>7.5519077053397513E-2</v>
      </c>
      <c r="AL231" s="6">
        <f t="shared" si="154"/>
        <v>0.10046079460830565</v>
      </c>
      <c r="AM231" s="6">
        <f t="shared" si="155"/>
        <v>0.12242450432047634</v>
      </c>
      <c r="AN231" s="6">
        <f t="shared" si="156"/>
        <v>0.14101391648586933</v>
      </c>
      <c r="AO231" s="6">
        <f t="shared" si="157"/>
        <v>0.15643054054057939</v>
      </c>
      <c r="AP231" s="6">
        <f t="shared" si="158"/>
        <v>0.16910572667613891</v>
      </c>
      <c r="AQ231" s="6">
        <f t="shared" si="159"/>
        <v>0.17950985625224763</v>
      </c>
      <c r="AR231" s="6">
        <f t="shared" si="160"/>
        <v>0.18807105832966048</v>
      </c>
      <c r="AS231" s="6">
        <f t="shared" si="161"/>
        <v>0.19514987687250313</v>
      </c>
      <c r="AT231" s="6">
        <f t="shared" si="162"/>
        <v>0.2426272172995072</v>
      </c>
      <c r="AW231" s="3">
        <f t="shared" si="172"/>
        <v>4380</v>
      </c>
      <c r="AX231" s="3">
        <f t="shared" si="169"/>
        <v>322</v>
      </c>
      <c r="AY231" s="3">
        <f t="shared" si="170"/>
        <v>1410360</v>
      </c>
      <c r="AZ231" s="13">
        <f t="shared" si="171"/>
        <v>0.17895475979634501</v>
      </c>
      <c r="BA231" s="3">
        <f t="shared" si="178"/>
        <v>252390.63502637314</v>
      </c>
      <c r="BB231" s="3">
        <f t="shared" si="179"/>
        <v>252302.59887668016</v>
      </c>
      <c r="BC231" s="3">
        <f t="shared" si="166"/>
        <v>252092.23767810393</v>
      </c>
      <c r="BD231" s="3">
        <f t="shared" si="167"/>
        <v>504595.46666666667</v>
      </c>
    </row>
    <row r="232" spans="3:56" x14ac:dyDescent="0.45">
      <c r="C232">
        <f t="shared" si="146"/>
        <v>220</v>
      </c>
      <c r="D232" s="2">
        <f t="shared" si="177"/>
        <v>729.09647717891767</v>
      </c>
      <c r="E232" s="2">
        <f t="shared" si="177"/>
        <v>5393.9947535325864</v>
      </c>
      <c r="F232" s="2">
        <f t="shared" si="177"/>
        <v>16176.564117042344</v>
      </c>
      <c r="G232" s="2">
        <f t="shared" si="177"/>
        <v>33170.730458557773</v>
      </c>
      <c r="H232" s="2">
        <f t="shared" si="177"/>
        <v>55209.024918119489</v>
      </c>
      <c r="I232" s="2">
        <f t="shared" si="177"/>
        <v>80801.62725091631</v>
      </c>
      <c r="J232" s="2">
        <f t="shared" si="177"/>
        <v>108658.30683400443</v>
      </c>
      <c r="K232" s="2">
        <f t="shared" si="177"/>
        <v>137836.87302450513</v>
      </c>
      <c r="L232" s="2">
        <f t="shared" si="177"/>
        <v>167710.84461343824</v>
      </c>
      <c r="M232" s="2">
        <f t="shared" si="177"/>
        <v>197887.4023967197</v>
      </c>
      <c r="N232" s="2">
        <f t="shared" si="177"/>
        <v>228130.86631570852</v>
      </c>
      <c r="O232" s="2">
        <f t="shared" si="177"/>
        <v>258305.90964233369</v>
      </c>
      <c r="P232" s="2">
        <f t="shared" si="147"/>
        <v>241296.90137948404</v>
      </c>
      <c r="R232">
        <f t="shared" si="148"/>
        <v>220</v>
      </c>
      <c r="S232" s="2">
        <f t="shared" si="181"/>
        <v>110000</v>
      </c>
      <c r="T232" s="2">
        <f t="shared" si="181"/>
        <v>220000</v>
      </c>
      <c r="U232" s="2">
        <f t="shared" si="181"/>
        <v>330000</v>
      </c>
      <c r="V232" s="2">
        <f t="shared" si="181"/>
        <v>440000</v>
      </c>
      <c r="W232" s="2">
        <f t="shared" si="181"/>
        <v>550000</v>
      </c>
      <c r="X232" s="2">
        <f t="shared" si="181"/>
        <v>660000</v>
      </c>
      <c r="Y232" s="2">
        <f t="shared" si="181"/>
        <v>770000</v>
      </c>
      <c r="Z232" s="2">
        <f t="shared" si="181"/>
        <v>880000</v>
      </c>
      <c r="AA232" s="2">
        <f t="shared" si="180"/>
        <v>990000</v>
      </c>
      <c r="AB232" s="2">
        <f t="shared" si="180"/>
        <v>1100000</v>
      </c>
      <c r="AC232" s="2">
        <f t="shared" si="180"/>
        <v>1210000</v>
      </c>
      <c r="AD232" s="2">
        <f t="shared" si="180"/>
        <v>1320000</v>
      </c>
      <c r="AE232" s="2">
        <f t="shared" si="180"/>
        <v>990000</v>
      </c>
      <c r="AG232">
        <f t="shared" si="149"/>
        <v>220</v>
      </c>
      <c r="AH232" s="6">
        <f t="shared" si="150"/>
        <v>6.6281497925356151E-3</v>
      </c>
      <c r="AI232" s="6">
        <f t="shared" si="151"/>
        <v>2.4518157970602666E-2</v>
      </c>
      <c r="AJ232" s="6">
        <f t="shared" si="152"/>
        <v>4.901989126376468E-2</v>
      </c>
      <c r="AK232" s="6">
        <f t="shared" si="153"/>
        <v>7.5388023769449489E-2</v>
      </c>
      <c r="AL232" s="6">
        <f t="shared" si="154"/>
        <v>0.10038004530567179</v>
      </c>
      <c r="AM232" s="6">
        <f t="shared" si="155"/>
        <v>0.1224267079559338</v>
      </c>
      <c r="AN232" s="6">
        <f t="shared" si="156"/>
        <v>0.14111468420000575</v>
      </c>
      <c r="AO232" s="6">
        <f t="shared" si="157"/>
        <v>0.15663281025511946</v>
      </c>
      <c r="AP232" s="6">
        <f t="shared" si="158"/>
        <v>0.16940489354892752</v>
      </c>
      <c r="AQ232" s="6">
        <f t="shared" si="159"/>
        <v>0.17989763854247245</v>
      </c>
      <c r="AR232" s="6">
        <f t="shared" si="160"/>
        <v>0.18853790604604009</v>
      </c>
      <c r="AS232" s="6">
        <f t="shared" si="161"/>
        <v>0.19568629518358613</v>
      </c>
      <c r="AT232" s="6">
        <f t="shared" si="162"/>
        <v>0.24373424381766065</v>
      </c>
      <c r="AW232" s="3">
        <f t="shared" si="172"/>
        <v>4400</v>
      </c>
      <c r="AX232" s="3">
        <f t="shared" si="169"/>
        <v>323</v>
      </c>
      <c r="AY232" s="3">
        <f t="shared" si="170"/>
        <v>1421200</v>
      </c>
      <c r="AZ232" s="13">
        <f t="shared" si="171"/>
        <v>0.1795105181206359</v>
      </c>
      <c r="BA232" s="3">
        <f t="shared" si="178"/>
        <v>255120.34835304774</v>
      </c>
      <c r="BB232" s="3">
        <f t="shared" si="179"/>
        <v>255216.97039048633</v>
      </c>
      <c r="BC232" s="3">
        <f t="shared" si="166"/>
        <v>255189.79958130314</v>
      </c>
      <c r="BD232" s="3">
        <f t="shared" si="167"/>
        <v>510052.88888888888</v>
      </c>
    </row>
    <row r="233" spans="3:56" x14ac:dyDescent="0.45">
      <c r="C233">
        <f t="shared" si="146"/>
        <v>221</v>
      </c>
      <c r="D233" s="2">
        <f t="shared" ref="D233:O242" si="182">$C$7*BL_MBPS*BL_KM^2*D$12^3*$C233^2/((EM_KM*D$12)^2+(2*PI()*AVG_SUN_DIST_KM*$C233)^2)</f>
        <v>729.27502622198585</v>
      </c>
      <c r="E233" s="2">
        <f t="shared" si="182"/>
        <v>5398.8842679100817</v>
      </c>
      <c r="F233" s="2">
        <f t="shared" si="182"/>
        <v>16205.908135490288</v>
      </c>
      <c r="G233" s="2">
        <f t="shared" si="182"/>
        <v>33263.358466791949</v>
      </c>
      <c r="H233" s="2">
        <f t="shared" si="182"/>
        <v>55414.493121354244</v>
      </c>
      <c r="I233" s="2">
        <f t="shared" si="182"/>
        <v>81168.688527928403</v>
      </c>
      <c r="J233" s="2">
        <f t="shared" si="182"/>
        <v>109227.6560052547</v>
      </c>
      <c r="K233" s="2">
        <f t="shared" si="182"/>
        <v>138638.99796758316</v>
      </c>
      <c r="L233" s="2">
        <f t="shared" si="182"/>
        <v>168766.90097696861</v>
      </c>
      <c r="M233" s="2">
        <f t="shared" si="182"/>
        <v>199211.17390027482</v>
      </c>
      <c r="N233" s="2">
        <f t="shared" si="182"/>
        <v>229730.76213467083</v>
      </c>
      <c r="O233" s="2">
        <f t="shared" si="182"/>
        <v>260186.60833071041</v>
      </c>
      <c r="P233" s="2">
        <f t="shared" si="147"/>
        <v>243494.63947178004</v>
      </c>
      <c r="R233">
        <f t="shared" si="148"/>
        <v>221</v>
      </c>
      <c r="S233" s="2">
        <f t="shared" si="181"/>
        <v>110500</v>
      </c>
      <c r="T233" s="2">
        <f t="shared" si="181"/>
        <v>221000</v>
      </c>
      <c r="U233" s="2">
        <f t="shared" si="181"/>
        <v>331500</v>
      </c>
      <c r="V233" s="2">
        <f t="shared" si="181"/>
        <v>442000</v>
      </c>
      <c r="W233" s="2">
        <f t="shared" si="181"/>
        <v>552500</v>
      </c>
      <c r="X233" s="2">
        <f t="shared" si="181"/>
        <v>663000</v>
      </c>
      <c r="Y233" s="2">
        <f t="shared" si="181"/>
        <v>773500</v>
      </c>
      <c r="Z233" s="2">
        <f t="shared" si="181"/>
        <v>884000</v>
      </c>
      <c r="AA233" s="2">
        <f t="shared" si="180"/>
        <v>994500</v>
      </c>
      <c r="AB233" s="2">
        <f t="shared" si="180"/>
        <v>1105000</v>
      </c>
      <c r="AC233" s="2">
        <f t="shared" si="180"/>
        <v>1215500</v>
      </c>
      <c r="AD233" s="2">
        <f t="shared" si="180"/>
        <v>1326000</v>
      </c>
      <c r="AE233" s="2">
        <f t="shared" si="180"/>
        <v>994500</v>
      </c>
      <c r="AG233">
        <f t="shared" si="149"/>
        <v>221</v>
      </c>
      <c r="AH233" s="6">
        <f t="shared" si="150"/>
        <v>6.5997739929591478E-3</v>
      </c>
      <c r="AI233" s="6">
        <f t="shared" si="151"/>
        <v>2.4429340578778651E-2</v>
      </c>
      <c r="AJ233" s="6">
        <f t="shared" si="152"/>
        <v>4.8886600710377946E-2</v>
      </c>
      <c r="AK233" s="6">
        <f t="shared" si="153"/>
        <v>7.52564671194388E-2</v>
      </c>
      <c r="AL233" s="6">
        <f t="shared" si="154"/>
        <v>0.10029772510652352</v>
      </c>
      <c r="AM233" s="6">
        <f t="shared" si="155"/>
        <v>0.12242637787017858</v>
      </c>
      <c r="AN233" s="6">
        <f t="shared" si="156"/>
        <v>0.14121222495831248</v>
      </c>
      <c r="AO233" s="6">
        <f t="shared" si="157"/>
        <v>0.15683144566468682</v>
      </c>
      <c r="AP233" s="6">
        <f t="shared" si="158"/>
        <v>0.16970025236497599</v>
      </c>
      <c r="AQ233" s="6">
        <f t="shared" si="159"/>
        <v>0.18028160533961524</v>
      </c>
      <c r="AR233" s="6">
        <f t="shared" si="160"/>
        <v>0.18900103836665638</v>
      </c>
      <c r="AS233" s="6">
        <f t="shared" si="161"/>
        <v>0.19621916163703651</v>
      </c>
      <c r="AT233" s="6">
        <f t="shared" si="162"/>
        <v>0.24484126643718457</v>
      </c>
      <c r="AW233" s="3">
        <f t="shared" si="172"/>
        <v>4420</v>
      </c>
      <c r="AX233" s="3">
        <f t="shared" si="169"/>
        <v>325</v>
      </c>
      <c r="AY233" s="3">
        <f t="shared" si="170"/>
        <v>1436500</v>
      </c>
      <c r="AZ233" s="13">
        <f t="shared" si="171"/>
        <v>0.18062203476921768</v>
      </c>
      <c r="BA233" s="3">
        <f t="shared" si="178"/>
        <v>259463.55294598118</v>
      </c>
      <c r="BB233" s="3">
        <f t="shared" si="179"/>
        <v>259349.36933064088</v>
      </c>
      <c r="BC233" s="3">
        <f t="shared" si="166"/>
        <v>259109.42369798754</v>
      </c>
      <c r="BD233" s="3">
        <f t="shared" si="167"/>
        <v>518736.11111111112</v>
      </c>
    </row>
    <row r="234" spans="3:56" x14ac:dyDescent="0.45">
      <c r="C234">
        <f t="shared" si="146"/>
        <v>222</v>
      </c>
      <c r="D234" s="2">
        <f t="shared" si="182"/>
        <v>729.45125358860787</v>
      </c>
      <c r="E234" s="2">
        <f t="shared" si="182"/>
        <v>5403.7165504309896</v>
      </c>
      <c r="F234" s="2">
        <f t="shared" si="182"/>
        <v>16234.961009652601</v>
      </c>
      <c r="G234" s="2">
        <f t="shared" si="182"/>
        <v>33355.245871653715</v>
      </c>
      <c r="H234" s="2">
        <f t="shared" si="182"/>
        <v>55618.695074184616</v>
      </c>
      <c r="I234" s="2">
        <f t="shared" si="182"/>
        <v>81534.083196068663</v>
      </c>
      <c r="J234" s="2">
        <f t="shared" si="182"/>
        <v>109795.20542574779</v>
      </c>
      <c r="K234" s="2">
        <f t="shared" si="182"/>
        <v>139439.50841062356</v>
      </c>
      <c r="L234" s="2">
        <f t="shared" si="182"/>
        <v>169821.83189927891</v>
      </c>
      <c r="M234" s="2">
        <f t="shared" si="182"/>
        <v>200534.56641244653</v>
      </c>
      <c r="N234" s="2">
        <f t="shared" si="182"/>
        <v>231331.22818760789</v>
      </c>
      <c r="O234" s="2">
        <f t="shared" si="182"/>
        <v>262068.9785568332</v>
      </c>
      <c r="P234" s="2">
        <f t="shared" si="147"/>
        <v>245702.33689055787</v>
      </c>
      <c r="R234">
        <f t="shared" si="148"/>
        <v>222</v>
      </c>
      <c r="S234" s="2">
        <f t="shared" si="181"/>
        <v>111000</v>
      </c>
      <c r="T234" s="2">
        <f t="shared" si="181"/>
        <v>222000</v>
      </c>
      <c r="U234" s="2">
        <f t="shared" si="181"/>
        <v>333000</v>
      </c>
      <c r="V234" s="2">
        <f t="shared" si="181"/>
        <v>444000</v>
      </c>
      <c r="W234" s="2">
        <f t="shared" si="181"/>
        <v>555000</v>
      </c>
      <c r="X234" s="2">
        <f t="shared" si="181"/>
        <v>666000</v>
      </c>
      <c r="Y234" s="2">
        <f t="shared" si="181"/>
        <v>777000</v>
      </c>
      <c r="Z234" s="2">
        <f t="shared" si="181"/>
        <v>888000</v>
      </c>
      <c r="AA234" s="2">
        <f t="shared" si="180"/>
        <v>999000</v>
      </c>
      <c r="AB234" s="2">
        <f t="shared" si="180"/>
        <v>1110000</v>
      </c>
      <c r="AC234" s="2">
        <f t="shared" si="180"/>
        <v>1221000</v>
      </c>
      <c r="AD234" s="2">
        <f t="shared" si="180"/>
        <v>1332000</v>
      </c>
      <c r="AE234" s="2">
        <f t="shared" si="180"/>
        <v>999000</v>
      </c>
      <c r="AG234">
        <f t="shared" si="149"/>
        <v>222</v>
      </c>
      <c r="AH234" s="6">
        <f t="shared" si="150"/>
        <v>6.5716329152126834E-3</v>
      </c>
      <c r="AI234" s="6">
        <f t="shared" si="151"/>
        <v>2.4341065542481936E-2</v>
      </c>
      <c r="AJ234" s="6">
        <f t="shared" si="152"/>
        <v>4.8753636665623427E-2</v>
      </c>
      <c r="AK234" s="6">
        <f t="shared" si="153"/>
        <v>7.5124427638859723E-2</v>
      </c>
      <c r="AL234" s="6">
        <f t="shared" si="154"/>
        <v>0.10021386499853084</v>
      </c>
      <c r="AM234" s="6">
        <f t="shared" si="155"/>
        <v>0.12242354834244544</v>
      </c>
      <c r="AN234" s="6">
        <f t="shared" si="156"/>
        <v>0.14130657068950808</v>
      </c>
      <c r="AO234" s="6">
        <f t="shared" si="157"/>
        <v>0.15702647343538689</v>
      </c>
      <c r="AP234" s="6">
        <f t="shared" si="158"/>
        <v>0.16999182372300192</v>
      </c>
      <c r="AQ234" s="6">
        <f t="shared" si="159"/>
        <v>0.18066177154274463</v>
      </c>
      <c r="AR234" s="6">
        <f t="shared" si="160"/>
        <v>0.18946046534611621</v>
      </c>
      <c r="AS234" s="6">
        <f t="shared" si="161"/>
        <v>0.19674848240002493</v>
      </c>
      <c r="AT234" s="6">
        <f t="shared" si="162"/>
        <v>0.24594828517573361</v>
      </c>
      <c r="AW234" s="3">
        <f t="shared" si="172"/>
        <v>4440</v>
      </c>
      <c r="AX234" s="3">
        <f t="shared" si="169"/>
        <v>326</v>
      </c>
      <c r="AY234" s="3">
        <f t="shared" si="170"/>
        <v>1447440</v>
      </c>
      <c r="AZ234" s="13">
        <f t="shared" si="171"/>
        <v>0.18117779309350857</v>
      </c>
      <c r="BA234" s="3">
        <f t="shared" si="178"/>
        <v>262243.98483526806</v>
      </c>
      <c r="BB234" s="3">
        <f t="shared" si="179"/>
        <v>262317.70618284994</v>
      </c>
      <c r="BC234" s="3">
        <f t="shared" si="166"/>
        <v>262264.20601590455</v>
      </c>
      <c r="BD234" s="3">
        <f t="shared" si="167"/>
        <v>524294.93333333335</v>
      </c>
    </row>
    <row r="235" spans="3:56" x14ac:dyDescent="0.45">
      <c r="C235">
        <f t="shared" si="146"/>
        <v>223</v>
      </c>
      <c r="D235" s="2">
        <f t="shared" si="182"/>
        <v>729.62519898561982</v>
      </c>
      <c r="E235" s="2">
        <f t="shared" si="182"/>
        <v>5408.492454929521</v>
      </c>
      <c r="F235" s="2">
        <f t="shared" si="182"/>
        <v>16263.726176009588</v>
      </c>
      <c r="G235" s="2">
        <f t="shared" si="182"/>
        <v>33446.398744157421</v>
      </c>
      <c r="H235" s="2">
        <f t="shared" si="182"/>
        <v>55821.636260372106</v>
      </c>
      <c r="I235" s="2">
        <f t="shared" si="182"/>
        <v>81897.811484810067</v>
      </c>
      <c r="J235" s="2">
        <f t="shared" si="182"/>
        <v>110360.94634603267</v>
      </c>
      <c r="K235" s="2">
        <f t="shared" si="182"/>
        <v>140238.38482285972</v>
      </c>
      <c r="L235" s="2">
        <f t="shared" si="182"/>
        <v>170875.60697749854</v>
      </c>
      <c r="M235" s="2">
        <f t="shared" si="182"/>
        <v>201857.53965313672</v>
      </c>
      <c r="N235" s="2">
        <f t="shared" si="182"/>
        <v>232932.21582207346</v>
      </c>
      <c r="O235" s="2">
        <f t="shared" si="182"/>
        <v>263952.964923491</v>
      </c>
      <c r="P235" s="2">
        <f t="shared" si="147"/>
        <v>247919.99360098175</v>
      </c>
      <c r="R235">
        <f t="shared" si="148"/>
        <v>223</v>
      </c>
      <c r="S235" s="2">
        <f t="shared" si="181"/>
        <v>111500</v>
      </c>
      <c r="T235" s="2">
        <f t="shared" si="181"/>
        <v>223000</v>
      </c>
      <c r="U235" s="2">
        <f t="shared" si="181"/>
        <v>334500</v>
      </c>
      <c r="V235" s="2">
        <f t="shared" si="181"/>
        <v>446000</v>
      </c>
      <c r="W235" s="2">
        <f t="shared" si="181"/>
        <v>557500</v>
      </c>
      <c r="X235" s="2">
        <f t="shared" si="181"/>
        <v>669000</v>
      </c>
      <c r="Y235" s="2">
        <f t="shared" si="181"/>
        <v>780500</v>
      </c>
      <c r="Z235" s="2">
        <f t="shared" si="181"/>
        <v>892000</v>
      </c>
      <c r="AA235" s="2">
        <f t="shared" si="180"/>
        <v>1003500</v>
      </c>
      <c r="AB235" s="2">
        <f t="shared" si="180"/>
        <v>1115000</v>
      </c>
      <c r="AC235" s="2">
        <f t="shared" si="180"/>
        <v>1226500</v>
      </c>
      <c r="AD235" s="2">
        <f t="shared" si="180"/>
        <v>1338000</v>
      </c>
      <c r="AE235" s="2">
        <f t="shared" si="180"/>
        <v>1003500</v>
      </c>
      <c r="AG235">
        <f t="shared" si="149"/>
        <v>223</v>
      </c>
      <c r="AH235" s="6">
        <f t="shared" si="150"/>
        <v>6.5437237577185637E-3</v>
      </c>
      <c r="AI235" s="6">
        <f t="shared" si="151"/>
        <v>2.4253329394302785E-2</v>
      </c>
      <c r="AJ235" s="6">
        <f t="shared" si="152"/>
        <v>4.862100501049204E-2</v>
      </c>
      <c r="AK235" s="6">
        <f t="shared" si="153"/>
        <v>7.4991925435330536E-2</v>
      </c>
      <c r="AL235" s="6">
        <f t="shared" si="154"/>
        <v>0.10012849553429974</v>
      </c>
      <c r="AM235" s="6">
        <f t="shared" si="155"/>
        <v>0.12241825334052327</v>
      </c>
      <c r="AN235" s="6">
        <f t="shared" si="156"/>
        <v>0.14139775316596115</v>
      </c>
      <c r="AO235" s="6">
        <f t="shared" si="157"/>
        <v>0.15721792020499969</v>
      </c>
      <c r="AP235" s="6">
        <f t="shared" si="158"/>
        <v>0.17027962827852369</v>
      </c>
      <c r="AQ235" s="6">
        <f t="shared" si="159"/>
        <v>0.18103815215527957</v>
      </c>
      <c r="AR235" s="6">
        <f t="shared" si="160"/>
        <v>0.18991619716434852</v>
      </c>
      <c r="AS235" s="6">
        <f t="shared" si="161"/>
        <v>0.19727426376942525</v>
      </c>
      <c r="AT235" s="6">
        <f t="shared" si="162"/>
        <v>0.24705530005080392</v>
      </c>
      <c r="AW235" s="3">
        <f t="shared" si="172"/>
        <v>4460</v>
      </c>
      <c r="AX235" s="3">
        <f t="shared" si="169"/>
        <v>327</v>
      </c>
      <c r="AY235" s="3">
        <f t="shared" si="170"/>
        <v>1458420</v>
      </c>
      <c r="AZ235" s="13">
        <f t="shared" si="171"/>
        <v>0.18173355141779945</v>
      </c>
      <c r="BA235" s="3">
        <f t="shared" si="178"/>
        <v>265043.84605874709</v>
      </c>
      <c r="BB235" s="3">
        <f t="shared" si="179"/>
        <v>265308.19675181864</v>
      </c>
      <c r="BC235" s="3">
        <f t="shared" si="166"/>
        <v>265443.58228609565</v>
      </c>
      <c r="BD235" s="3">
        <f t="shared" si="167"/>
        <v>529892.6</v>
      </c>
    </row>
    <row r="236" spans="3:56" x14ac:dyDescent="0.45">
      <c r="C236">
        <f t="shared" si="146"/>
        <v>224</v>
      </c>
      <c r="D236" s="2">
        <f t="shared" si="182"/>
        <v>729.79690128267612</v>
      </c>
      <c r="E236" s="2">
        <f t="shared" si="182"/>
        <v>5413.2128201265832</v>
      </c>
      <c r="F236" s="2">
        <f t="shared" si="182"/>
        <v>16292.207028505571</v>
      </c>
      <c r="G236" s="2">
        <f t="shared" si="182"/>
        <v>33536.823127896037</v>
      </c>
      <c r="H236" s="2">
        <f t="shared" si="182"/>
        <v>56023.322227922028</v>
      </c>
      <c r="I236" s="2">
        <f t="shared" si="182"/>
        <v>82259.873822018955</v>
      </c>
      <c r="J236" s="2">
        <f t="shared" si="182"/>
        <v>110924.87033694342</v>
      </c>
      <c r="K236" s="2">
        <f t="shared" si="182"/>
        <v>141035.60807126469</v>
      </c>
      <c r="L236" s="2">
        <f t="shared" si="182"/>
        <v>171928.19623440402</v>
      </c>
      <c r="M236" s="2">
        <f t="shared" si="182"/>
        <v>203180.05375597335</v>
      </c>
      <c r="N236" s="2">
        <f t="shared" si="182"/>
        <v>234533.67676119803</v>
      </c>
      <c r="O236" s="2">
        <f t="shared" si="182"/>
        <v>265838.51235664659</v>
      </c>
      <c r="P236" s="2">
        <f t="shared" si="147"/>
        <v>250147.60956837045</v>
      </c>
      <c r="R236">
        <f t="shared" si="148"/>
        <v>224</v>
      </c>
      <c r="S236" s="2">
        <f t="shared" si="181"/>
        <v>112000</v>
      </c>
      <c r="T236" s="2">
        <f t="shared" si="181"/>
        <v>224000</v>
      </c>
      <c r="U236" s="2">
        <f t="shared" si="181"/>
        <v>336000</v>
      </c>
      <c r="V236" s="2">
        <f t="shared" si="181"/>
        <v>448000</v>
      </c>
      <c r="W236" s="2">
        <f t="shared" si="181"/>
        <v>560000</v>
      </c>
      <c r="X236" s="2">
        <f t="shared" si="181"/>
        <v>672000</v>
      </c>
      <c r="Y236" s="2">
        <f t="shared" si="181"/>
        <v>784000</v>
      </c>
      <c r="Z236" s="2">
        <f t="shared" si="181"/>
        <v>896000</v>
      </c>
      <c r="AA236" s="2">
        <f t="shared" si="180"/>
        <v>1008000</v>
      </c>
      <c r="AB236" s="2">
        <f t="shared" si="180"/>
        <v>1120000</v>
      </c>
      <c r="AC236" s="2">
        <f t="shared" si="180"/>
        <v>1232000</v>
      </c>
      <c r="AD236" s="2">
        <f t="shared" si="180"/>
        <v>1344000</v>
      </c>
      <c r="AE236" s="2">
        <f t="shared" si="180"/>
        <v>1008000</v>
      </c>
      <c r="AG236">
        <f t="shared" si="149"/>
        <v>224</v>
      </c>
      <c r="AH236" s="6">
        <f t="shared" si="150"/>
        <v>6.5160437614524653E-3</v>
      </c>
      <c r="AI236" s="6">
        <f t="shared" si="151"/>
        <v>2.4166128661279391E-2</v>
      </c>
      <c r="AJ236" s="6">
        <f t="shared" si="152"/>
        <v>4.8488711394361818E-2</v>
      </c>
      <c r="AK236" s="6">
        <f t="shared" si="153"/>
        <v>7.4858980196196509E-2</v>
      </c>
      <c r="AL236" s="6">
        <f t="shared" si="154"/>
        <v>0.10004164683557505</v>
      </c>
      <c r="AM236" s="6">
        <f t="shared" si="155"/>
        <v>0.12241052652086154</v>
      </c>
      <c r="AN236" s="6">
        <f t="shared" si="156"/>
        <v>0.14148580400120334</v>
      </c>
      <c r="AO236" s="6">
        <f t="shared" si="157"/>
        <v>0.15740581257953648</v>
      </c>
      <c r="AP236" s="6">
        <f t="shared" si="158"/>
        <v>0.17056368674048017</v>
      </c>
      <c r="AQ236" s="6">
        <f t="shared" si="159"/>
        <v>0.18141076228211905</v>
      </c>
      <c r="AR236" s="6">
        <f t="shared" si="160"/>
        <v>0.19036824412434905</v>
      </c>
      <c r="AS236" s="6">
        <f t="shared" si="161"/>
        <v>0.19779651217012395</v>
      </c>
      <c r="AT236" s="6">
        <f t="shared" si="162"/>
        <v>0.24816231107973258</v>
      </c>
      <c r="AW236" s="3">
        <f t="shared" si="172"/>
        <v>4480</v>
      </c>
      <c r="AX236" s="3">
        <f t="shared" si="169"/>
        <v>329</v>
      </c>
      <c r="AY236" s="3">
        <f t="shared" si="170"/>
        <v>1473920</v>
      </c>
      <c r="AZ236" s="13">
        <f t="shared" si="171"/>
        <v>0.18284506806638123</v>
      </c>
      <c r="BA236" s="3">
        <f t="shared" si="178"/>
        <v>269499.00272440061</v>
      </c>
      <c r="BB236" s="3">
        <f t="shared" si="179"/>
        <v>269548.93401958281</v>
      </c>
      <c r="BC236" s="3">
        <f t="shared" si="166"/>
        <v>269468.14740389329</v>
      </c>
      <c r="BD236" s="3">
        <f t="shared" si="167"/>
        <v>538799.64444444445</v>
      </c>
    </row>
    <row r="237" spans="3:56" x14ac:dyDescent="0.45">
      <c r="C237">
        <f t="shared" si="146"/>
        <v>225</v>
      </c>
      <c r="D237" s="2">
        <f t="shared" si="182"/>
        <v>729.96639853313275</v>
      </c>
      <c r="E237" s="2">
        <f t="shared" si="182"/>
        <v>5417.8784699306143</v>
      </c>
      <c r="F237" s="2">
        <f t="shared" si="182"/>
        <v>16320.406918975314</v>
      </c>
      <c r="G237" s="2">
        <f t="shared" si="182"/>
        <v>33626.525038212232</v>
      </c>
      <c r="H237" s="2">
        <f t="shared" si="182"/>
        <v>56223.758586073294</v>
      </c>
      <c r="I237" s="2">
        <f t="shared" si="182"/>
        <v>82620.270829418369</v>
      </c>
      <c r="J237" s="2">
        <f t="shared" si="182"/>
        <v>111486.96928493839</v>
      </c>
      <c r="K237" s="2">
        <f t="shared" si="182"/>
        <v>141831.15941688398</v>
      </c>
      <c r="L237" s="2">
        <f t="shared" si="182"/>
        <v>172979.57011624565</v>
      </c>
      <c r="M237" s="2">
        <f t="shared" si="182"/>
        <v>204502.06926764612</v>
      </c>
      <c r="N237" s="2">
        <f t="shared" si="182"/>
        <v>236135.56310429657</v>
      </c>
      <c r="O237" s="2">
        <f t="shared" si="182"/>
        <v>267725.56610699877</v>
      </c>
      <c r="P237" s="2">
        <f t="shared" si="147"/>
        <v>252385.18475820095</v>
      </c>
      <c r="R237">
        <f t="shared" si="148"/>
        <v>225</v>
      </c>
      <c r="S237" s="2">
        <f t="shared" si="181"/>
        <v>112500</v>
      </c>
      <c r="T237" s="2">
        <f t="shared" si="181"/>
        <v>225000</v>
      </c>
      <c r="U237" s="2">
        <f t="shared" si="181"/>
        <v>337500</v>
      </c>
      <c r="V237" s="2">
        <f t="shared" si="181"/>
        <v>450000</v>
      </c>
      <c r="W237" s="2">
        <f t="shared" si="181"/>
        <v>562500</v>
      </c>
      <c r="X237" s="2">
        <f t="shared" si="181"/>
        <v>675000</v>
      </c>
      <c r="Y237" s="2">
        <f t="shared" si="181"/>
        <v>787500</v>
      </c>
      <c r="Z237" s="2">
        <f t="shared" si="181"/>
        <v>900000</v>
      </c>
      <c r="AA237" s="2">
        <f t="shared" si="180"/>
        <v>1012500</v>
      </c>
      <c r="AB237" s="2">
        <f t="shared" si="180"/>
        <v>1125000</v>
      </c>
      <c r="AC237" s="2">
        <f t="shared" si="180"/>
        <v>1237500</v>
      </c>
      <c r="AD237" s="2">
        <f t="shared" si="180"/>
        <v>1350000</v>
      </c>
      <c r="AE237" s="2">
        <f t="shared" si="180"/>
        <v>1012500</v>
      </c>
      <c r="AG237">
        <f t="shared" si="149"/>
        <v>225</v>
      </c>
      <c r="AH237" s="6">
        <f t="shared" si="150"/>
        <v>6.4885902091834022E-3</v>
      </c>
      <c r="AI237" s="6">
        <f t="shared" si="151"/>
        <v>2.4079459866358285E-2</v>
      </c>
      <c r="AJ237" s="6">
        <f t="shared" si="152"/>
        <v>4.8356761241408336E-2</v>
      </c>
      <c r="AK237" s="6">
        <f t="shared" si="153"/>
        <v>7.4725611196027178E-2</v>
      </c>
      <c r="AL237" s="6">
        <f t="shared" si="154"/>
        <v>9.9953348597463632E-2</v>
      </c>
      <c r="AM237" s="6">
        <f t="shared" si="155"/>
        <v>0.12240040122876795</v>
      </c>
      <c r="AN237" s="6">
        <f t="shared" si="156"/>
        <v>0.14157075464754082</v>
      </c>
      <c r="AO237" s="6">
        <f t="shared" si="157"/>
        <v>0.15759017712987108</v>
      </c>
      <c r="AP237" s="6">
        <f t="shared" si="158"/>
        <v>0.17084401986789693</v>
      </c>
      <c r="AQ237" s="6">
        <f t="shared" si="159"/>
        <v>0.18177961712679655</v>
      </c>
      <c r="AR237" s="6">
        <f t="shared" si="160"/>
        <v>0.19081661664993663</v>
      </c>
      <c r="AS237" s="6">
        <f t="shared" si="161"/>
        <v>0.19831523415333241</v>
      </c>
      <c r="AT237" s="6">
        <f t="shared" si="162"/>
        <v>0.24926931827970464</v>
      </c>
      <c r="AW237" s="3">
        <f t="shared" si="172"/>
        <v>4500</v>
      </c>
      <c r="AX237" s="3">
        <f t="shared" si="169"/>
        <v>330</v>
      </c>
      <c r="AY237" s="3">
        <f t="shared" si="170"/>
        <v>1485000</v>
      </c>
      <c r="AZ237" s="13">
        <f t="shared" si="171"/>
        <v>0.18340082639067212</v>
      </c>
      <c r="BA237" s="3">
        <f t="shared" si="178"/>
        <v>272350.22719014809</v>
      </c>
      <c r="BB237" s="3">
        <f t="shared" si="179"/>
        <v>272594.08710502385</v>
      </c>
      <c r="BC237" s="3">
        <f t="shared" si="166"/>
        <v>272705.49197184254</v>
      </c>
      <c r="BD237" s="3">
        <f t="shared" si="167"/>
        <v>544500</v>
      </c>
    </row>
    <row r="238" spans="3:56" x14ac:dyDescent="0.45">
      <c r="C238">
        <f t="shared" si="146"/>
        <v>226</v>
      </c>
      <c r="D238" s="2">
        <f t="shared" si="182"/>
        <v>730.13372799433171</v>
      </c>
      <c r="E238" s="2">
        <f t="shared" si="182"/>
        <v>5422.4902137320305</v>
      </c>
      <c r="F238" s="2">
        <f t="shared" si="182"/>
        <v>16348.329157572363</v>
      </c>
      <c r="G238" s="2">
        <f t="shared" si="182"/>
        <v>33715.510461411614</v>
      </c>
      <c r="H238" s="2">
        <f t="shared" si="182"/>
        <v>56422.951002361733</v>
      </c>
      <c r="I238" s="2">
        <f t="shared" si="182"/>
        <v>82979.003318114832</v>
      </c>
      <c r="J238" s="2">
        <f t="shared" si="182"/>
        <v>112047.23538746471</v>
      </c>
      <c r="K238" s="2">
        <f t="shared" si="182"/>
        <v>142625.02051115312</v>
      </c>
      <c r="L238" s="2">
        <f t="shared" si="182"/>
        <v>174029.69949053117</v>
      </c>
      <c r="M238" s="2">
        <f t="shared" si="182"/>
        <v>205823.54714718554</v>
      </c>
      <c r="N238" s="2">
        <f t="shared" si="182"/>
        <v>237737.82732741561</v>
      </c>
      <c r="O238" s="2">
        <f t="shared" si="182"/>
        <v>269614.07175148645</v>
      </c>
      <c r="P238" s="2">
        <f t="shared" si="147"/>
        <v>254632.71913610221</v>
      </c>
      <c r="R238">
        <f t="shared" si="148"/>
        <v>226</v>
      </c>
      <c r="S238" s="2">
        <f t="shared" si="181"/>
        <v>113000</v>
      </c>
      <c r="T238" s="2">
        <f t="shared" si="181"/>
        <v>226000</v>
      </c>
      <c r="U238" s="2">
        <f t="shared" si="181"/>
        <v>339000</v>
      </c>
      <c r="V238" s="2">
        <f t="shared" si="181"/>
        <v>452000</v>
      </c>
      <c r="W238" s="2">
        <f t="shared" si="181"/>
        <v>565000</v>
      </c>
      <c r="X238" s="2">
        <f t="shared" si="181"/>
        <v>678000</v>
      </c>
      <c r="Y238" s="2">
        <f t="shared" si="181"/>
        <v>791000</v>
      </c>
      <c r="Z238" s="2">
        <f t="shared" si="181"/>
        <v>904000</v>
      </c>
      <c r="AA238" s="2">
        <f t="shared" si="180"/>
        <v>1017000</v>
      </c>
      <c r="AB238" s="2">
        <f t="shared" si="180"/>
        <v>1130000</v>
      </c>
      <c r="AC238" s="2">
        <f t="shared" si="180"/>
        <v>1243000</v>
      </c>
      <c r="AD238" s="2">
        <f t="shared" si="180"/>
        <v>1356000</v>
      </c>
      <c r="AE238" s="2">
        <f t="shared" si="180"/>
        <v>1017000</v>
      </c>
      <c r="AG238">
        <f t="shared" si="149"/>
        <v>226</v>
      </c>
      <c r="AH238" s="6">
        <f t="shared" si="150"/>
        <v>6.4613604247285988E-3</v>
      </c>
      <c r="AI238" s="6">
        <f t="shared" si="151"/>
        <v>2.3993319529787744E-2</v>
      </c>
      <c r="AJ238" s="6">
        <f t="shared" si="152"/>
        <v>4.8225159756850627E-2</v>
      </c>
      <c r="AK238" s="6">
        <f t="shared" si="153"/>
        <v>7.4591837304007994E-2</v>
      </c>
      <c r="AL238" s="6">
        <f t="shared" si="154"/>
        <v>9.986363009267564E-2</v>
      </c>
      <c r="AM238" s="6">
        <f t="shared" si="155"/>
        <v>0.12238791049869444</v>
      </c>
      <c r="AN238" s="6">
        <f t="shared" si="156"/>
        <v>0.14165263639376069</v>
      </c>
      <c r="AO238" s="6">
        <f t="shared" si="157"/>
        <v>0.15777104038844372</v>
      </c>
      <c r="AP238" s="6">
        <f t="shared" si="158"/>
        <v>0.171120648466599</v>
      </c>
      <c r="AQ238" s="6">
        <f t="shared" si="159"/>
        <v>0.18214473198865977</v>
      </c>
      <c r="AR238" s="6">
        <f t="shared" si="160"/>
        <v>0.19126132528352019</v>
      </c>
      <c r="AS238" s="6">
        <f t="shared" si="161"/>
        <v>0.1988304363949015</v>
      </c>
      <c r="AT238" s="6">
        <f t="shared" si="162"/>
        <v>0.25037632166775048</v>
      </c>
      <c r="AW238" s="3">
        <f t="shared" si="172"/>
        <v>4520</v>
      </c>
      <c r="AX238" s="3">
        <f t="shared" si="169"/>
        <v>332</v>
      </c>
      <c r="AY238" s="3">
        <f t="shared" si="170"/>
        <v>1500640</v>
      </c>
      <c r="AZ238" s="13">
        <f t="shared" si="171"/>
        <v>0.1845123430392539</v>
      </c>
      <c r="BA238" s="3">
        <f t="shared" si="178"/>
        <v>276886.60245842597</v>
      </c>
      <c r="BB238" s="3">
        <f t="shared" si="179"/>
        <v>276911.8419921273</v>
      </c>
      <c r="BC238" s="3">
        <f t="shared" si="166"/>
        <v>276802.79878906248</v>
      </c>
      <c r="BD238" s="3">
        <f t="shared" si="167"/>
        <v>553569.4222222222</v>
      </c>
    </row>
    <row r="239" spans="3:56" x14ac:dyDescent="0.45">
      <c r="C239">
        <f t="shared" si="146"/>
        <v>227</v>
      </c>
      <c r="D239" s="2">
        <f t="shared" si="182"/>
        <v>730.29892614730204</v>
      </c>
      <c r="E239" s="2">
        <f t="shared" si="182"/>
        <v>5427.0488466913994</v>
      </c>
      <c r="F239" s="2">
        <f t="shared" si="182"/>
        <v>16375.977013198917</v>
      </c>
      <c r="G239" s="2">
        <f t="shared" si="182"/>
        <v>33803.785354016683</v>
      </c>
      <c r="H239" s="2">
        <f t="shared" si="182"/>
        <v>56620.905199755158</v>
      </c>
      <c r="I239" s="2">
        <f t="shared" si="182"/>
        <v>83336.072284188354</v>
      </c>
      <c r="J239" s="2">
        <f t="shared" si="182"/>
        <v>112605.66114834945</v>
      </c>
      <c r="K239" s="2">
        <f t="shared" si="182"/>
        <v>143417.17339220212</v>
      </c>
      <c r="L239" s="2">
        <f t="shared" si="182"/>
        <v>175078.55564376744</v>
      </c>
      <c r="M239" s="2">
        <f t="shared" si="182"/>
        <v>207144.44876518543</v>
      </c>
      <c r="N239" s="2">
        <f t="shared" si="182"/>
        <v>239340.4222838204</v>
      </c>
      <c r="O239" s="2">
        <f t="shared" si="182"/>
        <v>271503.97519473825</v>
      </c>
      <c r="P239" s="2">
        <f t="shared" si="147"/>
        <v>256890.21266785596</v>
      </c>
      <c r="R239">
        <f t="shared" si="148"/>
        <v>227</v>
      </c>
      <c r="S239" s="2">
        <f t="shared" si="181"/>
        <v>113500</v>
      </c>
      <c r="T239" s="2">
        <f t="shared" si="181"/>
        <v>227000</v>
      </c>
      <c r="U239" s="2">
        <f t="shared" si="181"/>
        <v>340500</v>
      </c>
      <c r="V239" s="2">
        <f t="shared" si="181"/>
        <v>454000</v>
      </c>
      <c r="W239" s="2">
        <f t="shared" si="181"/>
        <v>567500</v>
      </c>
      <c r="X239" s="2">
        <f t="shared" si="181"/>
        <v>681000</v>
      </c>
      <c r="Y239" s="2">
        <f t="shared" si="181"/>
        <v>794500</v>
      </c>
      <c r="Z239" s="2">
        <f t="shared" si="181"/>
        <v>908000</v>
      </c>
      <c r="AA239" s="2">
        <f t="shared" si="180"/>
        <v>1021500</v>
      </c>
      <c r="AB239" s="2">
        <f t="shared" si="180"/>
        <v>1135000</v>
      </c>
      <c r="AC239" s="2">
        <f t="shared" si="180"/>
        <v>1248500</v>
      </c>
      <c r="AD239" s="2">
        <f t="shared" si="180"/>
        <v>1362000</v>
      </c>
      <c r="AE239" s="2">
        <f t="shared" si="180"/>
        <v>1021500</v>
      </c>
      <c r="AG239">
        <f t="shared" si="149"/>
        <v>227</v>
      </c>
      <c r="AH239" s="6">
        <f t="shared" si="150"/>
        <v>6.4343517722229258E-3</v>
      </c>
      <c r="AI239" s="6">
        <f t="shared" si="151"/>
        <v>2.3907704170446693E-2</v>
      </c>
      <c r="AJ239" s="6">
        <f t="shared" si="152"/>
        <v>4.8093911933036471E-2</v>
      </c>
      <c r="AK239" s="6">
        <f t="shared" si="153"/>
        <v>7.4457676991226171E-2</v>
      </c>
      <c r="AL239" s="6">
        <f t="shared" si="154"/>
        <v>9.9772520175780019E-2</v>
      </c>
      <c r="AM239" s="6">
        <f t="shared" si="155"/>
        <v>0.12237308705460845</v>
      </c>
      <c r="AN239" s="6">
        <f t="shared" si="156"/>
        <v>0.14173148036293196</v>
      </c>
      <c r="AO239" s="6">
        <f t="shared" si="157"/>
        <v>0.15794842884603758</v>
      </c>
      <c r="AP239" s="6">
        <f t="shared" si="158"/>
        <v>0.1713935933859691</v>
      </c>
      <c r="AQ239" s="6">
        <f t="shared" si="159"/>
        <v>0.18250612226007526</v>
      </c>
      <c r="AR239" s="6">
        <f t="shared" si="160"/>
        <v>0.19170238068387696</v>
      </c>
      <c r="AS239" s="6">
        <f t="shared" si="161"/>
        <v>0.1993421256936404</v>
      </c>
      <c r="AT239" s="6">
        <f t="shared" si="162"/>
        <v>0.25148332126074985</v>
      </c>
      <c r="AW239" s="3">
        <f t="shared" si="172"/>
        <v>4540</v>
      </c>
      <c r="AX239" s="3">
        <f t="shared" si="169"/>
        <v>333</v>
      </c>
      <c r="AY239" s="3">
        <f t="shared" si="170"/>
        <v>1511820</v>
      </c>
      <c r="AZ239" s="13">
        <f t="shared" si="171"/>
        <v>0.18506810136354479</v>
      </c>
      <c r="BA239" s="3">
        <f t="shared" si="178"/>
        <v>279789.65700343426</v>
      </c>
      <c r="BB239" s="3">
        <f t="shared" si="179"/>
        <v>280012.15263220679</v>
      </c>
      <c r="BC239" s="3">
        <f t="shared" si="166"/>
        <v>280098.63525474624</v>
      </c>
      <c r="BD239" s="3">
        <f t="shared" si="167"/>
        <v>559373.4</v>
      </c>
    </row>
    <row r="240" spans="3:56" x14ac:dyDescent="0.45">
      <c r="C240">
        <f t="shared" si="146"/>
        <v>228</v>
      </c>
      <c r="D240" s="2">
        <f t="shared" si="182"/>
        <v>730.4620287159056</v>
      </c>
      <c r="E240" s="2">
        <f t="shared" si="182"/>
        <v>5431.555150021527</v>
      </c>
      <c r="F240" s="2">
        <f t="shared" si="182"/>
        <v>16403.35371393694</v>
      </c>
      <c r="G240" s="2">
        <f t="shared" si="182"/>
        <v>33891.355642060473</v>
      </c>
      <c r="H240" s="2">
        <f t="shared" si="182"/>
        <v>56817.626953859573</v>
      </c>
      <c r="I240" s="2">
        <f t="shared" si="182"/>
        <v>83691.478904345975</v>
      </c>
      <c r="J240" s="2">
        <f t="shared" si="182"/>
        <v>113162.23937321853</v>
      </c>
      <c r="K240" s="2">
        <f t="shared" si="182"/>
        <v>144207.60048114855</v>
      </c>
      <c r="L240" s="2">
        <f t="shared" si="182"/>
        <v>176126.11027916265</v>
      </c>
      <c r="M240" s="2">
        <f t="shared" si="182"/>
        <v>208464.73590297092</v>
      </c>
      <c r="N240" s="2">
        <f t="shared" si="182"/>
        <v>240943.30120442441</v>
      </c>
      <c r="O240" s="2">
        <f t="shared" si="182"/>
        <v>273395.22267046454</v>
      </c>
      <c r="P240" s="2">
        <f t="shared" si="147"/>
        <v>259157.66531939528</v>
      </c>
      <c r="R240">
        <f t="shared" si="148"/>
        <v>228</v>
      </c>
      <c r="S240" s="2">
        <f t="shared" si="181"/>
        <v>114000</v>
      </c>
      <c r="T240" s="2">
        <f t="shared" si="181"/>
        <v>228000</v>
      </c>
      <c r="U240" s="2">
        <f t="shared" si="181"/>
        <v>342000</v>
      </c>
      <c r="V240" s="2">
        <f t="shared" si="181"/>
        <v>456000</v>
      </c>
      <c r="W240" s="2">
        <f t="shared" si="181"/>
        <v>570000</v>
      </c>
      <c r="X240" s="2">
        <f t="shared" si="181"/>
        <v>684000</v>
      </c>
      <c r="Y240" s="2">
        <f t="shared" si="181"/>
        <v>798000</v>
      </c>
      <c r="Z240" s="2">
        <f t="shared" si="181"/>
        <v>912000</v>
      </c>
      <c r="AA240" s="2">
        <f t="shared" si="180"/>
        <v>1026000</v>
      </c>
      <c r="AB240" s="2">
        <f t="shared" si="180"/>
        <v>1140000</v>
      </c>
      <c r="AC240" s="2">
        <f t="shared" si="180"/>
        <v>1254000</v>
      </c>
      <c r="AD240" s="2">
        <f t="shared" si="180"/>
        <v>1368000</v>
      </c>
      <c r="AE240" s="2">
        <f t="shared" si="180"/>
        <v>1026000</v>
      </c>
      <c r="AG240">
        <f t="shared" si="149"/>
        <v>228</v>
      </c>
      <c r="AH240" s="6">
        <f t="shared" si="150"/>
        <v>6.4075616554026809E-3</v>
      </c>
      <c r="AI240" s="6">
        <f t="shared" si="151"/>
        <v>2.3822610307111962E-2</v>
      </c>
      <c r="AJ240" s="6">
        <f t="shared" si="152"/>
        <v>4.7963022555371167E-2</v>
      </c>
      <c r="AK240" s="6">
        <f t="shared" si="153"/>
        <v>7.4323148337851919E-2</v>
      </c>
      <c r="AL240" s="6">
        <f t="shared" si="154"/>
        <v>9.9680047287472942E-2</v>
      </c>
      <c r="AM240" s="6">
        <f t="shared" si="155"/>
        <v>0.12235596331044733</v>
      </c>
      <c r="AN240" s="6">
        <f t="shared" si="156"/>
        <v>0.1418073175102989</v>
      </c>
      <c r="AO240" s="6">
        <f t="shared" si="157"/>
        <v>0.1581223689486278</v>
      </c>
      <c r="AP240" s="6">
        <f t="shared" si="158"/>
        <v>0.17166287551575307</v>
      </c>
      <c r="AQ240" s="6">
        <f t="shared" si="159"/>
        <v>0.18286380342365871</v>
      </c>
      <c r="AR240" s="6">
        <f t="shared" si="160"/>
        <v>0.1921397936239429</v>
      </c>
      <c r="AS240" s="6">
        <f t="shared" si="161"/>
        <v>0.19985030896963782</v>
      </c>
      <c r="AT240" s="6">
        <f t="shared" si="162"/>
        <v>0.252590317075434</v>
      </c>
      <c r="AW240" s="3">
        <f t="shared" si="172"/>
        <v>4560</v>
      </c>
      <c r="AX240" s="3">
        <f t="shared" si="169"/>
        <v>335</v>
      </c>
      <c r="AY240" s="3">
        <f t="shared" si="170"/>
        <v>1527600</v>
      </c>
      <c r="AZ240" s="13">
        <f t="shared" si="171"/>
        <v>0.18617961801212657</v>
      </c>
      <c r="BA240" s="3">
        <f t="shared" si="178"/>
        <v>284407.98447532457</v>
      </c>
      <c r="BB240" s="3">
        <f t="shared" si="179"/>
        <v>284407.61819192767</v>
      </c>
      <c r="BC240" s="3">
        <f t="shared" si="166"/>
        <v>284269.33521520713</v>
      </c>
      <c r="BD240" s="3">
        <f t="shared" si="167"/>
        <v>568606.66666666674</v>
      </c>
    </row>
    <row r="241" spans="3:56" x14ac:dyDescent="0.45">
      <c r="C241">
        <f t="shared" si="146"/>
        <v>229</v>
      </c>
      <c r="D241" s="2">
        <f t="shared" si="182"/>
        <v>730.62307068543703</v>
      </c>
      <c r="E241" s="2">
        <f t="shared" si="182"/>
        <v>5436.0098912635276</v>
      </c>
      <c r="F241" s="2">
        <f t="shared" si="182"/>
        <v>16430.462447480131</v>
      </c>
      <c r="G241" s="2">
        <f t="shared" si="182"/>
        <v>33978.227220418405</v>
      </c>
      <c r="H241" s="2">
        <f t="shared" si="182"/>
        <v>57013.12209019492</v>
      </c>
      <c r="I241" s="2">
        <f t="shared" si="182"/>
        <v>84045.22453163813</v>
      </c>
      <c r="J241" s="2">
        <f t="shared" si="182"/>
        <v>113716.96316494385</v>
      </c>
      <c r="K241" s="2">
        <f t="shared" si="182"/>
        <v>144996.28457837997</v>
      </c>
      <c r="L241" s="2">
        <f t="shared" si="182"/>
        <v>177172.33551428915</v>
      </c>
      <c r="M241" s="2">
        <f t="shared" si="182"/>
        <v>209784.37075171311</v>
      </c>
      <c r="N241" s="2">
        <f t="shared" si="182"/>
        <v>242546.41769815996</v>
      </c>
      <c r="O241" s="2">
        <f t="shared" si="182"/>
        <v>275287.76074279571</v>
      </c>
      <c r="P241" s="2">
        <f t="shared" si="147"/>
        <v>261435.07705680418</v>
      </c>
      <c r="R241">
        <f t="shared" si="148"/>
        <v>229</v>
      </c>
      <c r="S241" s="2">
        <f t="shared" si="181"/>
        <v>114500</v>
      </c>
      <c r="T241" s="2">
        <f t="shared" si="181"/>
        <v>229000</v>
      </c>
      <c r="U241" s="2">
        <f t="shared" si="181"/>
        <v>343500</v>
      </c>
      <c r="V241" s="2">
        <f t="shared" si="181"/>
        <v>458000</v>
      </c>
      <c r="W241" s="2">
        <f t="shared" si="181"/>
        <v>572500</v>
      </c>
      <c r="X241" s="2">
        <f t="shared" si="181"/>
        <v>687000</v>
      </c>
      <c r="Y241" s="2">
        <f t="shared" si="181"/>
        <v>801500</v>
      </c>
      <c r="Z241" s="2">
        <f t="shared" si="181"/>
        <v>916000</v>
      </c>
      <c r="AA241" s="2">
        <f t="shared" si="180"/>
        <v>1030500</v>
      </c>
      <c r="AB241" s="2">
        <f t="shared" si="180"/>
        <v>1145000</v>
      </c>
      <c r="AC241" s="2">
        <f t="shared" si="180"/>
        <v>1259500</v>
      </c>
      <c r="AD241" s="2">
        <f t="shared" si="180"/>
        <v>1374000</v>
      </c>
      <c r="AE241" s="2">
        <f t="shared" si="180"/>
        <v>1030500</v>
      </c>
      <c r="AG241">
        <f t="shared" si="149"/>
        <v>229</v>
      </c>
      <c r="AH241" s="6">
        <f t="shared" si="150"/>
        <v>6.3809875169033798E-3</v>
      </c>
      <c r="AI241" s="6">
        <f t="shared" si="151"/>
        <v>2.373803445966606E-2</v>
      </c>
      <c r="AJ241" s="6">
        <f t="shared" si="152"/>
        <v>4.7832496208093538E-2</v>
      </c>
      <c r="AK241" s="6">
        <f t="shared" si="153"/>
        <v>7.418826904021486E-2</v>
      </c>
      <c r="AL241" s="6">
        <f t="shared" si="154"/>
        <v>9.9586239458855752E-2</v>
      </c>
      <c r="AM241" s="6">
        <f t="shared" si="155"/>
        <v>0.12233657137065231</v>
      </c>
      <c r="AN241" s="6">
        <f t="shared" si="156"/>
        <v>0.14188017862126495</v>
      </c>
      <c r="AO241" s="6">
        <f t="shared" si="157"/>
        <v>0.15829288709430128</v>
      </c>
      <c r="AP241" s="6">
        <f t="shared" si="158"/>
        <v>0.17192851578291038</v>
      </c>
      <c r="AQ241" s="6">
        <f t="shared" si="159"/>
        <v>0.18321779104953109</v>
      </c>
      <c r="AR241" s="6">
        <f t="shared" si="160"/>
        <v>0.19257357498861449</v>
      </c>
      <c r="AS241" s="6">
        <f t="shared" si="161"/>
        <v>0.20035499326258785</v>
      </c>
      <c r="AT241" s="6">
        <f t="shared" si="162"/>
        <v>0.25369730912838834</v>
      </c>
      <c r="AW241" s="3">
        <f t="shared" si="172"/>
        <v>4580</v>
      </c>
      <c r="AX241" s="3">
        <f t="shared" si="169"/>
        <v>336</v>
      </c>
      <c r="AY241" s="3">
        <f t="shared" si="170"/>
        <v>1538880</v>
      </c>
      <c r="AZ241" s="13">
        <f t="shared" si="171"/>
        <v>0.18673537633641746</v>
      </c>
      <c r="BA241" s="3">
        <f t="shared" si="178"/>
        <v>287363.33593658608</v>
      </c>
      <c r="BB241" s="3">
        <f t="shared" si="179"/>
        <v>287563.58142480801</v>
      </c>
      <c r="BC241" s="3">
        <f t="shared" si="166"/>
        <v>287624.18717858486</v>
      </c>
      <c r="BD241" s="3">
        <f t="shared" si="167"/>
        <v>574515.19999999995</v>
      </c>
    </row>
    <row r="242" spans="3:56" x14ac:dyDescent="0.45">
      <c r="C242">
        <f t="shared" si="146"/>
        <v>230</v>
      </c>
      <c r="D242" s="2">
        <f t="shared" si="182"/>
        <v>730.78208632069743</v>
      </c>
      <c r="E242" s="2">
        <f t="shared" si="182"/>
        <v>5440.4138245570375</v>
      </c>
      <c r="F242" s="2">
        <f t="shared" si="182"/>
        <v>16457.306361566378</v>
      </c>
      <c r="G242" s="2">
        <f t="shared" si="182"/>
        <v>34064.405952176981</v>
      </c>
      <c r="H242" s="2">
        <f t="shared" si="182"/>
        <v>57207.396481539101</v>
      </c>
      <c r="I242" s="2">
        <f t="shared" si="182"/>
        <v>84397.310691237886</v>
      </c>
      <c r="J242" s="2">
        <f t="shared" si="182"/>
        <v>114269.82591911983</v>
      </c>
      <c r="K242" s="2">
        <f t="shared" si="182"/>
        <v>145783.20885982746</v>
      </c>
      <c r="L242" s="2">
        <f t="shared" si="182"/>
        <v>178217.20387870926</v>
      </c>
      <c r="M242" s="2">
        <f t="shared" si="182"/>
        <v>211103.31591149018</v>
      </c>
      <c r="N242" s="2">
        <f t="shared" si="182"/>
        <v>244149.7257522922</v>
      </c>
      <c r="O242" s="2">
        <f t="shared" si="182"/>
        <v>277181.5363075643</v>
      </c>
      <c r="P242" s="2">
        <f t="shared" si="147"/>
        <v>263722.4478463133</v>
      </c>
      <c r="R242">
        <f t="shared" si="148"/>
        <v>230</v>
      </c>
      <c r="S242" s="2">
        <f t="shared" si="181"/>
        <v>115000</v>
      </c>
      <c r="T242" s="2">
        <f t="shared" si="181"/>
        <v>230000</v>
      </c>
      <c r="U242" s="2">
        <f t="shared" si="181"/>
        <v>345000</v>
      </c>
      <c r="V242" s="2">
        <f t="shared" si="181"/>
        <v>460000</v>
      </c>
      <c r="W242" s="2">
        <f t="shared" si="181"/>
        <v>575000</v>
      </c>
      <c r="X242" s="2">
        <f t="shared" si="181"/>
        <v>690000</v>
      </c>
      <c r="Y242" s="2">
        <f t="shared" si="181"/>
        <v>805000</v>
      </c>
      <c r="Z242" s="2">
        <f t="shared" si="181"/>
        <v>920000</v>
      </c>
      <c r="AA242" s="2">
        <f t="shared" si="180"/>
        <v>1035000</v>
      </c>
      <c r="AB242" s="2">
        <f t="shared" si="180"/>
        <v>1150000</v>
      </c>
      <c r="AC242" s="2">
        <f t="shared" si="180"/>
        <v>1265000</v>
      </c>
      <c r="AD242" s="2">
        <f t="shared" si="180"/>
        <v>1380000</v>
      </c>
      <c r="AE242" s="2">
        <f t="shared" si="180"/>
        <v>1035000</v>
      </c>
      <c r="AG242">
        <f t="shared" si="149"/>
        <v>230</v>
      </c>
      <c r="AH242" s="6">
        <f t="shared" si="150"/>
        <v>6.3546268375712818E-3</v>
      </c>
      <c r="AI242" s="6">
        <f t="shared" si="151"/>
        <v>2.3653973150247989E-2</v>
      </c>
      <c r="AJ242" s="6">
        <f t="shared" si="152"/>
        <v>4.7702337279902543E-2</v>
      </c>
      <c r="AK242" s="6">
        <f t="shared" si="153"/>
        <v>7.4053056417776042E-2</v>
      </c>
      <c r="AL242" s="6">
        <f t="shared" si="154"/>
        <v>9.9491124315720172E-2</v>
      </c>
      <c r="AM242" s="6">
        <f t="shared" si="155"/>
        <v>0.12231494303077954</v>
      </c>
      <c r="AN242" s="6">
        <f t="shared" si="156"/>
        <v>0.14195009430946562</v>
      </c>
      <c r="AO242" s="6">
        <f t="shared" si="157"/>
        <v>0.15846000963024723</v>
      </c>
      <c r="AP242" s="6">
        <f t="shared" si="158"/>
        <v>0.17219053514851138</v>
      </c>
      <c r="AQ242" s="6">
        <f t="shared" si="159"/>
        <v>0.18356810079260016</v>
      </c>
      <c r="AR242" s="6">
        <f t="shared" si="160"/>
        <v>0.193003735772563</v>
      </c>
      <c r="AS242" s="6">
        <f t="shared" si="161"/>
        <v>0.20085618573011907</v>
      </c>
      <c r="AT242" s="6">
        <f t="shared" si="162"/>
        <v>0.25480429743605149</v>
      </c>
      <c r="AW242" s="3">
        <f t="shared" si="172"/>
        <v>4600</v>
      </c>
      <c r="AX242" s="3">
        <f t="shared" si="169"/>
        <v>338</v>
      </c>
      <c r="AY242" s="3">
        <f t="shared" si="170"/>
        <v>1554800</v>
      </c>
      <c r="AZ242" s="13">
        <f t="shared" si="171"/>
        <v>0.18784689298499926</v>
      </c>
      <c r="BA242" s="3">
        <f t="shared" si="178"/>
        <v>292064.34921307687</v>
      </c>
      <c r="BB242" s="3">
        <f t="shared" si="179"/>
        <v>292037.4507104276</v>
      </c>
      <c r="BC242" s="3">
        <f t="shared" si="166"/>
        <v>291868.93172612443</v>
      </c>
      <c r="BD242" s="3">
        <f t="shared" si="167"/>
        <v>583913.77777777775</v>
      </c>
    </row>
    <row r="243" spans="3:56" x14ac:dyDescent="0.45">
      <c r="C243">
        <f t="shared" si="146"/>
        <v>231</v>
      </c>
      <c r="D243" s="2">
        <f t="shared" ref="D243:O252" si="183">$C$7*BL_MBPS*BL_KM^2*D$12^3*$C243^2/((EM_KM*D$12)^2+(2*PI()*AVG_SUN_DIST_KM*$C243)^2)</f>
        <v>730.93910918356084</v>
      </c>
      <c r="E243" s="2">
        <f t="shared" si="183"/>
        <v>5444.7676909046841</v>
      </c>
      <c r="F243" s="2">
        <f t="shared" si="183"/>
        <v>16483.888564410507</v>
      </c>
      <c r="G243" s="2">
        <f t="shared" si="183"/>
        <v>34149.897668038444</v>
      </c>
      <c r="H243" s="2">
        <f t="shared" si="183"/>
        <v>57400.456045339255</v>
      </c>
      <c r="I243" s="2">
        <f t="shared" si="183"/>
        <v>84747.739076282989</v>
      </c>
      <c r="J243" s="2">
        <f t="shared" si="183"/>
        <v>114820.82131956982</v>
      </c>
      <c r="K243" s="2">
        <f t="shared" si="183"/>
        <v>146568.35687323156</v>
      </c>
      <c r="L243" s="2">
        <f t="shared" si="183"/>
        <v>179260.68831156491</v>
      </c>
      <c r="M243" s="2">
        <f t="shared" si="183"/>
        <v>212421.53439029769</v>
      </c>
      <c r="N243" s="2">
        <f t="shared" si="183"/>
        <v>245753.17973267654</v>
      </c>
      <c r="O243" s="2">
        <f t="shared" si="183"/>
        <v>279076.49659353343</v>
      </c>
      <c r="P243" s="2">
        <f t="shared" si="147"/>
        <v>266019.77765430138</v>
      </c>
      <c r="R243">
        <f t="shared" si="148"/>
        <v>231</v>
      </c>
      <c r="S243" s="2">
        <f t="shared" si="181"/>
        <v>115500</v>
      </c>
      <c r="T243" s="2">
        <f t="shared" si="181"/>
        <v>231000</v>
      </c>
      <c r="U243" s="2">
        <f t="shared" si="181"/>
        <v>346500</v>
      </c>
      <c r="V243" s="2">
        <f t="shared" si="181"/>
        <v>462000</v>
      </c>
      <c r="W243" s="2">
        <f t="shared" si="181"/>
        <v>577500</v>
      </c>
      <c r="X243" s="2">
        <f t="shared" si="181"/>
        <v>693000</v>
      </c>
      <c r="Y243" s="2">
        <f t="shared" si="181"/>
        <v>808500</v>
      </c>
      <c r="Z243" s="2">
        <f t="shared" si="181"/>
        <v>924000</v>
      </c>
      <c r="AA243" s="2">
        <f t="shared" si="180"/>
        <v>1039500</v>
      </c>
      <c r="AB243" s="2">
        <f t="shared" si="180"/>
        <v>1155000</v>
      </c>
      <c r="AC243" s="2">
        <f t="shared" si="180"/>
        <v>1270500</v>
      </c>
      <c r="AD243" s="2">
        <f t="shared" si="180"/>
        <v>1386000</v>
      </c>
      <c r="AE243" s="2">
        <f t="shared" si="180"/>
        <v>1039500</v>
      </c>
      <c r="AG243">
        <f t="shared" si="149"/>
        <v>231</v>
      </c>
      <c r="AH243" s="6">
        <f t="shared" si="150"/>
        <v>6.3284771357884056E-3</v>
      </c>
      <c r="AI243" s="6">
        <f t="shared" si="151"/>
        <v>2.357042290434928E-2</v>
      </c>
      <c r="AJ243" s="6">
        <f t="shared" si="152"/>
        <v>4.7572549969438695E-2</v>
      </c>
      <c r="AK243" s="6">
        <f t="shared" si="153"/>
        <v>7.3917527419996631E-2</v>
      </c>
      <c r="AL243" s="6">
        <f t="shared" si="154"/>
        <v>9.9394729082838543E-2</v>
      </c>
      <c r="AM243" s="6">
        <f t="shared" si="155"/>
        <v>0.12229110977818614</v>
      </c>
      <c r="AN243" s="6">
        <f t="shared" si="156"/>
        <v>0.14201709501492865</v>
      </c>
      <c r="AO243" s="6">
        <f t="shared" si="157"/>
        <v>0.15862376284981772</v>
      </c>
      <c r="AP243" s="6">
        <f t="shared" si="158"/>
        <v>0.17244895460468004</v>
      </c>
      <c r="AQ243" s="6">
        <f t="shared" si="159"/>
        <v>0.18391474838986813</v>
      </c>
      <c r="AR243" s="6">
        <f t="shared" si="160"/>
        <v>0.19343028707806104</v>
      </c>
      <c r="AS243" s="6">
        <f t="shared" si="161"/>
        <v>0.20135389364612802</v>
      </c>
      <c r="AT243" s="6">
        <f t="shared" si="162"/>
        <v>0.25591128201471997</v>
      </c>
      <c r="AW243" s="3">
        <f t="shared" si="172"/>
        <v>4620</v>
      </c>
      <c r="AX243" s="3">
        <f t="shared" si="169"/>
        <v>339</v>
      </c>
      <c r="AY243" s="3">
        <f t="shared" si="170"/>
        <v>1566180</v>
      </c>
      <c r="AZ243" s="13">
        <f t="shared" si="171"/>
        <v>0.18840265130929015</v>
      </c>
      <c r="BA243" s="3">
        <f t="shared" si="178"/>
        <v>295072.46442758403</v>
      </c>
      <c r="BB243" s="3">
        <f t="shared" si="179"/>
        <v>295249.56157427165</v>
      </c>
      <c r="BC243" s="3">
        <f t="shared" si="166"/>
        <v>295283.32278713892</v>
      </c>
      <c r="BD243" s="3">
        <f t="shared" si="167"/>
        <v>589927.80000000005</v>
      </c>
    </row>
    <row r="244" spans="3:56" x14ac:dyDescent="0.45">
      <c r="C244">
        <f t="shared" si="146"/>
        <v>232</v>
      </c>
      <c r="D244" s="2">
        <f t="shared" si="183"/>
        <v>731.09417215004771</v>
      </c>
      <c r="E244" s="2">
        <f t="shared" si="183"/>
        <v>5449.0722184309507</v>
      </c>
      <c r="F244" s="2">
        <f t="shared" si="183"/>
        <v>16510.212125136954</v>
      </c>
      <c r="G244" s="2">
        <f t="shared" si="183"/>
        <v>34234.708165759883</v>
      </c>
      <c r="H244" s="2">
        <f t="shared" si="183"/>
        <v>57592.306741189008</v>
      </c>
      <c r="I244" s="2">
        <f t="shared" si="183"/>
        <v>85096.511543780056</v>
      </c>
      <c r="J244" s="2">
        <f t="shared" si="183"/>
        <v>115369.94333388376</v>
      </c>
      <c r="K244" s="2">
        <f t="shared" si="183"/>
        <v>147351.71253440162</v>
      </c>
      <c r="L244" s="2">
        <f t="shared" si="183"/>
        <v>180302.76215913246</v>
      </c>
      <c r="M244" s="2">
        <f t="shared" si="183"/>
        <v>213738.98960300843</v>
      </c>
      <c r="N244" s="2">
        <f t="shared" si="183"/>
        <v>247356.73438396049</v>
      </c>
      <c r="O244" s="2">
        <f t="shared" si="183"/>
        <v>280972.58916357148</v>
      </c>
      <c r="P244" s="2">
        <f t="shared" si="147"/>
        <v>268327.06644729432</v>
      </c>
      <c r="R244">
        <f t="shared" si="148"/>
        <v>232</v>
      </c>
      <c r="S244" s="2">
        <f t="shared" si="181"/>
        <v>116000</v>
      </c>
      <c r="T244" s="2">
        <f t="shared" si="181"/>
        <v>232000</v>
      </c>
      <c r="U244" s="2">
        <f t="shared" si="181"/>
        <v>348000</v>
      </c>
      <c r="V244" s="2">
        <f t="shared" si="181"/>
        <v>464000</v>
      </c>
      <c r="W244" s="2">
        <f t="shared" si="181"/>
        <v>580000</v>
      </c>
      <c r="X244" s="2">
        <f t="shared" si="181"/>
        <v>696000</v>
      </c>
      <c r="Y244" s="2">
        <f t="shared" si="181"/>
        <v>812000</v>
      </c>
      <c r="Z244" s="2">
        <f t="shared" si="181"/>
        <v>928000</v>
      </c>
      <c r="AA244" s="2">
        <f t="shared" si="180"/>
        <v>1044000</v>
      </c>
      <c r="AB244" s="2">
        <f t="shared" si="180"/>
        <v>1160000</v>
      </c>
      <c r="AC244" s="2">
        <f t="shared" si="180"/>
        <v>1276000</v>
      </c>
      <c r="AD244" s="2">
        <f t="shared" si="180"/>
        <v>1392000</v>
      </c>
      <c r="AE244" s="2">
        <f t="shared" si="180"/>
        <v>1044000</v>
      </c>
      <c r="AG244">
        <f t="shared" si="149"/>
        <v>232</v>
      </c>
      <c r="AH244" s="6">
        <f t="shared" si="150"/>
        <v>6.3025359668107562E-3</v>
      </c>
      <c r="AI244" s="6">
        <f t="shared" si="151"/>
        <v>2.3487380251857547E-2</v>
      </c>
      <c r="AJ244" s="6">
        <f t="shared" si="152"/>
        <v>4.7443138290623431E-2</v>
      </c>
      <c r="AK244" s="6">
        <f t="shared" si="153"/>
        <v>7.3781698633103202E-2</v>
      </c>
      <c r="AL244" s="6">
        <f t="shared" si="154"/>
        <v>9.9297080588256911E-2</v>
      </c>
      <c r="AM244" s="6">
        <f t="shared" si="155"/>
        <v>0.12226510279278743</v>
      </c>
      <c r="AN244" s="6">
        <f t="shared" si="156"/>
        <v>0.14208121100231991</v>
      </c>
      <c r="AO244" s="6">
        <f t="shared" si="157"/>
        <v>0.15878417298965691</v>
      </c>
      <c r="AP244" s="6">
        <f t="shared" si="158"/>
        <v>0.17270379517158282</v>
      </c>
      <c r="AQ244" s="6">
        <f t="shared" si="159"/>
        <v>0.1842577496577659</v>
      </c>
      <c r="AR244" s="6">
        <f t="shared" si="160"/>
        <v>0.19385324011282171</v>
      </c>
      <c r="AS244" s="6">
        <f t="shared" si="161"/>
        <v>0.20184812439911745</v>
      </c>
      <c r="AT244" s="6">
        <f t="shared" si="162"/>
        <v>0.25701826288055013</v>
      </c>
      <c r="AW244" s="3">
        <f t="shared" si="172"/>
        <v>4640</v>
      </c>
      <c r="AX244" s="3">
        <f t="shared" si="169"/>
        <v>341</v>
      </c>
      <c r="AY244" s="3">
        <f t="shared" si="170"/>
        <v>1582240</v>
      </c>
      <c r="AZ244" s="13">
        <f t="shared" si="171"/>
        <v>0.18951416795787193</v>
      </c>
      <c r="BA244" s="3">
        <f t="shared" si="178"/>
        <v>299856.89710966329</v>
      </c>
      <c r="BB244" s="3">
        <f t="shared" si="179"/>
        <v>299802.52763907157</v>
      </c>
      <c r="BC244" s="3">
        <f t="shared" si="166"/>
        <v>299602.76336561324</v>
      </c>
      <c r="BD244" s="3">
        <f t="shared" si="167"/>
        <v>599493.1555555556</v>
      </c>
    </row>
    <row r="245" spans="3:56" x14ac:dyDescent="0.45">
      <c r="C245">
        <f t="shared" si="146"/>
        <v>233</v>
      </c>
      <c r="D245" s="2">
        <f t="shared" si="183"/>
        <v>731.24730742692054</v>
      </c>
      <c r="E245" s="2">
        <f t="shared" si="183"/>
        <v>5453.3281226355239</v>
      </c>
      <c r="F245" s="2">
        <f t="shared" si="183"/>
        <v>16536.280074212118</v>
      </c>
      <c r="G245" s="2">
        <f t="shared" si="183"/>
        <v>34318.843209625826</v>
      </c>
      <c r="H245" s="2">
        <f t="shared" si="183"/>
        <v>57782.954568370355</v>
      </c>
      <c r="I245" s="2">
        <f t="shared" si="183"/>
        <v>85443.630110571117</v>
      </c>
      <c r="J245" s="2">
        <f t="shared" si="183"/>
        <v>115917.18620898706</v>
      </c>
      <c r="K245" s="2">
        <f t="shared" si="183"/>
        <v>148133.26012347033</v>
      </c>
      <c r="L245" s="2">
        <f t="shared" si="183"/>
        <v>181343.39917234425</v>
      </c>
      <c r="M245" s="2">
        <f t="shared" si="183"/>
        <v>215055.64537028244</v>
      </c>
      <c r="N245" s="2">
        <f t="shared" si="183"/>
        <v>248960.34482973086</v>
      </c>
      <c r="O245" s="2">
        <f t="shared" si="183"/>
        <v>282869.76191577304</v>
      </c>
      <c r="P245" s="2">
        <f t="shared" si="147"/>
        <v>270644.31419196044</v>
      </c>
      <c r="R245">
        <f t="shared" si="148"/>
        <v>233</v>
      </c>
      <c r="S245" s="2">
        <f t="shared" si="181"/>
        <v>116500</v>
      </c>
      <c r="T245" s="2">
        <f t="shared" si="181"/>
        <v>233000</v>
      </c>
      <c r="U245" s="2">
        <f t="shared" si="181"/>
        <v>349500</v>
      </c>
      <c r="V245" s="2">
        <f t="shared" si="181"/>
        <v>466000</v>
      </c>
      <c r="W245" s="2">
        <f t="shared" si="181"/>
        <v>582500</v>
      </c>
      <c r="X245" s="2">
        <f t="shared" si="181"/>
        <v>699000</v>
      </c>
      <c r="Y245" s="2">
        <f t="shared" si="181"/>
        <v>815500</v>
      </c>
      <c r="Z245" s="2">
        <f t="shared" si="181"/>
        <v>932000</v>
      </c>
      <c r="AA245" s="2">
        <f t="shared" si="180"/>
        <v>1048500</v>
      </c>
      <c r="AB245" s="2">
        <f t="shared" si="180"/>
        <v>1165000</v>
      </c>
      <c r="AC245" s="2">
        <f t="shared" si="180"/>
        <v>1281500</v>
      </c>
      <c r="AD245" s="2">
        <f t="shared" si="180"/>
        <v>1398000</v>
      </c>
      <c r="AE245" s="2">
        <f t="shared" si="180"/>
        <v>1048500</v>
      </c>
      <c r="AG245">
        <f t="shared" si="149"/>
        <v>233</v>
      </c>
      <c r="AH245" s="6">
        <f t="shared" si="150"/>
        <v>6.2768009221194901E-3</v>
      </c>
      <c r="AI245" s="6">
        <f t="shared" si="151"/>
        <v>2.340484172804946E-2</v>
      </c>
      <c r="AJ245" s="6">
        <f t="shared" si="152"/>
        <v>4.7314106077860137E-2</v>
      </c>
      <c r="AK245" s="6">
        <f t="shared" si="153"/>
        <v>7.3645586286750706E-2</v>
      </c>
      <c r="AL245" s="6">
        <f t="shared" si="154"/>
        <v>9.9198205267588588E-2</v>
      </c>
      <c r="AM245" s="6">
        <f t="shared" si="155"/>
        <v>0.12223695294788429</v>
      </c>
      <c r="AN245" s="6">
        <f t="shared" si="156"/>
        <v>0.14214247235927291</v>
      </c>
      <c r="AO245" s="6">
        <f t="shared" si="157"/>
        <v>0.1589412662268995</v>
      </c>
      <c r="AP245" s="6">
        <f t="shared" si="158"/>
        <v>0.17295507789446279</v>
      </c>
      <c r="AQ245" s="6">
        <f t="shared" si="159"/>
        <v>0.18459712048951282</v>
      </c>
      <c r="AR245" s="6">
        <f t="shared" si="160"/>
        <v>0.19427260618785086</v>
      </c>
      <c r="AS245" s="6">
        <f t="shared" si="161"/>
        <v>0.20233888549053866</v>
      </c>
      <c r="AT245" s="6">
        <f t="shared" si="162"/>
        <v>0.25812524004955695</v>
      </c>
      <c r="AW245" s="3">
        <f t="shared" si="172"/>
        <v>4660</v>
      </c>
      <c r="AX245" s="3">
        <f t="shared" si="169"/>
        <v>342</v>
      </c>
      <c r="AY245" s="3">
        <f t="shared" si="170"/>
        <v>1593720</v>
      </c>
      <c r="AZ245" s="13">
        <f t="shared" si="171"/>
        <v>0.19006992628216282</v>
      </c>
      <c r="BA245" s="3">
        <f t="shared" si="178"/>
        <v>302918.2429144085</v>
      </c>
      <c r="BB245" s="3">
        <f t="shared" si="179"/>
        <v>303071.28117203969</v>
      </c>
      <c r="BC245" s="3">
        <f t="shared" si="166"/>
        <v>303077.21712419152</v>
      </c>
      <c r="BD245" s="3">
        <f t="shared" si="167"/>
        <v>605613.6</v>
      </c>
    </row>
    <row r="246" spans="3:56" x14ac:dyDescent="0.45">
      <c r="C246">
        <f t="shared" si="146"/>
        <v>234</v>
      </c>
      <c r="D246" s="2">
        <f t="shared" si="183"/>
        <v>731.39854656781824</v>
      </c>
      <c r="E246" s="2">
        <f t="shared" si="183"/>
        <v>5457.5361066412815</v>
      </c>
      <c r="F246" s="2">
        <f t="shared" si="183"/>
        <v>16562.095403876119</v>
      </c>
      <c r="G246" s="2">
        <f t="shared" si="183"/>
        <v>34402.308529953109</v>
      </c>
      <c r="H246" s="2">
        <f t="shared" si="183"/>
        <v>57972.405563459215</v>
      </c>
      <c r="I246" s="2">
        <f t="shared" si="183"/>
        <v>85789.096949361774</v>
      </c>
      <c r="J246" s="2">
        <f t="shared" si="183"/>
        <v>116462.54446674195</v>
      </c>
      <c r="K246" s="2">
        <f t="shared" si="183"/>
        <v>148912.98428114416</v>
      </c>
      <c r="L246" s="2">
        <f t="shared" si="183"/>
        <v>182382.57350427809</v>
      </c>
      <c r="M246" s="2">
        <f t="shared" si="183"/>
        <v>216371.46591742919</v>
      </c>
      <c r="N246" s="2">
        <f t="shared" si="183"/>
        <v>250563.96657260667</v>
      </c>
      <c r="O246" s="2">
        <f t="shared" si="183"/>
        <v>284767.96308452683</v>
      </c>
      <c r="P246" s="2">
        <f t="shared" si="147"/>
        <v>272971.52085511386</v>
      </c>
      <c r="R246">
        <f t="shared" si="148"/>
        <v>234</v>
      </c>
      <c r="S246" s="2">
        <f t="shared" si="181"/>
        <v>117000</v>
      </c>
      <c r="T246" s="2">
        <f t="shared" si="181"/>
        <v>234000</v>
      </c>
      <c r="U246" s="2">
        <f t="shared" si="181"/>
        <v>351000</v>
      </c>
      <c r="V246" s="2">
        <f t="shared" si="181"/>
        <v>468000</v>
      </c>
      <c r="W246" s="2">
        <f t="shared" si="181"/>
        <v>585000</v>
      </c>
      <c r="X246" s="2">
        <f t="shared" si="181"/>
        <v>702000</v>
      </c>
      <c r="Y246" s="2">
        <f t="shared" si="181"/>
        <v>819000</v>
      </c>
      <c r="Z246" s="2">
        <f t="shared" si="181"/>
        <v>936000</v>
      </c>
      <c r="AA246" s="2">
        <f t="shared" si="180"/>
        <v>1053000</v>
      </c>
      <c r="AB246" s="2">
        <f t="shared" si="180"/>
        <v>1170000</v>
      </c>
      <c r="AC246" s="2">
        <f t="shared" si="180"/>
        <v>1287000</v>
      </c>
      <c r="AD246" s="2">
        <f t="shared" si="180"/>
        <v>1404000</v>
      </c>
      <c r="AE246" s="2">
        <f t="shared" si="180"/>
        <v>1053000</v>
      </c>
      <c r="AG246">
        <f t="shared" si="149"/>
        <v>234</v>
      </c>
      <c r="AH246" s="6">
        <f t="shared" si="150"/>
        <v>6.251269628784771E-3</v>
      </c>
      <c r="AI246" s="6">
        <f t="shared" si="151"/>
        <v>2.3322803874535392E-2</v>
      </c>
      <c r="AJ246" s="6">
        <f t="shared" si="152"/>
        <v>4.7185456991100057E-2</v>
      </c>
      <c r="AK246" s="6">
        <f t="shared" si="153"/>
        <v>7.3509206260583562E-2</v>
      </c>
      <c r="AL246" s="6">
        <f t="shared" si="154"/>
        <v>9.9098129168306348E-2</v>
      </c>
      <c r="AM246" s="6">
        <f t="shared" si="155"/>
        <v>0.12220669081105666</v>
      </c>
      <c r="AN246" s="6">
        <f t="shared" si="156"/>
        <v>0.14220090899480092</v>
      </c>
      <c r="AO246" s="6">
        <f t="shared" si="157"/>
        <v>0.15909506867643608</v>
      </c>
      <c r="AP246" s="6">
        <f t="shared" si="158"/>
        <v>0.17320282384071994</v>
      </c>
      <c r="AQ246" s="6">
        <f t="shared" si="159"/>
        <v>0.18493287685250359</v>
      </c>
      <c r="AR246" s="6">
        <f t="shared" si="160"/>
        <v>0.1946883967153121</v>
      </c>
      <c r="AS246" s="6">
        <f t="shared" si="161"/>
        <v>0.20282618453313878</v>
      </c>
      <c r="AT246" s="6">
        <f t="shared" si="162"/>
        <v>0.25923221353761999</v>
      </c>
      <c r="AW246" s="3">
        <f t="shared" si="172"/>
        <v>4680</v>
      </c>
      <c r="AX246" s="3">
        <f t="shared" si="169"/>
        <v>344</v>
      </c>
      <c r="AY246" s="3">
        <f t="shared" si="170"/>
        <v>1609920</v>
      </c>
      <c r="AZ246" s="13">
        <f t="shared" si="171"/>
        <v>0.1911814429307446</v>
      </c>
      <c r="BA246" s="3">
        <f t="shared" si="178"/>
        <v>307786.82860306435</v>
      </c>
      <c r="BB246" s="3">
        <f t="shared" si="179"/>
        <v>307704.03706930258</v>
      </c>
      <c r="BC246" s="3">
        <f t="shared" si="166"/>
        <v>307472.00517747452</v>
      </c>
      <c r="BD246" s="3">
        <f t="shared" si="167"/>
        <v>615347.19999999995</v>
      </c>
    </row>
    <row r="247" spans="3:56" x14ac:dyDescent="0.45">
      <c r="C247">
        <f t="shared" si="146"/>
        <v>235</v>
      </c>
      <c r="D247" s="2">
        <f t="shared" si="183"/>
        <v>731.54792048894228</v>
      </c>
      <c r="E247" s="2">
        <f t="shared" si="183"/>
        <v>5461.6968614370035</v>
      </c>
      <c r="F247" s="2">
        <f t="shared" si="183"/>
        <v>16587.661068573761</v>
      </c>
      <c r="G247" s="2">
        <f t="shared" si="183"/>
        <v>34485.109822627011</v>
      </c>
      <c r="H247" s="2">
        <f t="shared" si="183"/>
        <v>58160.665797993279</v>
      </c>
      <c r="I247" s="2">
        <f t="shared" si="183"/>
        <v>86132.914384810923</v>
      </c>
      <c r="J247" s="2">
        <f t="shared" si="183"/>
        <v>117006.01289958184</v>
      </c>
      <c r="K247" s="2">
        <f t="shared" si="183"/>
        <v>149690.87000495117</v>
      </c>
      <c r="L247" s="2">
        <f t="shared" si="183"/>
        <v>183420.25970761542</v>
      </c>
      <c r="M247" s="2">
        <f t="shared" si="183"/>
        <v>217686.41587322255</v>
      </c>
      <c r="N247" s="2">
        <f t="shared" si="183"/>
        <v>252167.55549427908</v>
      </c>
      <c r="O247" s="2">
        <f t="shared" si="183"/>
        <v>286667.14124153217</v>
      </c>
      <c r="P247" s="2">
        <f t="shared" si="147"/>
        <v>275308.686403709</v>
      </c>
      <c r="R247">
        <f t="shared" si="148"/>
        <v>235</v>
      </c>
      <c r="S247" s="2">
        <f t="shared" si="181"/>
        <v>117500</v>
      </c>
      <c r="T247" s="2">
        <f t="shared" si="181"/>
        <v>235000</v>
      </c>
      <c r="U247" s="2">
        <f t="shared" si="181"/>
        <v>352500</v>
      </c>
      <c r="V247" s="2">
        <f t="shared" si="181"/>
        <v>470000</v>
      </c>
      <c r="W247" s="2">
        <f t="shared" si="181"/>
        <v>587500</v>
      </c>
      <c r="X247" s="2">
        <f t="shared" si="181"/>
        <v>705000</v>
      </c>
      <c r="Y247" s="2">
        <f t="shared" si="181"/>
        <v>822500</v>
      </c>
      <c r="Z247" s="2">
        <f t="shared" si="181"/>
        <v>940000</v>
      </c>
      <c r="AA247" s="2">
        <f t="shared" si="180"/>
        <v>1057500</v>
      </c>
      <c r="AB247" s="2">
        <f t="shared" si="180"/>
        <v>1175000</v>
      </c>
      <c r="AC247" s="2">
        <f t="shared" si="180"/>
        <v>1292500</v>
      </c>
      <c r="AD247" s="2">
        <f t="shared" si="180"/>
        <v>1410000</v>
      </c>
      <c r="AE247" s="2">
        <f t="shared" si="180"/>
        <v>1057500</v>
      </c>
      <c r="AG247">
        <f t="shared" si="149"/>
        <v>235</v>
      </c>
      <c r="AH247" s="6">
        <f t="shared" si="150"/>
        <v>6.2259397488420619E-3</v>
      </c>
      <c r="AI247" s="6">
        <f t="shared" si="151"/>
        <v>2.3241263240157461E-2</v>
      </c>
      <c r="AJ247" s="6">
        <f t="shared" si="152"/>
        <v>4.7057194520776627E-2</v>
      </c>
      <c r="AK247" s="6">
        <f t="shared" si="153"/>
        <v>7.3372574090695766E-2</v>
      </c>
      <c r="AL247" s="6">
        <f t="shared" si="154"/>
        <v>9.8996877954031115E-2</v>
      </c>
      <c r="AM247" s="6">
        <f t="shared" si="155"/>
        <v>0.12217434664512188</v>
      </c>
      <c r="AN247" s="6">
        <f t="shared" si="156"/>
        <v>0.14225655063778947</v>
      </c>
      <c r="AO247" s="6">
        <f t="shared" si="157"/>
        <v>0.15924560638824592</v>
      </c>
      <c r="AP247" s="6">
        <f t="shared" si="158"/>
        <v>0.17344705409703587</v>
      </c>
      <c r="AQ247" s="6">
        <f t="shared" si="159"/>
        <v>0.18526503478572132</v>
      </c>
      <c r="AR247" s="6">
        <f t="shared" si="160"/>
        <v>0.19510062320640548</v>
      </c>
      <c r="AS247" s="6">
        <f t="shared" si="161"/>
        <v>0.2033100292493136</v>
      </c>
      <c r="AT247" s="6">
        <f t="shared" si="162"/>
        <v>0.26033918336048134</v>
      </c>
      <c r="AW247" s="3">
        <f t="shared" si="172"/>
        <v>4700</v>
      </c>
      <c r="AX247" s="3">
        <f t="shared" si="169"/>
        <v>345</v>
      </c>
      <c r="AY247" s="3">
        <f t="shared" si="170"/>
        <v>1621500</v>
      </c>
      <c r="AZ247" s="13">
        <f t="shared" si="171"/>
        <v>0.19173720125503549</v>
      </c>
      <c r="BA247" s="3">
        <f t="shared" si="178"/>
        <v>310901.87183504004</v>
      </c>
      <c r="BB247" s="3">
        <f t="shared" si="179"/>
        <v>311029.92830955377</v>
      </c>
      <c r="BC247" s="3">
        <f t="shared" si="166"/>
        <v>311007.0452335279</v>
      </c>
      <c r="BD247" s="3">
        <f t="shared" si="167"/>
        <v>621575</v>
      </c>
    </row>
    <row r="248" spans="3:56" x14ac:dyDescent="0.45">
      <c r="C248">
        <f t="shared" si="146"/>
        <v>236</v>
      </c>
      <c r="D248" s="2">
        <f t="shared" si="183"/>
        <v>731.69545948430925</v>
      </c>
      <c r="E248" s="2">
        <f t="shared" si="183"/>
        <v>5465.8110661149385</v>
      </c>
      <c r="F248" s="2">
        <f t="shared" si="183"/>
        <v>16612.979985384438</v>
      </c>
      <c r="G248" s="2">
        <f t="shared" si="183"/>
        <v>34567.252748667459</v>
      </c>
      <c r="H248" s="2">
        <f t="shared" si="183"/>
        <v>58347.741376201098</v>
      </c>
      <c r="I248" s="2">
        <f t="shared" si="183"/>
        <v>86475.084889681661</v>
      </c>
      <c r="J248" s="2">
        <f t="shared" si="183"/>
        <v>117547.58656617902</v>
      </c>
      <c r="K248" s="2">
        <f t="shared" si="183"/>
        <v>150466.90264548737</v>
      </c>
      <c r="L248" s="2">
        <f t="shared" si="183"/>
        <v>184456.43273207053</v>
      </c>
      <c r="M248" s="2">
        <f t="shared" si="183"/>
        <v>219000.46026866947</v>
      </c>
      <c r="N248" s="2">
        <f t="shared" si="183"/>
        <v>253771.0678554987</v>
      </c>
      <c r="O248" s="2">
        <f t="shared" si="183"/>
        <v>288567.24529676238</v>
      </c>
      <c r="P248" s="2">
        <f t="shared" si="147"/>
        <v>277655.81080484291</v>
      </c>
      <c r="R248">
        <f t="shared" si="148"/>
        <v>236</v>
      </c>
      <c r="S248" s="2">
        <f t="shared" si="181"/>
        <v>118000</v>
      </c>
      <c r="T248" s="2">
        <f t="shared" si="181"/>
        <v>236000</v>
      </c>
      <c r="U248" s="2">
        <f t="shared" si="181"/>
        <v>354000</v>
      </c>
      <c r="V248" s="2">
        <f t="shared" si="181"/>
        <v>472000</v>
      </c>
      <c r="W248" s="2">
        <f t="shared" si="181"/>
        <v>590000</v>
      </c>
      <c r="X248" s="2">
        <f t="shared" si="181"/>
        <v>708000</v>
      </c>
      <c r="Y248" s="2">
        <f t="shared" si="181"/>
        <v>826000</v>
      </c>
      <c r="Z248" s="2">
        <f t="shared" si="181"/>
        <v>944000</v>
      </c>
      <c r="AA248" s="2">
        <f t="shared" si="180"/>
        <v>1062000</v>
      </c>
      <c r="AB248" s="2">
        <f t="shared" si="180"/>
        <v>1180000</v>
      </c>
      <c r="AC248" s="2">
        <f t="shared" si="180"/>
        <v>1298000</v>
      </c>
      <c r="AD248" s="2">
        <f t="shared" si="180"/>
        <v>1416000</v>
      </c>
      <c r="AE248" s="2">
        <f t="shared" si="180"/>
        <v>1062000</v>
      </c>
      <c r="AG248">
        <f t="shared" si="149"/>
        <v>236</v>
      </c>
      <c r="AH248" s="6">
        <f t="shared" si="150"/>
        <v>6.2008089786805866E-3</v>
      </c>
      <c r="AI248" s="6">
        <f t="shared" si="151"/>
        <v>2.3160216381842961E-2</v>
      </c>
      <c r="AJ248" s="6">
        <f t="shared" si="152"/>
        <v>4.6929321992611406E-2</v>
      </c>
      <c r="AK248" s="6">
        <f t="shared" si="153"/>
        <v>7.3235704975990384E-2</v>
      </c>
      <c r="AL248" s="6">
        <f t="shared" si="154"/>
        <v>9.8894476908815421E-2</v>
      </c>
      <c r="AM248" s="6">
        <f t="shared" si="155"/>
        <v>0.12213995040915489</v>
      </c>
      <c r="AN248" s="6">
        <f t="shared" si="156"/>
        <v>0.14230942683556783</v>
      </c>
      <c r="AO248" s="6">
        <f t="shared" si="157"/>
        <v>0.15939290534479594</v>
      </c>
      <c r="AP248" s="6">
        <f t="shared" si="158"/>
        <v>0.17368778976654475</v>
      </c>
      <c r="AQ248" s="6">
        <f t="shared" si="159"/>
        <v>0.18559361039717751</v>
      </c>
      <c r="AR248" s="6">
        <f t="shared" si="160"/>
        <v>0.19550929726925939</v>
      </c>
      <c r="AS248" s="6">
        <f t="shared" si="161"/>
        <v>0.20379042746946496</v>
      </c>
      <c r="AT248" s="6">
        <f t="shared" si="162"/>
        <v>0.26144614953375039</v>
      </c>
      <c r="AW248" s="3">
        <f t="shared" si="172"/>
        <v>4720</v>
      </c>
      <c r="AX248" s="3">
        <f t="shared" si="169"/>
        <v>347</v>
      </c>
      <c r="AY248" s="3">
        <f t="shared" si="170"/>
        <v>1637840</v>
      </c>
      <c r="AZ248" s="13">
        <f t="shared" si="171"/>
        <v>0.19284871790361727</v>
      </c>
      <c r="BA248" s="3">
        <f t="shared" si="178"/>
        <v>315855.34413126053</v>
      </c>
      <c r="BB248" s="3">
        <f t="shared" si="179"/>
        <v>315743.16709256778</v>
      </c>
      <c r="BC248" s="3">
        <f t="shared" si="166"/>
        <v>315477.83220551076</v>
      </c>
      <c r="BD248" s="3">
        <f t="shared" si="167"/>
        <v>631478.31111111108</v>
      </c>
    </row>
    <row r="249" spans="3:56" x14ac:dyDescent="0.45">
      <c r="C249">
        <f t="shared" si="146"/>
        <v>237</v>
      </c>
      <c r="D249" s="2">
        <f t="shared" si="183"/>
        <v>731.84119324058418</v>
      </c>
      <c r="E249" s="2">
        <f t="shared" si="183"/>
        <v>5469.8793881033353</v>
      </c>
      <c r="F249" s="2">
        <f t="shared" si="183"/>
        <v>16638.055034450761</v>
      </c>
      <c r="G249" s="2">
        <f t="shared" si="183"/>
        <v>34648.742933824411</v>
      </c>
      <c r="H249" s="2">
        <f t="shared" si="183"/>
        <v>58533.638432791209</v>
      </c>
      <c r="I249" s="2">
        <f t="shared" si="183"/>
        <v>86815.611081052921</v>
      </c>
      <c r="J249" s="2">
        <f t="shared" si="183"/>
        <v>118087.26078714684</v>
      </c>
      <c r="K249" s="2">
        <f t="shared" si="183"/>
        <v>151241.06790266279</v>
      </c>
      <c r="L249" s="2">
        <f t="shared" si="183"/>
        <v>185491.06792179111</v>
      </c>
      <c r="M249" s="2">
        <f t="shared" si="183"/>
        <v>220313.56453573366</v>
      </c>
      <c r="N249" s="2">
        <f t="shared" si="183"/>
        <v>255374.46029601133</v>
      </c>
      <c r="O249" s="2">
        <f t="shared" si="183"/>
        <v>290468.22449937765</v>
      </c>
      <c r="P249" s="2">
        <f t="shared" si="147"/>
        <v>280012.89402575069</v>
      </c>
      <c r="R249">
        <f t="shared" si="148"/>
        <v>237</v>
      </c>
      <c r="S249" s="2">
        <f t="shared" si="181"/>
        <v>118500</v>
      </c>
      <c r="T249" s="2">
        <f t="shared" si="181"/>
        <v>237000</v>
      </c>
      <c r="U249" s="2">
        <f t="shared" si="181"/>
        <v>355500</v>
      </c>
      <c r="V249" s="2">
        <f t="shared" si="181"/>
        <v>474000</v>
      </c>
      <c r="W249" s="2">
        <f t="shared" si="181"/>
        <v>592500</v>
      </c>
      <c r="X249" s="2">
        <f t="shared" si="181"/>
        <v>711000</v>
      </c>
      <c r="Y249" s="2">
        <f t="shared" si="181"/>
        <v>829500</v>
      </c>
      <c r="Z249" s="2">
        <f t="shared" si="181"/>
        <v>948000</v>
      </c>
      <c r="AA249" s="2">
        <f t="shared" si="180"/>
        <v>1066500</v>
      </c>
      <c r="AB249" s="2">
        <f t="shared" si="180"/>
        <v>1185000</v>
      </c>
      <c r="AC249" s="2">
        <f t="shared" si="180"/>
        <v>1303500</v>
      </c>
      <c r="AD249" s="2">
        <f t="shared" si="180"/>
        <v>1422000</v>
      </c>
      <c r="AE249" s="2">
        <f t="shared" si="180"/>
        <v>1066500</v>
      </c>
      <c r="AG249">
        <f t="shared" si="149"/>
        <v>237</v>
      </c>
      <c r="AH249" s="6">
        <f t="shared" si="150"/>
        <v>6.1758750484437481E-3</v>
      </c>
      <c r="AI249" s="6">
        <f t="shared" si="151"/>
        <v>2.3079659865414916E-2</v>
      </c>
      <c r="AJ249" s="6">
        <f t="shared" si="152"/>
        <v>4.6801842572294687E-2</v>
      </c>
      <c r="AK249" s="6">
        <f t="shared" si="153"/>
        <v>7.3098613784439687E-2</v>
      </c>
      <c r="AL249" s="6">
        <f t="shared" si="154"/>
        <v>9.8790950941419764E-2</v>
      </c>
      <c r="AM249" s="6">
        <f t="shared" si="155"/>
        <v>0.1221035317595681</v>
      </c>
      <c r="AN249" s="6">
        <f t="shared" si="156"/>
        <v>0.14235956695255797</v>
      </c>
      <c r="AO249" s="6">
        <f t="shared" si="157"/>
        <v>0.15953699145850506</v>
      </c>
      <c r="AP249" s="6">
        <f t="shared" si="158"/>
        <v>0.17392505196604885</v>
      </c>
      <c r="AQ249" s="6">
        <f t="shared" si="159"/>
        <v>0.18591861986137861</v>
      </c>
      <c r="AR249" s="6">
        <f t="shared" si="160"/>
        <v>0.19591443060683647</v>
      </c>
      <c r="AS249" s="6">
        <f t="shared" si="161"/>
        <v>0.20426738713036402</v>
      </c>
      <c r="AT249" s="6">
        <f t="shared" si="162"/>
        <v>0.26255311207290266</v>
      </c>
      <c r="AW249" s="3">
        <f t="shared" si="172"/>
        <v>4740</v>
      </c>
      <c r="AX249" s="3">
        <f t="shared" si="169"/>
        <v>348</v>
      </c>
      <c r="AY249" s="3">
        <f t="shared" si="170"/>
        <v>1649520</v>
      </c>
      <c r="AZ249" s="13">
        <f t="shared" si="171"/>
        <v>0.19340447622790816</v>
      </c>
      <c r="BA249" s="3">
        <f t="shared" si="178"/>
        <v>319024.55162745906</v>
      </c>
      <c r="BB249" s="3">
        <f t="shared" si="179"/>
        <v>319126.69107825798</v>
      </c>
      <c r="BC249" s="3">
        <f t="shared" si="166"/>
        <v>319073.98215893609</v>
      </c>
      <c r="BD249" s="3">
        <f t="shared" si="167"/>
        <v>637814.4</v>
      </c>
    </row>
    <row r="250" spans="3:56" x14ac:dyDescent="0.45">
      <c r="C250">
        <f t="shared" si="146"/>
        <v>238</v>
      </c>
      <c r="D250" s="2">
        <f t="shared" si="183"/>
        <v>731.98515085150575</v>
      </c>
      <c r="E250" s="2">
        <f t="shared" si="183"/>
        <v>5473.9024833940402</v>
      </c>
      <c r="F250" s="2">
        <f t="shared" si="183"/>
        <v>16662.889059405759</v>
      </c>
      <c r="G250" s="2">
        <f t="shared" si="183"/>
        <v>34729.585968201369</v>
      </c>
      <c r="H250" s="2">
        <f t="shared" si="183"/>
        <v>58718.363130799997</v>
      </c>
      <c r="I250" s="2">
        <f t="shared" si="183"/>
        <v>87154.495716591453</v>
      </c>
      <c r="J250" s="2">
        <f t="shared" si="183"/>
        <v>118625.03114077638</v>
      </c>
      <c r="K250" s="2">
        <f t="shared" si="183"/>
        <v>152013.35182194808</v>
      </c>
      <c r="L250" s="2">
        <f t="shared" si="183"/>
        <v>186524.14101273156</v>
      </c>
      <c r="M250" s="2">
        <f t="shared" si="183"/>
        <v>221625.69450601531</v>
      </c>
      <c r="N250" s="2">
        <f t="shared" si="183"/>
        <v>256977.68983444257</v>
      </c>
      <c r="O250" s="2">
        <f t="shared" si="183"/>
        <v>292370.02843858721</v>
      </c>
      <c r="P250" s="2">
        <f t="shared" si="147"/>
        <v>282379.93603380793</v>
      </c>
      <c r="R250">
        <f t="shared" si="148"/>
        <v>238</v>
      </c>
      <c r="S250" s="2">
        <f t="shared" si="181"/>
        <v>119000</v>
      </c>
      <c r="T250" s="2">
        <f t="shared" si="181"/>
        <v>238000</v>
      </c>
      <c r="U250" s="2">
        <f t="shared" si="181"/>
        <v>357000</v>
      </c>
      <c r="V250" s="2">
        <f t="shared" si="181"/>
        <v>476000</v>
      </c>
      <c r="W250" s="2">
        <f t="shared" si="181"/>
        <v>595000</v>
      </c>
      <c r="X250" s="2">
        <f t="shared" si="181"/>
        <v>714000</v>
      </c>
      <c r="Y250" s="2">
        <f t="shared" si="181"/>
        <v>833000</v>
      </c>
      <c r="Z250" s="2">
        <f t="shared" si="181"/>
        <v>952000</v>
      </c>
      <c r="AA250" s="2">
        <f t="shared" si="180"/>
        <v>1071000</v>
      </c>
      <c r="AB250" s="2">
        <f t="shared" si="180"/>
        <v>1190000</v>
      </c>
      <c r="AC250" s="2">
        <f t="shared" si="180"/>
        <v>1309000</v>
      </c>
      <c r="AD250" s="2">
        <f t="shared" si="180"/>
        <v>1428000</v>
      </c>
      <c r="AE250" s="2">
        <f t="shared" si="180"/>
        <v>1071000</v>
      </c>
      <c r="AG250">
        <f t="shared" si="149"/>
        <v>238</v>
      </c>
      <c r="AH250" s="6">
        <f t="shared" si="150"/>
        <v>6.1511357214412248E-3</v>
      </c>
      <c r="AI250" s="6">
        <f t="shared" si="151"/>
        <v>2.2999590266361513E-2</v>
      </c>
      <c r="AJ250" s="6">
        <f t="shared" si="152"/>
        <v>4.6674759270044143E-2</v>
      </c>
      <c r="AK250" s="6">
        <f t="shared" si="153"/>
        <v>7.2961315059246579E-2</v>
      </c>
      <c r="AL250" s="6">
        <f t="shared" si="154"/>
        <v>9.8686324589579821E-2</v>
      </c>
      <c r="AM250" s="6">
        <f t="shared" si="155"/>
        <v>0.12206512005124853</v>
      </c>
      <c r="AN250" s="6">
        <f t="shared" si="156"/>
        <v>0.14240700016899926</v>
      </c>
      <c r="AO250" s="6">
        <f t="shared" si="157"/>
        <v>0.1596778905692732</v>
      </c>
      <c r="AP250" s="6">
        <f t="shared" si="158"/>
        <v>0.17415886182327878</v>
      </c>
      <c r="AQ250" s="6">
        <f t="shared" si="159"/>
        <v>0.18624007941681958</v>
      </c>
      <c r="AR250" s="6">
        <f t="shared" si="160"/>
        <v>0.19631603501485301</v>
      </c>
      <c r="AS250" s="6">
        <f t="shared" si="161"/>
        <v>0.20474091627352045</v>
      </c>
      <c r="AT250" s="6">
        <f t="shared" si="162"/>
        <v>0.2636600709932847</v>
      </c>
      <c r="AW250" s="3">
        <f t="shared" si="172"/>
        <v>4760</v>
      </c>
      <c r="AX250" s="3">
        <f t="shared" si="169"/>
        <v>350</v>
      </c>
      <c r="AY250" s="3">
        <f t="shared" si="170"/>
        <v>1666000</v>
      </c>
      <c r="AZ250" s="13">
        <f t="shared" si="171"/>
        <v>0.19451599287648993</v>
      </c>
      <c r="BA250" s="3">
        <f t="shared" si="178"/>
        <v>324063.64413223224</v>
      </c>
      <c r="BB250" s="3">
        <f t="shared" si="179"/>
        <v>323921.1058003084</v>
      </c>
      <c r="BC250" s="3">
        <f t="shared" si="166"/>
        <v>323621.41949352651</v>
      </c>
      <c r="BD250" s="3">
        <f t="shared" si="167"/>
        <v>647888.88888888888</v>
      </c>
    </row>
    <row r="251" spans="3:56" x14ac:dyDescent="0.45">
      <c r="C251">
        <f t="shared" si="146"/>
        <v>239</v>
      </c>
      <c r="D251" s="2">
        <f t="shared" si="183"/>
        <v>732.12736083191623</v>
      </c>
      <c r="E251" s="2">
        <f t="shared" si="183"/>
        <v>5477.8809967652633</v>
      </c>
      <c r="F251" s="2">
        <f t="shared" si="183"/>
        <v>16687.484867798372</v>
      </c>
      <c r="G251" s="2">
        <f t="shared" si="183"/>
        <v>34809.78740590591</v>
      </c>
      <c r="H251" s="2">
        <f t="shared" si="183"/>
        <v>58901.921659497442</v>
      </c>
      <c r="I251" s="2">
        <f t="shared" si="183"/>
        <v>87491.741690883893</v>
      </c>
      <c r="J251" s="2">
        <f t="shared" si="183"/>
        <v>119160.89345880832</v>
      </c>
      <c r="K251" s="2">
        <f t="shared" si="183"/>
        <v>152783.74079062298</v>
      </c>
      <c r="L251" s="2">
        <f t="shared" si="183"/>
        <v>187555.62813000038</v>
      </c>
      <c r="M251" s="2">
        <f t="shared" si="183"/>
        <v>222936.81640938763</v>
      </c>
      <c r="N251" s="2">
        <f t="shared" si="183"/>
        <v>258580.71386813273</v>
      </c>
      <c r="O251" s="2">
        <f t="shared" si="183"/>
        <v>294272.60704446037</v>
      </c>
      <c r="P251" s="2">
        <f t="shared" si="147"/>
        <v>284756.93679652637</v>
      </c>
      <c r="R251">
        <f t="shared" si="148"/>
        <v>239</v>
      </c>
      <c r="S251" s="2">
        <f t="shared" si="181"/>
        <v>119500</v>
      </c>
      <c r="T251" s="2">
        <f t="shared" si="181"/>
        <v>239000</v>
      </c>
      <c r="U251" s="2">
        <f t="shared" si="181"/>
        <v>358500</v>
      </c>
      <c r="V251" s="2">
        <f t="shared" si="181"/>
        <v>478000</v>
      </c>
      <c r="W251" s="2">
        <f t="shared" si="181"/>
        <v>597500</v>
      </c>
      <c r="X251" s="2">
        <f t="shared" si="181"/>
        <v>717000</v>
      </c>
      <c r="Y251" s="2">
        <f t="shared" si="181"/>
        <v>836500</v>
      </c>
      <c r="Z251" s="2">
        <f t="shared" si="181"/>
        <v>956000</v>
      </c>
      <c r="AA251" s="2">
        <f t="shared" si="180"/>
        <v>1075500</v>
      </c>
      <c r="AB251" s="2">
        <f t="shared" si="180"/>
        <v>1195000</v>
      </c>
      <c r="AC251" s="2">
        <f t="shared" si="180"/>
        <v>1314500</v>
      </c>
      <c r="AD251" s="2">
        <f t="shared" si="180"/>
        <v>1434000</v>
      </c>
      <c r="AE251" s="2">
        <f t="shared" si="180"/>
        <v>1075500</v>
      </c>
      <c r="AG251">
        <f t="shared" si="149"/>
        <v>239</v>
      </c>
      <c r="AH251" s="6">
        <f t="shared" si="150"/>
        <v>6.1265887935725207E-3</v>
      </c>
      <c r="AI251" s="6">
        <f t="shared" si="151"/>
        <v>2.2920004170565954E-2</v>
      </c>
      <c r="AJ251" s="6">
        <f t="shared" si="152"/>
        <v>4.6548074945044274E-2</v>
      </c>
      <c r="AK251" s="6">
        <f t="shared" si="153"/>
        <v>7.2823823024907766E-2</v>
      </c>
      <c r="AL251" s="6">
        <f t="shared" si="154"/>
        <v>9.8580622024263501E-2</v>
      </c>
      <c r="AM251" s="6">
        <f t="shared" si="155"/>
        <v>0.1220247443387502</v>
      </c>
      <c r="AN251" s="6">
        <f t="shared" si="156"/>
        <v>0.14245175547974695</v>
      </c>
      <c r="AO251" s="6">
        <f t="shared" si="157"/>
        <v>0.15981562844207425</v>
      </c>
      <c r="AP251" s="6">
        <f t="shared" si="158"/>
        <v>0.1743892404741984</v>
      </c>
      <c r="AQ251" s="6">
        <f t="shared" si="159"/>
        <v>0.18655800536350428</v>
      </c>
      <c r="AR251" s="6">
        <f t="shared" si="160"/>
        <v>0.196714122379713</v>
      </c>
      <c r="AS251" s="6">
        <f t="shared" si="161"/>
        <v>0.20521102304355673</v>
      </c>
      <c r="AT251" s="6">
        <f t="shared" si="162"/>
        <v>0.26476702631011284</v>
      </c>
      <c r="AW251" s="3">
        <f t="shared" si="172"/>
        <v>4780</v>
      </c>
      <c r="AX251" s="3">
        <f t="shared" si="169"/>
        <v>351</v>
      </c>
      <c r="AY251" s="3">
        <f t="shared" si="170"/>
        <v>1677780</v>
      </c>
      <c r="AZ251" s="13">
        <f t="shared" si="171"/>
        <v>0.19507175120078082</v>
      </c>
      <c r="BA251" s="3">
        <f t="shared" si="178"/>
        <v>327287.48272964603</v>
      </c>
      <c r="BB251" s="3">
        <f t="shared" si="179"/>
        <v>327362.7575695967</v>
      </c>
      <c r="BC251" s="3">
        <f t="shared" si="166"/>
        <v>327279.2029442059</v>
      </c>
      <c r="BD251" s="3">
        <f t="shared" si="167"/>
        <v>654334.20000000007</v>
      </c>
    </row>
    <row r="252" spans="3:56" x14ac:dyDescent="0.45">
      <c r="C252">
        <f t="shared" si="146"/>
        <v>240</v>
      </c>
      <c r="D252" s="2">
        <f t="shared" si="183"/>
        <v>732.26785113141239</v>
      </c>
      <c r="E252" s="2">
        <f t="shared" si="183"/>
        <v>5481.8155619996533</v>
      </c>
      <c r="F252" s="2">
        <f t="shared" si="183"/>
        <v>16711.845231517178</v>
      </c>
      <c r="G252" s="2">
        <f t="shared" si="183"/>
        <v>34889.35276472658</v>
      </c>
      <c r="H252" s="2">
        <f t="shared" si="183"/>
        <v>59084.32023234947</v>
      </c>
      <c r="I252" s="2">
        <f t="shared" si="183"/>
        <v>87827.352031828341</v>
      </c>
      <c r="J252" s="2">
        <f t="shared" si="183"/>
        <v>119694.84382224092</v>
      </c>
      <c r="K252" s="2">
        <f t="shared" si="183"/>
        <v>153552.22153402795</v>
      </c>
      <c r="L252" s="2">
        <f t="shared" si="183"/>
        <v>188585.50578518314</v>
      </c>
      <c r="M252" s="2">
        <f t="shared" si="183"/>
        <v>224246.89687259195</v>
      </c>
      <c r="N252" s="2">
        <f t="shared" si="183"/>
        <v>260183.49017292223</v>
      </c>
      <c r="O252" s="2">
        <f t="shared" si="183"/>
        <v>296175.91058868839</v>
      </c>
      <c r="P252" s="2">
        <f t="shared" si="147"/>
        <v>287143.89628155413</v>
      </c>
      <c r="R252">
        <f t="shared" si="148"/>
        <v>240</v>
      </c>
      <c r="S252" s="2">
        <f t="shared" si="181"/>
        <v>120000</v>
      </c>
      <c r="T252" s="2">
        <f t="shared" si="181"/>
        <v>240000</v>
      </c>
      <c r="U252" s="2">
        <f t="shared" si="181"/>
        <v>360000</v>
      </c>
      <c r="V252" s="2">
        <f t="shared" si="181"/>
        <v>480000</v>
      </c>
      <c r="W252" s="2">
        <f t="shared" si="181"/>
        <v>600000</v>
      </c>
      <c r="X252" s="2">
        <f t="shared" si="181"/>
        <v>720000</v>
      </c>
      <c r="Y252" s="2">
        <f t="shared" si="181"/>
        <v>840000</v>
      </c>
      <c r="Z252" s="2">
        <f t="shared" si="181"/>
        <v>960000</v>
      </c>
      <c r="AA252" s="2">
        <f t="shared" si="180"/>
        <v>1080000</v>
      </c>
      <c r="AB252" s="2">
        <f t="shared" si="180"/>
        <v>1200000</v>
      </c>
      <c r="AC252" s="2">
        <f t="shared" si="180"/>
        <v>1320000</v>
      </c>
      <c r="AD252" s="2">
        <f t="shared" si="180"/>
        <v>1440000</v>
      </c>
      <c r="AE252" s="2">
        <f t="shared" si="180"/>
        <v>1080000</v>
      </c>
      <c r="AG252">
        <f t="shared" si="149"/>
        <v>240</v>
      </c>
      <c r="AH252" s="6">
        <f t="shared" si="150"/>
        <v>6.1022320927617696E-3</v>
      </c>
      <c r="AI252" s="6">
        <f t="shared" si="151"/>
        <v>2.2840898174998556E-2</v>
      </c>
      <c r="AJ252" s="6">
        <f t="shared" si="152"/>
        <v>4.6421792309769942E-2</v>
      </c>
      <c r="AK252" s="6">
        <f t="shared" si="153"/>
        <v>7.268615159318037E-2</v>
      </c>
      <c r="AL252" s="6">
        <f t="shared" si="154"/>
        <v>9.8473867053915781E-2</v>
      </c>
      <c r="AM252" s="6">
        <f t="shared" si="155"/>
        <v>0.12198243337753936</v>
      </c>
      <c r="AN252" s="6">
        <f t="shared" si="156"/>
        <v>0.14249386169314396</v>
      </c>
      <c r="AO252" s="6">
        <f t="shared" si="157"/>
        <v>0.15995023076461246</v>
      </c>
      <c r="AP252" s="6">
        <f t="shared" si="158"/>
        <v>0.17461620906035474</v>
      </c>
      <c r="AQ252" s="6">
        <f t="shared" si="159"/>
        <v>0.18687241406049329</v>
      </c>
      <c r="AR252" s="6">
        <f t="shared" si="160"/>
        <v>0.19710870467645625</v>
      </c>
      <c r="AS252" s="6">
        <f t="shared" si="161"/>
        <v>0.20567771568658916</v>
      </c>
      <c r="AT252" s="6">
        <f t="shared" si="162"/>
        <v>0.26587397803847607</v>
      </c>
      <c r="AW252" s="3">
        <f t="shared" si="172"/>
        <v>4800</v>
      </c>
      <c r="AX252" s="3">
        <f t="shared" si="169"/>
        <v>352</v>
      </c>
      <c r="AY252" s="3">
        <f t="shared" si="170"/>
        <v>1689600</v>
      </c>
      <c r="AZ252" s="13">
        <f t="shared" si="171"/>
        <v>0.19562750952507171</v>
      </c>
      <c r="BA252" s="3">
        <f t="shared" si="178"/>
        <v>330532.24009356118</v>
      </c>
      <c r="BB252" s="3">
        <f t="shared" si="179"/>
        <v>330828.260972497</v>
      </c>
      <c r="BC252" s="3">
        <f t="shared" si="166"/>
        <v>330963.46521975321</v>
      </c>
      <c r="BD252" s="3">
        <f t="shared" si="167"/>
        <v>660821.33333333337</v>
      </c>
    </row>
    <row r="253" spans="3:56" x14ac:dyDescent="0.45">
      <c r="C253">
        <f t="shared" si="146"/>
        <v>241</v>
      </c>
      <c r="D253" s="2">
        <f t="shared" ref="D253:O262" si="184">$C$7*BL_MBPS*BL_KM^2*D$12^3*$C253^2/((EM_KM*D$12)^2+(2*PI()*AVG_SUN_DIST_KM*$C253)^2)</f>
        <v>732.40664914762237</v>
      </c>
      <c r="E253" s="2">
        <f t="shared" si="184"/>
        <v>5485.7068020977349</v>
      </c>
      <c r="F253" s="2">
        <f t="shared" si="184"/>
        <v>16735.97288721208</v>
      </c>
      <c r="G253" s="2">
        <f t="shared" si="184"/>
        <v>34968.287525834909</v>
      </c>
      <c r="H253" s="2">
        <f t="shared" si="184"/>
        <v>59265.565085035727</v>
      </c>
      <c r="I253" s="2">
        <f t="shared" si="184"/>
        <v>88161.329897085117</v>
      </c>
      <c r="J253" s="2">
        <f t="shared" si="184"/>
        <v>120226.87855717371</v>
      </c>
      <c r="K253" s="2">
        <f t="shared" si="184"/>
        <v>154318.78111181944</v>
      </c>
      <c r="L253" s="2">
        <f t="shared" si="184"/>
        <v>189613.75087364149</v>
      </c>
      <c r="M253" s="2">
        <f t="shared" si="184"/>
        <v>225555.90291779142</v>
      </c>
      <c r="N253" s="2">
        <f t="shared" si="184"/>
        <v>261785.97690288833</v>
      </c>
      <c r="O253" s="2">
        <f t="shared" si="184"/>
        <v>298079.88968529762</v>
      </c>
      <c r="P253" s="2">
        <f t="shared" si="147"/>
        <v>289540.81445667619</v>
      </c>
      <c r="R253">
        <f t="shared" si="148"/>
        <v>241</v>
      </c>
      <c r="S253" s="2">
        <f t="shared" si="181"/>
        <v>120500</v>
      </c>
      <c r="T253" s="2">
        <f t="shared" si="181"/>
        <v>241000</v>
      </c>
      <c r="U253" s="2">
        <f t="shared" si="181"/>
        <v>361500</v>
      </c>
      <c r="V253" s="2">
        <f t="shared" si="181"/>
        <v>482000</v>
      </c>
      <c r="W253" s="2">
        <f t="shared" si="181"/>
        <v>602500</v>
      </c>
      <c r="X253" s="2">
        <f t="shared" si="181"/>
        <v>723000</v>
      </c>
      <c r="Y253" s="2">
        <f t="shared" si="181"/>
        <v>843500</v>
      </c>
      <c r="Z253" s="2">
        <f t="shared" si="181"/>
        <v>964000</v>
      </c>
      <c r="AA253" s="2">
        <f t="shared" si="180"/>
        <v>1084500</v>
      </c>
      <c r="AB253" s="2">
        <f t="shared" si="180"/>
        <v>1205000</v>
      </c>
      <c r="AC253" s="2">
        <f t="shared" si="180"/>
        <v>1325500</v>
      </c>
      <c r="AD253" s="2">
        <f t="shared" si="180"/>
        <v>1446000</v>
      </c>
      <c r="AE253" s="2">
        <f t="shared" si="180"/>
        <v>1084500</v>
      </c>
      <c r="AG253">
        <f t="shared" si="149"/>
        <v>241</v>
      </c>
      <c r="AH253" s="6">
        <f t="shared" si="150"/>
        <v>6.078063478403505E-3</v>
      </c>
      <c r="AI253" s="6">
        <f t="shared" si="151"/>
        <v>2.2762268888372343E-2</v>
      </c>
      <c r="AJ253" s="6">
        <f t="shared" si="152"/>
        <v>4.6295913934196624E-2</v>
      </c>
      <c r="AK253" s="6">
        <f t="shared" si="153"/>
        <v>7.2548314368952094E-2</v>
      </c>
      <c r="AL253" s="6">
        <f t="shared" si="154"/>
        <v>9.836608312869001E-2</v>
      </c>
      <c r="AM253" s="6">
        <f t="shared" si="155"/>
        <v>0.12193821562529061</v>
      </c>
      <c r="AN253" s="6">
        <f t="shared" si="156"/>
        <v>0.1425333474299629</v>
      </c>
      <c r="AO253" s="6">
        <f t="shared" si="157"/>
        <v>0.16008172314504091</v>
      </c>
      <c r="AP253" s="6">
        <f t="shared" si="158"/>
        <v>0.17483978872627154</v>
      </c>
      <c r="AQ253" s="6">
        <f t="shared" si="159"/>
        <v>0.18718332192347836</v>
      </c>
      <c r="AR253" s="6">
        <f t="shared" si="160"/>
        <v>0.19749979396672074</v>
      </c>
      <c r="AS253" s="6">
        <f t="shared" si="161"/>
        <v>0.20614100254861523</v>
      </c>
      <c r="AT253" s="6">
        <f t="shared" si="162"/>
        <v>0.26698092619333902</v>
      </c>
      <c r="AW253" s="3">
        <f t="shared" si="172"/>
        <v>4820</v>
      </c>
      <c r="AX253" s="3">
        <f t="shared" si="169"/>
        <v>354</v>
      </c>
      <c r="AY253" s="3">
        <f t="shared" si="170"/>
        <v>1706280</v>
      </c>
      <c r="AZ253" s="13">
        <f t="shared" si="171"/>
        <v>0.19673902617365349</v>
      </c>
      <c r="BA253" s="3">
        <f t="shared" si="178"/>
        <v>335691.86557958147</v>
      </c>
      <c r="BB253" s="3">
        <f t="shared" si="179"/>
        <v>335739.3158750115</v>
      </c>
      <c r="BC253" s="3">
        <f t="shared" si="166"/>
        <v>335623.88263312925</v>
      </c>
      <c r="BD253" s="3">
        <f t="shared" si="167"/>
        <v>671136.8</v>
      </c>
    </row>
    <row r="254" spans="3:56" x14ac:dyDescent="0.45">
      <c r="C254">
        <f t="shared" si="146"/>
        <v>242</v>
      </c>
      <c r="D254" s="2">
        <f t="shared" si="184"/>
        <v>732.54378173912414</v>
      </c>
      <c r="E254" s="2">
        <f t="shared" si="184"/>
        <v>5489.5553294868332</v>
      </c>
      <c r="F254" s="2">
        <f t="shared" si="184"/>
        <v>16759.870536713821</v>
      </c>
      <c r="G254" s="2">
        <f t="shared" si="184"/>
        <v>35046.597133511823</v>
      </c>
      <c r="H254" s="2">
        <f t="shared" si="184"/>
        <v>59445.662473521676</v>
      </c>
      <c r="I254" s="2">
        <f t="shared" si="184"/>
        <v>88493.678570586111</v>
      </c>
      <c r="J254" s="2">
        <f t="shared" si="184"/>
        <v>120756.99423068823</v>
      </c>
      <c r="K254" s="2">
        <f t="shared" si="184"/>
        <v>155083.40691423</v>
      </c>
      <c r="L254" s="2">
        <f t="shared" si="184"/>
        <v>190640.34067178975</v>
      </c>
      <c r="M254" s="2">
        <f t="shared" si="184"/>
        <v>226863.801961085</v>
      </c>
      <c r="N254" s="2">
        <f t="shared" si="184"/>
        <v>263388.13259003399</v>
      </c>
      <c r="O254" s="2">
        <f t="shared" si="184"/>
        <v>299984.49529131246</v>
      </c>
      <c r="P254" s="2">
        <f t="shared" si="147"/>
        <v>291947.69128981041</v>
      </c>
      <c r="R254">
        <f t="shared" si="148"/>
        <v>242</v>
      </c>
      <c r="S254" s="2">
        <f t="shared" si="181"/>
        <v>121000</v>
      </c>
      <c r="T254" s="2">
        <f t="shared" si="181"/>
        <v>242000</v>
      </c>
      <c r="U254" s="2">
        <f t="shared" si="181"/>
        <v>363000</v>
      </c>
      <c r="V254" s="2">
        <f t="shared" si="181"/>
        <v>484000</v>
      </c>
      <c r="W254" s="2">
        <f t="shared" si="181"/>
        <v>605000</v>
      </c>
      <c r="X254" s="2">
        <f t="shared" si="181"/>
        <v>726000</v>
      </c>
      <c r="Y254" s="2">
        <f t="shared" si="181"/>
        <v>847000</v>
      </c>
      <c r="Z254" s="2">
        <f t="shared" si="181"/>
        <v>968000</v>
      </c>
      <c r="AA254" s="2">
        <f t="shared" si="180"/>
        <v>1089000</v>
      </c>
      <c r="AB254" s="2">
        <f t="shared" si="180"/>
        <v>1210000</v>
      </c>
      <c r="AC254" s="2">
        <f t="shared" si="180"/>
        <v>1331000</v>
      </c>
      <c r="AD254" s="2">
        <f t="shared" si="180"/>
        <v>1452000</v>
      </c>
      <c r="AE254" s="2">
        <f t="shared" si="180"/>
        <v>1089000</v>
      </c>
      <c r="AG254">
        <f t="shared" si="149"/>
        <v>242</v>
      </c>
      <c r="AH254" s="6">
        <f t="shared" si="150"/>
        <v>6.0540808408192075E-3</v>
      </c>
      <c r="AI254" s="6">
        <f t="shared" si="151"/>
        <v>2.2684112931763773E-2</v>
      </c>
      <c r="AJ254" s="6">
        <f t="shared" si="152"/>
        <v>4.6170442249900336E-2</v>
      </c>
      <c r="AK254" s="6">
        <f t="shared" si="153"/>
        <v>7.2410324656016156E-2</v>
      </c>
      <c r="AL254" s="6">
        <f t="shared" si="154"/>
        <v>9.8257293344663932E-2</v>
      </c>
      <c r="AM254" s="6">
        <f t="shared" si="155"/>
        <v>0.12189211924323155</v>
      </c>
      <c r="AN254" s="6">
        <f t="shared" si="156"/>
        <v>0.14257024112241823</v>
      </c>
      <c r="AO254" s="6">
        <f t="shared" si="157"/>
        <v>0.16021013110974172</v>
      </c>
      <c r="AP254" s="6">
        <f t="shared" si="158"/>
        <v>0.17506000061688681</v>
      </c>
      <c r="AQ254" s="6">
        <f t="shared" si="159"/>
        <v>0.18749074542238431</v>
      </c>
      <c r="AR254" s="6">
        <f t="shared" si="160"/>
        <v>0.19788740239671976</v>
      </c>
      <c r="AS254" s="6">
        <f t="shared" si="161"/>
        <v>0.20660089207390664</v>
      </c>
      <c r="AT254" s="6">
        <f t="shared" si="162"/>
        <v>0.26808787078954122</v>
      </c>
      <c r="AW254" s="3">
        <f t="shared" si="172"/>
        <v>4840</v>
      </c>
      <c r="AX254" s="3">
        <f t="shared" si="169"/>
        <v>355</v>
      </c>
      <c r="AY254" s="3">
        <f t="shared" si="170"/>
        <v>1718200</v>
      </c>
      <c r="AZ254" s="13">
        <f t="shared" si="171"/>
        <v>0.19729478449794438</v>
      </c>
      <c r="BA254" s="3">
        <f t="shared" si="178"/>
        <v>338991.89872436802</v>
      </c>
      <c r="BB254" s="3">
        <f t="shared" si="179"/>
        <v>339263.64423958375</v>
      </c>
      <c r="BC254" s="3">
        <f t="shared" si="166"/>
        <v>339370.52628902689</v>
      </c>
      <c r="BD254" s="3">
        <f t="shared" si="167"/>
        <v>677734.4444444445</v>
      </c>
    </row>
    <row r="255" spans="3:56" x14ac:dyDescent="0.45">
      <c r="C255">
        <f t="shared" si="146"/>
        <v>243</v>
      </c>
      <c r="D255" s="2">
        <f t="shared" si="184"/>
        <v>732.67927523801757</v>
      </c>
      <c r="E255" s="2">
        <f t="shared" si="184"/>
        <v>5493.3617462256016</v>
      </c>
      <c r="F255" s="2">
        <f t="shared" si="184"/>
        <v>16783.540847451284</v>
      </c>
      <c r="G255" s="2">
        <f t="shared" si="184"/>
        <v>35124.286994897637</v>
      </c>
      <c r="H255" s="2">
        <f t="shared" si="184"/>
        <v>59624.6186721841</v>
      </c>
      <c r="I255" s="2">
        <f t="shared" si="184"/>
        <v>88824.401459102475</v>
      </c>
      <c r="J255" s="2">
        <f t="shared" si="184"/>
        <v>121285.1876467656</v>
      </c>
      <c r="K255" s="2">
        <f t="shared" si="184"/>
        <v>155846.08665833451</v>
      </c>
      <c r="L255" s="2">
        <f t="shared" si="184"/>
        <v>191665.25283435045</v>
      </c>
      <c r="M255" s="2">
        <f t="shared" si="184"/>
        <v>228170.56181098262</v>
      </c>
      <c r="N255" s="2">
        <f t="shared" si="184"/>
        <v>264989.9161439304</v>
      </c>
      <c r="O255" s="2">
        <f t="shared" si="184"/>
        <v>301889.67870737176</v>
      </c>
      <c r="P255" s="2">
        <f t="shared" si="147"/>
        <v>294364.52674900583</v>
      </c>
      <c r="R255">
        <f t="shared" si="148"/>
        <v>243</v>
      </c>
      <c r="S255" s="2">
        <f t="shared" si="181"/>
        <v>121500</v>
      </c>
      <c r="T255" s="2">
        <f t="shared" si="181"/>
        <v>243000</v>
      </c>
      <c r="U255" s="2">
        <f t="shared" si="181"/>
        <v>364500</v>
      </c>
      <c r="V255" s="2">
        <f t="shared" si="181"/>
        <v>486000</v>
      </c>
      <c r="W255" s="2">
        <f t="shared" si="181"/>
        <v>607500</v>
      </c>
      <c r="X255" s="2">
        <f t="shared" si="181"/>
        <v>729000</v>
      </c>
      <c r="Y255" s="2">
        <f t="shared" si="181"/>
        <v>850500</v>
      </c>
      <c r="Z255" s="2">
        <f t="shared" si="181"/>
        <v>972000</v>
      </c>
      <c r="AA255" s="2">
        <f t="shared" si="180"/>
        <v>1093500</v>
      </c>
      <c r="AB255" s="2">
        <f t="shared" si="180"/>
        <v>1215000</v>
      </c>
      <c r="AC255" s="2">
        <f t="shared" si="180"/>
        <v>1336500</v>
      </c>
      <c r="AD255" s="2">
        <f t="shared" si="180"/>
        <v>1458000</v>
      </c>
      <c r="AE255" s="2">
        <f t="shared" si="180"/>
        <v>1093500</v>
      </c>
      <c r="AG255">
        <f t="shared" si="149"/>
        <v>243</v>
      </c>
      <c r="AH255" s="6">
        <f t="shared" si="150"/>
        <v>6.0302821007244241E-3</v>
      </c>
      <c r="AI255" s="6">
        <f t="shared" si="151"/>
        <v>2.2606426939200005E-2</v>
      </c>
      <c r="AJ255" s="6">
        <f t="shared" si="152"/>
        <v>4.6045379554050164E-2</v>
      </c>
      <c r="AK255" s="6">
        <f t="shared" si="153"/>
        <v>7.2272195462752334E-2</v>
      </c>
      <c r="AL255" s="6">
        <f t="shared" si="154"/>
        <v>9.8147520448039677E-2</v>
      </c>
      <c r="AM255" s="6">
        <f t="shared" si="155"/>
        <v>0.12184417209753426</v>
      </c>
      <c r="AN255" s="6">
        <f t="shared" si="156"/>
        <v>0.14260457101324586</v>
      </c>
      <c r="AO255" s="6">
        <f t="shared" si="157"/>
        <v>0.16033548010116719</v>
      </c>
      <c r="AP255" s="6">
        <f t="shared" si="158"/>
        <v>0.17527686587503472</v>
      </c>
      <c r="AQ255" s="6">
        <f t="shared" si="159"/>
        <v>0.18779470107899804</v>
      </c>
      <c r="AR255" s="6">
        <f t="shared" si="160"/>
        <v>0.19827154219523413</v>
      </c>
      <c r="AS255" s="6">
        <f t="shared" si="161"/>
        <v>0.20705739280340998</v>
      </c>
      <c r="AT255" s="6">
        <f t="shared" si="162"/>
        <v>0.26919481184179772</v>
      </c>
      <c r="AW255" s="3">
        <f t="shared" si="172"/>
        <v>4860</v>
      </c>
      <c r="AX255" s="3">
        <f t="shared" si="169"/>
        <v>357</v>
      </c>
      <c r="AY255" s="3">
        <f t="shared" si="170"/>
        <v>1735020</v>
      </c>
      <c r="AZ255" s="13">
        <f t="shared" si="171"/>
        <v>0.19840630114652616</v>
      </c>
      <c r="BA255" s="3">
        <f t="shared" si="178"/>
        <v>344238.9006152458</v>
      </c>
      <c r="BB255" s="3">
        <f t="shared" si="179"/>
        <v>344257.55408594658</v>
      </c>
      <c r="BC255" s="3">
        <f t="shared" si="166"/>
        <v>344109.19626950024</v>
      </c>
      <c r="BD255" s="3">
        <f t="shared" si="167"/>
        <v>688224.6</v>
      </c>
    </row>
    <row r="256" spans="3:56" x14ac:dyDescent="0.45">
      <c r="C256">
        <f t="shared" si="146"/>
        <v>244</v>
      </c>
      <c r="D256" s="2">
        <f t="shared" si="184"/>
        <v>732.81315546215649</v>
      </c>
      <c r="E256" s="2">
        <f t="shared" si="184"/>
        <v>5497.1266442042115</v>
      </c>
      <c r="F256" s="2">
        <f t="shared" si="184"/>
        <v>16806.986452866247</v>
      </c>
      <c r="G256" s="2">
        <f t="shared" si="184"/>
        <v>35201.362479764575</v>
      </c>
      <c r="H256" s="2">
        <f t="shared" si="184"/>
        <v>59802.43997198881</v>
      </c>
      <c r="I256" s="2">
        <f t="shared" si="184"/>
        <v>89153.502088869966</v>
      </c>
      <c r="J256" s="2">
        <f t="shared" si="184"/>
        <v>121811.45584224131</v>
      </c>
      <c r="K256" s="2">
        <f t="shared" si="184"/>
        <v>156606.80838432311</v>
      </c>
      <c r="L256" s="2">
        <f t="shared" si="184"/>
        <v>192688.46539158945</v>
      </c>
      <c r="M256" s="2">
        <f t="shared" si="184"/>
        <v>229476.15066684259</v>
      </c>
      <c r="N256" s="2">
        <f t="shared" si="184"/>
        <v>266591.28685131279</v>
      </c>
      <c r="O256" s="2">
        <f t="shared" si="184"/>
        <v>303795.39157829637</v>
      </c>
      <c r="P256" s="2">
        <f t="shared" si="147"/>
        <v>296791.3208024464</v>
      </c>
      <c r="R256">
        <f t="shared" si="148"/>
        <v>244</v>
      </c>
      <c r="S256" s="2">
        <f t="shared" si="181"/>
        <v>122000</v>
      </c>
      <c r="T256" s="2">
        <f t="shared" si="181"/>
        <v>244000</v>
      </c>
      <c r="U256" s="2">
        <f t="shared" si="181"/>
        <v>366000</v>
      </c>
      <c r="V256" s="2">
        <f t="shared" si="181"/>
        <v>488000</v>
      </c>
      <c r="W256" s="2">
        <f t="shared" si="181"/>
        <v>610000</v>
      </c>
      <c r="X256" s="2">
        <f t="shared" si="181"/>
        <v>732000</v>
      </c>
      <c r="Y256" s="2">
        <f t="shared" si="181"/>
        <v>854000</v>
      </c>
      <c r="Z256" s="2">
        <f t="shared" si="181"/>
        <v>976000</v>
      </c>
      <c r="AA256" s="2">
        <f t="shared" si="180"/>
        <v>1098000</v>
      </c>
      <c r="AB256" s="2">
        <f t="shared" si="180"/>
        <v>1220000</v>
      </c>
      <c r="AC256" s="2">
        <f t="shared" si="180"/>
        <v>1342000</v>
      </c>
      <c r="AD256" s="2">
        <f t="shared" si="180"/>
        <v>1464000</v>
      </c>
      <c r="AE256" s="2">
        <f t="shared" si="180"/>
        <v>1098000</v>
      </c>
      <c r="AG256">
        <f t="shared" si="149"/>
        <v>244</v>
      </c>
      <c r="AH256" s="6">
        <f t="shared" si="150"/>
        <v>6.0066652087062003E-3</v>
      </c>
      <c r="AI256" s="6">
        <f t="shared" si="151"/>
        <v>2.2529207558213981E-2</v>
      </c>
      <c r="AJ256" s="6">
        <f t="shared" si="152"/>
        <v>4.5920728013295761E-2</v>
      </c>
      <c r="AK256" s="6">
        <f t="shared" si="153"/>
        <v>7.2133939507714295E-2</v>
      </c>
      <c r="AL256" s="6">
        <f t="shared" si="154"/>
        <v>9.8036786839325915E-2</v>
      </c>
      <c r="AM256" s="6">
        <f t="shared" si="155"/>
        <v>0.12179440176075132</v>
      </c>
      <c r="AN256" s="6">
        <f t="shared" si="156"/>
        <v>0.14263636515484931</v>
      </c>
      <c r="AO256" s="6">
        <f t="shared" si="157"/>
        <v>0.16045779547574091</v>
      </c>
      <c r="AP256" s="6">
        <f t="shared" si="158"/>
        <v>0.17549040563897034</v>
      </c>
      <c r="AQ256" s="6">
        <f t="shared" si="159"/>
        <v>0.18809520546462508</v>
      </c>
      <c r="AR256" s="6">
        <f t="shared" si="160"/>
        <v>0.19865222567161908</v>
      </c>
      <c r="AS256" s="6">
        <f t="shared" si="161"/>
        <v>0.20751051337315327</v>
      </c>
      <c r="AT256" s="6">
        <f t="shared" si="162"/>
        <v>0.2703017493647053</v>
      </c>
      <c r="AW256" s="3">
        <f t="shared" si="172"/>
        <v>4880</v>
      </c>
      <c r="AX256" s="3">
        <f t="shared" si="169"/>
        <v>358</v>
      </c>
      <c r="AY256" s="3">
        <f t="shared" si="170"/>
        <v>1747040</v>
      </c>
      <c r="AZ256" s="13">
        <f t="shared" si="171"/>
        <v>0.19896205947081705</v>
      </c>
      <c r="BA256" s="3">
        <f t="shared" si="178"/>
        <v>347594.67637789622</v>
      </c>
      <c r="BB256" s="3">
        <f t="shared" si="179"/>
        <v>347841.20245035493</v>
      </c>
      <c r="BC256" s="3">
        <f t="shared" si="166"/>
        <v>347918.74490571249</v>
      </c>
      <c r="BD256" s="3">
        <f t="shared" si="167"/>
        <v>694933.68888888881</v>
      </c>
    </row>
    <row r="257" spans="3:56" x14ac:dyDescent="0.45">
      <c r="C257">
        <f t="shared" si="146"/>
        <v>245</v>
      </c>
      <c r="D257" s="2">
        <f t="shared" si="184"/>
        <v>732.94544772705422</v>
      </c>
      <c r="E257" s="2">
        <f t="shared" si="184"/>
        <v>5500.8506053403271</v>
      </c>
      <c r="F257" s="2">
        <f t="shared" si="184"/>
        <v>16830.209952825659</v>
      </c>
      <c r="G257" s="2">
        <f t="shared" si="184"/>
        <v>35277.828920311229</v>
      </c>
      <c r="H257" s="2">
        <f t="shared" si="184"/>
        <v>59979.132678719361</v>
      </c>
      <c r="I257" s="2">
        <f t="shared" si="184"/>
        <v>89480.984102271526</v>
      </c>
      <c r="J257" s="2">
        <f t="shared" si="184"/>
        <v>122335.79608279826</v>
      </c>
      <c r="K257" s="2">
        <f t="shared" si="184"/>
        <v>157365.56045178178</v>
      </c>
      <c r="L257" s="2">
        <f t="shared" si="184"/>
        <v>193709.95674653177</v>
      </c>
      <c r="M257" s="2">
        <f t="shared" si="184"/>
        <v>230780.5371172718</v>
      </c>
      <c r="N257" s="2">
        <f t="shared" si="184"/>
        <v>268192.20437563042</v>
      </c>
      <c r="O257" s="2">
        <f t="shared" si="184"/>
        <v>305701.58589361049</v>
      </c>
      <c r="P257" s="2">
        <f t="shared" si="147"/>
        <v>299228.07341844519</v>
      </c>
      <c r="R257">
        <f t="shared" si="148"/>
        <v>245</v>
      </c>
      <c r="S257" s="2">
        <f t="shared" si="181"/>
        <v>122500</v>
      </c>
      <c r="T257" s="2">
        <f t="shared" si="181"/>
        <v>245000</v>
      </c>
      <c r="U257" s="2">
        <f t="shared" si="181"/>
        <v>367500</v>
      </c>
      <c r="V257" s="2">
        <f t="shared" si="181"/>
        <v>490000</v>
      </c>
      <c r="W257" s="2">
        <f t="shared" si="181"/>
        <v>612500</v>
      </c>
      <c r="X257" s="2">
        <f t="shared" si="181"/>
        <v>735000</v>
      </c>
      <c r="Y257" s="2">
        <f t="shared" si="181"/>
        <v>857500</v>
      </c>
      <c r="Z257" s="2">
        <f t="shared" si="181"/>
        <v>980000</v>
      </c>
      <c r="AA257" s="2">
        <f t="shared" si="180"/>
        <v>1102500</v>
      </c>
      <c r="AB257" s="2">
        <f t="shared" si="180"/>
        <v>1225000</v>
      </c>
      <c r="AC257" s="2">
        <f t="shared" si="180"/>
        <v>1347500</v>
      </c>
      <c r="AD257" s="2">
        <f t="shared" si="180"/>
        <v>1470000</v>
      </c>
      <c r="AE257" s="2">
        <f t="shared" si="180"/>
        <v>1102500</v>
      </c>
      <c r="AG257">
        <f t="shared" si="149"/>
        <v>245</v>
      </c>
      <c r="AH257" s="6">
        <f t="shared" si="150"/>
        <v>5.9832281447106464E-3</v>
      </c>
      <c r="AI257" s="6">
        <f t="shared" si="151"/>
        <v>2.2452451450368682E-2</v>
      </c>
      <c r="AJ257" s="6">
        <f t="shared" si="152"/>
        <v>4.5796489667552814E-2</v>
      </c>
      <c r="AK257" s="6">
        <f t="shared" si="153"/>
        <v>7.1995569225124956E-2</v>
      </c>
      <c r="AL257" s="6">
        <f t="shared" si="154"/>
        <v>9.7925114577500999E-2</v>
      </c>
      <c r="AM257" s="6">
        <f t="shared" si="155"/>
        <v>0.12174283551329459</v>
      </c>
      <c r="AN257" s="6">
        <f t="shared" si="156"/>
        <v>0.14266565140851109</v>
      </c>
      <c r="AO257" s="6">
        <f t="shared" si="157"/>
        <v>0.16057710250181814</v>
      </c>
      <c r="AP257" s="6">
        <f t="shared" si="158"/>
        <v>0.1757006410399381</v>
      </c>
      <c r="AQ257" s="6">
        <f t="shared" si="159"/>
        <v>0.18839227519777291</v>
      </c>
      <c r="AR257" s="6">
        <f t="shared" si="160"/>
        <v>0.19902946521382592</v>
      </c>
      <c r="AS257" s="6">
        <f t="shared" si="161"/>
        <v>0.2079602625126602</v>
      </c>
      <c r="AT257" s="6">
        <f t="shared" si="162"/>
        <v>0.27140868337273938</v>
      </c>
      <c r="AW257" s="3">
        <f t="shared" si="172"/>
        <v>4900</v>
      </c>
      <c r="AX257" s="3">
        <f t="shared" si="169"/>
        <v>360</v>
      </c>
      <c r="AY257" s="3">
        <f t="shared" si="170"/>
        <v>1764000</v>
      </c>
      <c r="AZ257" s="13">
        <f t="shared" si="171"/>
        <v>0.20007357611939883</v>
      </c>
      <c r="BA257" s="3">
        <f t="shared" si="178"/>
        <v>352929.78827461955</v>
      </c>
      <c r="BB257" s="3">
        <f t="shared" si="179"/>
        <v>352918.66029384662</v>
      </c>
      <c r="BC257" s="3">
        <f t="shared" si="166"/>
        <v>352736.31889711495</v>
      </c>
      <c r="BD257" s="3">
        <f t="shared" si="167"/>
        <v>705600</v>
      </c>
    </row>
    <row r="258" spans="3:56" x14ac:dyDescent="0.45">
      <c r="C258">
        <f t="shared" ref="C258:C278" si="185">C257+1</f>
        <v>246</v>
      </c>
      <c r="D258" s="2">
        <f t="shared" si="184"/>
        <v>733.07617685747175</v>
      </c>
      <c r="E258" s="2">
        <f t="shared" si="184"/>
        <v>5504.5342017709481</v>
      </c>
      <c r="F258" s="2">
        <f t="shared" si="184"/>
        <v>16853.213914031185</v>
      </c>
      <c r="G258" s="2">
        <f t="shared" si="184"/>
        <v>35353.691610977941</v>
      </c>
      <c r="H258" s="2">
        <f t="shared" si="184"/>
        <v>60154.703111255978</v>
      </c>
      <c r="I258" s="2">
        <f t="shared" si="184"/>
        <v>89806.851254576657</v>
      </c>
      <c r="J258" s="2">
        <f t="shared" si="184"/>
        <v>122858.2058589974</v>
      </c>
      <c r="K258" s="2">
        <f t="shared" si="184"/>
        <v>158122.33153598156</v>
      </c>
      <c r="L258" s="2">
        <f t="shared" si="184"/>
        <v>194729.70567215994</v>
      </c>
      <c r="M258" s="2">
        <f t="shared" si="184"/>
        <v>232083.69013849026</v>
      </c>
      <c r="N258" s="2">
        <f t="shared" si="184"/>
        <v>269792.62875655317</v>
      </c>
      <c r="O258" s="2">
        <f t="shared" si="184"/>
        <v>307608.21398801566</v>
      </c>
      <c r="P258" s="2">
        <f t="shared" ref="P258:P278" si="186">P$279*$C258^P$280</f>
        <v>301674.78456544498</v>
      </c>
      <c r="R258">
        <f t="shared" ref="R258:R278" si="187">R257+1</f>
        <v>246</v>
      </c>
      <c r="S258" s="2">
        <f t="shared" si="181"/>
        <v>123000</v>
      </c>
      <c r="T258" s="2">
        <f t="shared" si="181"/>
        <v>246000</v>
      </c>
      <c r="U258" s="2">
        <f t="shared" si="181"/>
        <v>369000</v>
      </c>
      <c r="V258" s="2">
        <f t="shared" si="181"/>
        <v>492000</v>
      </c>
      <c r="W258" s="2">
        <f t="shared" si="181"/>
        <v>615000</v>
      </c>
      <c r="X258" s="2">
        <f t="shared" si="181"/>
        <v>738000</v>
      </c>
      <c r="Y258" s="2">
        <f t="shared" si="181"/>
        <v>861000</v>
      </c>
      <c r="Z258" s="2">
        <f t="shared" si="181"/>
        <v>984000</v>
      </c>
      <c r="AA258" s="2">
        <f t="shared" si="180"/>
        <v>1107000</v>
      </c>
      <c r="AB258" s="2">
        <f t="shared" si="180"/>
        <v>1230000</v>
      </c>
      <c r="AC258" s="2">
        <f t="shared" si="180"/>
        <v>1353000</v>
      </c>
      <c r="AD258" s="2">
        <f t="shared" si="180"/>
        <v>1476000</v>
      </c>
      <c r="AE258" s="2">
        <f t="shared" si="180"/>
        <v>1107000</v>
      </c>
      <c r="AG258">
        <f t="shared" ref="AG258:AG278" si="188">AG257+1</f>
        <v>246</v>
      </c>
      <c r="AH258" s="6">
        <f t="shared" ref="AH258:AH278" si="189">D258/S258</f>
        <v>5.9599689175404208E-3</v>
      </c>
      <c r="AI258" s="6">
        <f t="shared" ref="AI258:AI278" si="190">E258/T258</f>
        <v>2.2376155291751822E-2</v>
      </c>
      <c r="AJ258" s="6">
        <f t="shared" ref="AJ258:AJ278" si="191">F258/U258</f>
        <v>4.5672666433688849E-2</v>
      </c>
      <c r="AK258" s="6">
        <f t="shared" ref="AK258:AK278" si="192">G258/V258</f>
        <v>7.1857096770280363E-2</v>
      </c>
      <c r="AL258" s="6">
        <f t="shared" ref="AL258:AL278" si="193">H258/W258</f>
        <v>9.7812525384156065E-2</v>
      </c>
      <c r="AM258" s="6">
        <f t="shared" ref="AM258:AM278" si="194">I258/X258</f>
        <v>0.12168950034495482</v>
      </c>
      <c r="AN258" s="6">
        <f t="shared" ref="AN258:AN278" si="195">J258/Y258</f>
        <v>0.14269245744366713</v>
      </c>
      <c r="AO258" s="6">
        <f t="shared" ref="AO258:AO278" si="196">K258/Z258</f>
        <v>0.16069342635770484</v>
      </c>
      <c r="AP258" s="6">
        <f t="shared" ref="AP258:AP278" si="197">L258/AA258</f>
        <v>0.17590759319978314</v>
      </c>
      <c r="AQ258" s="6">
        <f t="shared" ref="AQ258:AQ278" si="198">M258/AB258</f>
        <v>0.18868592694186201</v>
      </c>
      <c r="AR258" s="6">
        <f t="shared" ref="AR258:AR278" si="199">N258/AC258</f>
        <v>0.19940327328643989</v>
      </c>
      <c r="AS258" s="6">
        <f t="shared" ref="AS258:AS278" si="200">O258/AD258</f>
        <v>0.20840664904337106</v>
      </c>
      <c r="AT258" s="6">
        <f t="shared" ref="AT258:AT278" si="201">P258/AE258</f>
        <v>0.27251561388025741</v>
      </c>
      <c r="AW258" s="3">
        <f t="shared" si="172"/>
        <v>4920</v>
      </c>
      <c r="AX258" s="3">
        <f t="shared" si="169"/>
        <v>361</v>
      </c>
      <c r="AY258" s="3">
        <f t="shared" si="170"/>
        <v>1776120</v>
      </c>
      <c r="AZ258" s="13">
        <f t="shared" si="171"/>
        <v>0.20062933444368974</v>
      </c>
      <c r="BA258" s="3">
        <f t="shared" si="178"/>
        <v>356341.7734921262</v>
      </c>
      <c r="BB258" s="3">
        <f t="shared" si="179"/>
        <v>356562.12369625131</v>
      </c>
      <c r="BC258" s="3">
        <f t="shared" si="166"/>
        <v>356609.29611359036</v>
      </c>
      <c r="BD258" s="3">
        <f t="shared" si="167"/>
        <v>712421.46666666667</v>
      </c>
    </row>
    <row r="259" spans="3:56" x14ac:dyDescent="0.45">
      <c r="C259">
        <f t="shared" si="185"/>
        <v>247</v>
      </c>
      <c r="D259" s="2">
        <f t="shared" si="184"/>
        <v>733.20536719869767</v>
      </c>
      <c r="E259" s="2">
        <f t="shared" si="184"/>
        <v>5508.1779960402164</v>
      </c>
      <c r="F259" s="2">
        <f t="shared" si="184"/>
        <v>16876.000870425982</v>
      </c>
      <c r="G259" s="2">
        <f t="shared" si="184"/>
        <v>35428.955808282546</v>
      </c>
      <c r="H259" s="2">
        <f t="shared" si="184"/>
        <v>60329.157599903519</v>
      </c>
      <c r="I259" s="2">
        <f t="shared" si="184"/>
        <v>90131.107410736964</v>
      </c>
      <c r="J259" s="2">
        <f t="shared" si="184"/>
        <v>123378.68288234697</v>
      </c>
      <c r="K259" s="2">
        <f t="shared" si="184"/>
        <v>158877.11062417724</v>
      </c>
      <c r="L259" s="2">
        <f t="shared" si="184"/>
        <v>195747.69130859469</v>
      </c>
      <c r="M259" s="2">
        <f t="shared" si="184"/>
        <v>233385.57909266092</v>
      </c>
      <c r="N259" s="2">
        <f t="shared" si="184"/>
        <v>271392.52040943259</v>
      </c>
      <c r="O259" s="2">
        <f t="shared" si="184"/>
        <v>309515.2285418192</v>
      </c>
      <c r="P259" s="2">
        <f t="shared" si="186"/>
        <v>304131.45421201788</v>
      </c>
      <c r="R259">
        <f t="shared" si="187"/>
        <v>247</v>
      </c>
      <c r="S259" s="2">
        <f t="shared" si="181"/>
        <v>123500</v>
      </c>
      <c r="T259" s="2">
        <f t="shared" si="181"/>
        <v>247000</v>
      </c>
      <c r="U259" s="2">
        <f t="shared" si="181"/>
        <v>370500</v>
      </c>
      <c r="V259" s="2">
        <f t="shared" si="181"/>
        <v>494000</v>
      </c>
      <c r="W259" s="2">
        <f t="shared" si="181"/>
        <v>617500</v>
      </c>
      <c r="X259" s="2">
        <f t="shared" si="181"/>
        <v>741000</v>
      </c>
      <c r="Y259" s="2">
        <f t="shared" si="181"/>
        <v>864500</v>
      </c>
      <c r="Z259" s="2">
        <f t="shared" si="181"/>
        <v>988000</v>
      </c>
      <c r="AA259" s="2">
        <f t="shared" si="180"/>
        <v>1111500</v>
      </c>
      <c r="AB259" s="2">
        <f t="shared" si="180"/>
        <v>1235000</v>
      </c>
      <c r="AC259" s="2">
        <f t="shared" si="180"/>
        <v>1358500</v>
      </c>
      <c r="AD259" s="2">
        <f t="shared" si="180"/>
        <v>1482000</v>
      </c>
      <c r="AE259" s="2">
        <f t="shared" si="180"/>
        <v>1111500</v>
      </c>
      <c r="AG259">
        <f t="shared" si="188"/>
        <v>247</v>
      </c>
      <c r="AH259" s="6">
        <f t="shared" si="189"/>
        <v>5.9368855643619246E-3</v>
      </c>
      <c r="AI259" s="6">
        <f t="shared" si="190"/>
        <v>2.2300315773442173E-2</v>
      </c>
      <c r="AJ259" s="6">
        <f t="shared" si="191"/>
        <v>4.5549260109111964E-2</v>
      </c>
      <c r="AK259" s="6">
        <f t="shared" si="192"/>
        <v>7.1718534024863459E-2</v>
      </c>
      <c r="AL259" s="6">
        <f t="shared" si="193"/>
        <v>9.769904064761703E-2</v>
      </c>
      <c r="AM259" s="6">
        <f t="shared" si="194"/>
        <v>0.12163442295646014</v>
      </c>
      <c r="AN259" s="6">
        <f t="shared" si="195"/>
        <v>0.14271681073724346</v>
      </c>
      <c r="AO259" s="6">
        <f t="shared" si="196"/>
        <v>0.16080679212973403</v>
      </c>
      <c r="AP259" s="6">
        <f t="shared" si="197"/>
        <v>0.1761112832286052</v>
      </c>
      <c r="AQ259" s="6">
        <f t="shared" si="198"/>
        <v>0.1889761774029643</v>
      </c>
      <c r="AR259" s="6">
        <f t="shared" si="199"/>
        <v>0.19977366242873212</v>
      </c>
      <c r="AS259" s="6">
        <f t="shared" si="200"/>
        <v>0.20884968187707098</v>
      </c>
      <c r="AT259" s="6">
        <f t="shared" si="201"/>
        <v>0.27362254090150057</v>
      </c>
      <c r="AW259" s="3">
        <f t="shared" si="172"/>
        <v>4940</v>
      </c>
      <c r="AX259" s="3">
        <f t="shared" si="169"/>
        <v>363</v>
      </c>
      <c r="AY259" s="3">
        <f t="shared" si="170"/>
        <v>1793220</v>
      </c>
      <c r="AZ259" s="13">
        <f t="shared" si="171"/>
        <v>0.20174085109227152</v>
      </c>
      <c r="BA259" s="3">
        <f t="shared" si="178"/>
        <v>361765.72899568314</v>
      </c>
      <c r="BB259" s="3">
        <f t="shared" si="179"/>
        <v>361723.82259015413</v>
      </c>
      <c r="BC259" s="3">
        <f t="shared" si="166"/>
        <v>361506.42555977101</v>
      </c>
      <c r="BD259" s="3">
        <f t="shared" si="167"/>
        <v>723265.4</v>
      </c>
    </row>
    <row r="260" spans="3:56" x14ac:dyDescent="0.45">
      <c r="C260">
        <f t="shared" si="185"/>
        <v>248</v>
      </c>
      <c r="D260" s="2">
        <f t="shared" si="184"/>
        <v>733.33304262752972</v>
      </c>
      <c r="E260" s="2">
        <f t="shared" si="184"/>
        <v>5511.7825412832617</v>
      </c>
      <c r="F260" s="2">
        <f t="shared" si="184"/>
        <v>16898.573323598594</v>
      </c>
      <c r="G260" s="2">
        <f t="shared" si="184"/>
        <v>35503.626730675598</v>
      </c>
      <c r="H260" s="2">
        <f t="shared" si="184"/>
        <v>60502.502484767392</v>
      </c>
      <c r="I260" s="2">
        <f t="shared" si="184"/>
        <v>90453.756542237534</v>
      </c>
      <c r="J260" s="2">
        <f t="shared" si="184"/>
        <v>123897.22508141026</v>
      </c>
      <c r="K260" s="2">
        <f t="shared" si="184"/>
        <v>159629.88701191655</v>
      </c>
      <c r="L260" s="2">
        <f t="shared" si="184"/>
        <v>196763.8931602599</v>
      </c>
      <c r="M260" s="2">
        <f t="shared" si="184"/>
        <v>234686.17372618502</v>
      </c>
      <c r="N260" s="2">
        <f t="shared" si="184"/>
        <v>272991.84012472164</v>
      </c>
      <c r="O260" s="2">
        <f t="shared" si="184"/>
        <v>311422.58258131781</v>
      </c>
      <c r="P260" s="2">
        <f t="shared" si="186"/>
        <v>306598.08232686331</v>
      </c>
      <c r="R260">
        <f t="shared" si="187"/>
        <v>248</v>
      </c>
      <c r="S260" s="2">
        <f t="shared" si="181"/>
        <v>124000</v>
      </c>
      <c r="T260" s="2">
        <f t="shared" si="181"/>
        <v>248000</v>
      </c>
      <c r="U260" s="2">
        <f t="shared" si="181"/>
        <v>372000</v>
      </c>
      <c r="V260" s="2">
        <f t="shared" si="181"/>
        <v>496000</v>
      </c>
      <c r="W260" s="2">
        <f t="shared" si="181"/>
        <v>620000</v>
      </c>
      <c r="X260" s="2">
        <f t="shared" si="181"/>
        <v>744000</v>
      </c>
      <c r="Y260" s="2">
        <f t="shared" si="181"/>
        <v>868000</v>
      </c>
      <c r="Z260" s="2">
        <f t="shared" ref="S260:Z278" si="202">$R260*Z$12</f>
        <v>992000</v>
      </c>
      <c r="AA260" s="2">
        <f t="shared" si="180"/>
        <v>1116000</v>
      </c>
      <c r="AB260" s="2">
        <f t="shared" si="180"/>
        <v>1240000</v>
      </c>
      <c r="AC260" s="2">
        <f t="shared" si="180"/>
        <v>1364000</v>
      </c>
      <c r="AD260" s="2">
        <f t="shared" si="180"/>
        <v>1488000</v>
      </c>
      <c r="AE260" s="2">
        <f t="shared" si="180"/>
        <v>1116000</v>
      </c>
      <c r="AG260">
        <f t="shared" si="188"/>
        <v>248</v>
      </c>
      <c r="AH260" s="6">
        <f t="shared" si="189"/>
        <v>5.9139761502220141E-3</v>
      </c>
      <c r="AI260" s="6">
        <f t="shared" si="190"/>
        <v>2.2224929601948634E-2</v>
      </c>
      <c r="AJ260" s="6">
        <f t="shared" si="191"/>
        <v>4.5426272375265038E-2</v>
      </c>
      <c r="AK260" s="6">
        <f t="shared" si="192"/>
        <v>7.1579892602168543E-2</v>
      </c>
      <c r="AL260" s="6">
        <f t="shared" si="193"/>
        <v>9.7584681427044184E-2</v>
      </c>
      <c r="AM260" s="6">
        <f t="shared" si="194"/>
        <v>0.12157762976107195</v>
      </c>
      <c r="AN260" s="6">
        <f t="shared" si="195"/>
        <v>0.1427387385730533</v>
      </c>
      <c r="AO260" s="6">
        <f t="shared" si="196"/>
        <v>0.16091722481039974</v>
      </c>
      <c r="AP260" s="6">
        <f t="shared" si="197"/>
        <v>0.17631173222245511</v>
      </c>
      <c r="AQ260" s="6">
        <f t="shared" si="198"/>
        <v>0.18926304332756858</v>
      </c>
      <c r="AR260" s="6">
        <f t="shared" si="199"/>
        <v>0.20014064525272848</v>
      </c>
      <c r="AS260" s="6">
        <f t="shared" si="200"/>
        <v>0.20928937001432649</v>
      </c>
      <c r="AT260" s="6">
        <f t="shared" si="201"/>
        <v>0.27472946445059437</v>
      </c>
      <c r="AW260" s="3">
        <f t="shared" si="172"/>
        <v>4960</v>
      </c>
      <c r="AX260" s="3">
        <f t="shared" si="169"/>
        <v>364</v>
      </c>
      <c r="AY260" s="3">
        <f t="shared" si="170"/>
        <v>1805440</v>
      </c>
      <c r="AZ260" s="13">
        <f t="shared" si="171"/>
        <v>0.20229660941656241</v>
      </c>
      <c r="BA260" s="3">
        <f t="shared" si="178"/>
        <v>365234.39050503843</v>
      </c>
      <c r="BB260" s="3">
        <f t="shared" si="179"/>
        <v>365427.59606871963</v>
      </c>
      <c r="BC260" s="3">
        <f t="shared" si="166"/>
        <v>365443.35495644313</v>
      </c>
      <c r="BD260" s="3">
        <f t="shared" si="167"/>
        <v>730200.17777777778</v>
      </c>
    </row>
    <row r="261" spans="3:56" x14ac:dyDescent="0.45">
      <c r="C261">
        <f t="shared" si="185"/>
        <v>249</v>
      </c>
      <c r="D261" s="2">
        <f t="shared" si="184"/>
        <v>733.45922656296477</v>
      </c>
      <c r="E261" s="2">
        <f t="shared" si="184"/>
        <v>5515.3483814061883</v>
      </c>
      <c r="F261" s="2">
        <f t="shared" si="184"/>
        <v>16920.933743183792</v>
      </c>
      <c r="G261" s="2">
        <f t="shared" si="184"/>
        <v>35577.709558414273</v>
      </c>
      <c r="H261" s="2">
        <f t="shared" si="184"/>
        <v>60674.744114176552</v>
      </c>
      <c r="I261" s="2">
        <f t="shared" si="184"/>
        <v>90774.802724003152</v>
      </c>
      <c r="J261" s="2">
        <f t="shared" si="184"/>
        <v>124413.83059795223</v>
      </c>
      <c r="K261" s="2">
        <f t="shared" si="184"/>
        <v>160380.65029936007</v>
      </c>
      <c r="L261" s="2">
        <f t="shared" si="184"/>
        <v>197778.2910930331</v>
      </c>
      <c r="M261" s="2">
        <f t="shared" si="184"/>
        <v>235985.44416796492</v>
      </c>
      <c r="N261" s="2">
        <f t="shared" si="184"/>
        <v>274590.5490673504</v>
      </c>
      <c r="O261" s="2">
        <f t="shared" si="184"/>
        <v>313330.22947913432</v>
      </c>
      <c r="P261" s="2">
        <f t="shared" si="186"/>
        <v>309074.66887880629</v>
      </c>
      <c r="R261">
        <f t="shared" si="187"/>
        <v>249</v>
      </c>
      <c r="S261" s="2">
        <f t="shared" si="202"/>
        <v>124500</v>
      </c>
      <c r="T261" s="2">
        <f t="shared" si="202"/>
        <v>249000</v>
      </c>
      <c r="U261" s="2">
        <f t="shared" si="202"/>
        <v>373500</v>
      </c>
      <c r="V261" s="2">
        <f t="shared" si="202"/>
        <v>498000</v>
      </c>
      <c r="W261" s="2">
        <f t="shared" si="202"/>
        <v>622500</v>
      </c>
      <c r="X261" s="2">
        <f t="shared" si="202"/>
        <v>747000</v>
      </c>
      <c r="Y261" s="2">
        <f t="shared" si="202"/>
        <v>871500</v>
      </c>
      <c r="Z261" s="2">
        <f t="shared" si="202"/>
        <v>996000</v>
      </c>
      <c r="AA261" s="2">
        <f t="shared" si="180"/>
        <v>1120500</v>
      </c>
      <c r="AB261" s="2">
        <f t="shared" si="180"/>
        <v>1245000</v>
      </c>
      <c r="AC261" s="2">
        <f t="shared" si="180"/>
        <v>1369500</v>
      </c>
      <c r="AD261" s="2">
        <f t="shared" si="180"/>
        <v>1494000</v>
      </c>
      <c r="AE261" s="2">
        <f t="shared" si="180"/>
        <v>1120500</v>
      </c>
      <c r="AG261">
        <f t="shared" si="188"/>
        <v>249</v>
      </c>
      <c r="AH261" s="6">
        <f t="shared" si="189"/>
        <v>5.8912387675740139E-3</v>
      </c>
      <c r="AI261" s="6">
        <f t="shared" si="190"/>
        <v>2.2149993499623245E-2</v>
      </c>
      <c r="AJ261" s="6">
        <f t="shared" si="191"/>
        <v>4.5303704801027557E-2</v>
      </c>
      <c r="AK261" s="6">
        <f t="shared" si="192"/>
        <v>7.1441183852237494E-2</v>
      </c>
      <c r="AL261" s="6">
        <f t="shared" si="193"/>
        <v>9.7469468456508515E-2</v>
      </c>
      <c r="AM261" s="6">
        <f t="shared" si="194"/>
        <v>0.12151914688621573</v>
      </c>
      <c r="AN261" s="6">
        <f t="shared" si="195"/>
        <v>0.14275826804125327</v>
      </c>
      <c r="AO261" s="6">
        <f t="shared" si="196"/>
        <v>0.16102474929654625</v>
      </c>
      <c r="AP261" s="6">
        <f t="shared" si="197"/>
        <v>0.17650896126107371</v>
      </c>
      <c r="AQ261" s="6">
        <f t="shared" si="198"/>
        <v>0.18954654150037342</v>
      </c>
      <c r="AR261" s="6">
        <f t="shared" si="199"/>
        <v>0.20050423444129273</v>
      </c>
      <c r="AS261" s="6">
        <f t="shared" si="200"/>
        <v>0.20972572254292793</v>
      </c>
      <c r="AT261" s="6">
        <f t="shared" si="201"/>
        <v>0.27583638454154957</v>
      </c>
      <c r="AW261" s="3">
        <f t="shared" si="172"/>
        <v>4980</v>
      </c>
      <c r="AX261" s="3">
        <f t="shared" si="169"/>
        <v>366</v>
      </c>
      <c r="AY261" s="3">
        <f t="shared" si="170"/>
        <v>1822680</v>
      </c>
      <c r="AZ261" s="13">
        <f t="shared" si="171"/>
        <v>0.20340812606514419</v>
      </c>
      <c r="BA261" s="3">
        <f t="shared" si="178"/>
        <v>370747.92321641702</v>
      </c>
      <c r="BB261" s="3">
        <f t="shared" si="179"/>
        <v>370674.2290663147</v>
      </c>
      <c r="BC261" s="3">
        <f t="shared" si="166"/>
        <v>370420.69130126818</v>
      </c>
      <c r="BD261" s="3">
        <f t="shared" si="167"/>
        <v>741223.2</v>
      </c>
    </row>
    <row r="262" spans="3:56" x14ac:dyDescent="0.45">
      <c r="C262">
        <f t="shared" si="185"/>
        <v>250</v>
      </c>
      <c r="D262" s="2">
        <f t="shared" si="184"/>
        <v>733.58394197661107</v>
      </c>
      <c r="E262" s="2">
        <f t="shared" si="184"/>
        <v>5518.8760512622866</v>
      </c>
      <c r="F262" s="2">
        <f t="shared" si="184"/>
        <v>16943.084567260441</v>
      </c>
      <c r="G262" s="2">
        <f t="shared" si="184"/>
        <v>35651.209433454511</v>
      </c>
      <c r="H262" s="2">
        <f t="shared" si="184"/>
        <v>60845.888843152541</v>
      </c>
      <c r="I262" s="2">
        <f t="shared" si="184"/>
        <v>91094.250131359629</v>
      </c>
      <c r="J262" s="2">
        <f t="shared" si="184"/>
        <v>124928.49778312533</v>
      </c>
      <c r="K262" s="2">
        <f t="shared" si="184"/>
        <v>161129.39038761321</v>
      </c>
      <c r="L262" s="2">
        <f t="shared" si="184"/>
        <v>198790.86533138118</v>
      </c>
      <c r="M262" s="2">
        <f t="shared" si="184"/>
        <v>237283.36092763467</v>
      </c>
      <c r="N262" s="2">
        <f t="shared" si="184"/>
        <v>276188.60877606139</v>
      </c>
      <c r="O262" s="2">
        <f t="shared" si="184"/>
        <v>315238.12295451242</v>
      </c>
      <c r="P262" s="2">
        <f t="shared" si="186"/>
        <v>311561.21383679879</v>
      </c>
      <c r="R262">
        <f t="shared" si="187"/>
        <v>250</v>
      </c>
      <c r="S262" s="2">
        <f t="shared" si="202"/>
        <v>125000</v>
      </c>
      <c r="T262" s="2">
        <f t="shared" si="202"/>
        <v>250000</v>
      </c>
      <c r="U262" s="2">
        <f t="shared" si="202"/>
        <v>375000</v>
      </c>
      <c r="V262" s="2">
        <f t="shared" si="202"/>
        <v>500000</v>
      </c>
      <c r="W262" s="2">
        <f t="shared" si="202"/>
        <v>625000</v>
      </c>
      <c r="X262" s="2">
        <f t="shared" si="202"/>
        <v>750000</v>
      </c>
      <c r="Y262" s="2">
        <f t="shared" si="202"/>
        <v>875000</v>
      </c>
      <c r="Z262" s="2">
        <f t="shared" si="202"/>
        <v>1000000</v>
      </c>
      <c r="AA262" s="2">
        <f t="shared" si="180"/>
        <v>1125000</v>
      </c>
      <c r="AB262" s="2">
        <f t="shared" si="180"/>
        <v>1250000</v>
      </c>
      <c r="AC262" s="2">
        <f t="shared" si="180"/>
        <v>1375000</v>
      </c>
      <c r="AD262" s="2">
        <f t="shared" si="180"/>
        <v>1500000</v>
      </c>
      <c r="AE262" s="2">
        <f t="shared" si="180"/>
        <v>1125000</v>
      </c>
      <c r="AG262">
        <f t="shared" si="188"/>
        <v>250</v>
      </c>
      <c r="AH262" s="6">
        <f t="shared" si="189"/>
        <v>5.8686715358128886E-3</v>
      </c>
      <c r="AI262" s="6">
        <f t="shared" si="190"/>
        <v>2.2075504205049147E-2</v>
      </c>
      <c r="AJ262" s="6">
        <f t="shared" si="191"/>
        <v>4.5181558846027842E-2</v>
      </c>
      <c r="AK262" s="6">
        <f t="shared" si="192"/>
        <v>7.1302418866909023E-2</v>
      </c>
      <c r="AL262" s="6">
        <f t="shared" si="193"/>
        <v>9.7353422149044064E-2</v>
      </c>
      <c r="AM262" s="6">
        <f t="shared" si="194"/>
        <v>0.12145900017514617</v>
      </c>
      <c r="AN262" s="6">
        <f t="shared" si="195"/>
        <v>0.14277542603785753</v>
      </c>
      <c r="AO262" s="6">
        <f t="shared" si="196"/>
        <v>0.1611293903876132</v>
      </c>
      <c r="AP262" s="6">
        <f t="shared" si="197"/>
        <v>0.17670299140567217</v>
      </c>
      <c r="AQ262" s="6">
        <f t="shared" si="198"/>
        <v>0.18982668874210773</v>
      </c>
      <c r="AR262" s="6">
        <f t="shared" si="199"/>
        <v>0.20086444274622647</v>
      </c>
      <c r="AS262" s="6">
        <f t="shared" si="200"/>
        <v>0.21015874863634162</v>
      </c>
      <c r="AT262" s="6">
        <f t="shared" si="201"/>
        <v>0.2769433011882656</v>
      </c>
      <c r="AW262" s="3">
        <f t="shared" si="172"/>
        <v>5000</v>
      </c>
      <c r="AX262" s="3">
        <f t="shared" si="169"/>
        <v>367</v>
      </c>
      <c r="AY262" s="3">
        <f t="shared" si="170"/>
        <v>1835000</v>
      </c>
      <c r="AZ262" s="13">
        <f t="shared" si="171"/>
        <v>0.20396388438943508</v>
      </c>
      <c r="BA262" s="3">
        <f t="shared" si="178"/>
        <v>374273.72785461339</v>
      </c>
      <c r="BB262" s="3">
        <f t="shared" si="179"/>
        <v>374438.80765919812</v>
      </c>
      <c r="BC262" s="3">
        <f t="shared" si="166"/>
        <v>374422.09647805558</v>
      </c>
      <c r="BD262" s="3">
        <f t="shared" si="167"/>
        <v>748272.22222222213</v>
      </c>
    </row>
    <row r="263" spans="3:56" x14ac:dyDescent="0.45">
      <c r="C263">
        <f t="shared" si="185"/>
        <v>251</v>
      </c>
      <c r="D263" s="2">
        <f t="shared" ref="D263:O272" si="203">$C$7*BL_MBPS*BL_KM^2*D$12^3*$C263^2/((EM_KM*D$12)^2+(2*PI()*AVG_SUN_DIST_KM*$C263)^2)</f>
        <v>733.70721140282308</v>
      </c>
      <c r="E263" s="2">
        <f t="shared" si="203"/>
        <v>5522.3660768245372</v>
      </c>
      <c r="F263" s="2">
        <f t="shared" si="203"/>
        <v>16965.028202746111</v>
      </c>
      <c r="G263" s="2">
        <f t="shared" si="203"/>
        <v>35724.131459360375</v>
      </c>
      <c r="H263" s="2">
        <f t="shared" si="203"/>
        <v>61015.94303192338</v>
      </c>
      <c r="I263" s="2">
        <f t="shared" si="203"/>
        <v>91412.103037048699</v>
      </c>
      <c r="J263" s="2">
        <f t="shared" si="203"/>
        <v>125441.22519369444</v>
      </c>
      <c r="K263" s="2">
        <f t="shared" si="203"/>
        <v>161876.097475071</v>
      </c>
      <c r="L263" s="2">
        <f t="shared" si="203"/>
        <v>199801.59645548358</v>
      </c>
      <c r="M263" s="2">
        <f t="shared" si="203"/>
        <v>238579.89489375957</v>
      </c>
      <c r="N263" s="2">
        <f t="shared" si="203"/>
        <v>277785.98116270348</v>
      </c>
      <c r="O263" s="2">
        <f t="shared" si="203"/>
        <v>317146.21707356593</v>
      </c>
      <c r="P263" s="2">
        <f t="shared" si="186"/>
        <v>314057.71716991684</v>
      </c>
      <c r="R263">
        <f t="shared" si="187"/>
        <v>251</v>
      </c>
      <c r="S263" s="2">
        <f t="shared" si="202"/>
        <v>125500</v>
      </c>
      <c r="T263" s="2">
        <f t="shared" si="202"/>
        <v>251000</v>
      </c>
      <c r="U263" s="2">
        <f t="shared" si="202"/>
        <v>376500</v>
      </c>
      <c r="V263" s="2">
        <f t="shared" si="202"/>
        <v>502000</v>
      </c>
      <c r="W263" s="2">
        <f t="shared" si="202"/>
        <v>627500</v>
      </c>
      <c r="X263" s="2">
        <f t="shared" si="202"/>
        <v>753000</v>
      </c>
      <c r="Y263" s="2">
        <f t="shared" si="202"/>
        <v>878500</v>
      </c>
      <c r="Z263" s="2">
        <f t="shared" si="202"/>
        <v>1004000</v>
      </c>
      <c r="AA263" s="2">
        <f t="shared" si="180"/>
        <v>1129500</v>
      </c>
      <c r="AB263" s="2">
        <f t="shared" si="180"/>
        <v>1255000</v>
      </c>
      <c r="AC263" s="2">
        <f t="shared" si="180"/>
        <v>1380500</v>
      </c>
      <c r="AD263" s="2">
        <f t="shared" si="180"/>
        <v>1506000</v>
      </c>
      <c r="AE263" s="2">
        <f t="shared" si="180"/>
        <v>1129500</v>
      </c>
      <c r="AG263">
        <f t="shared" si="188"/>
        <v>251</v>
      </c>
      <c r="AH263" s="6">
        <f t="shared" si="189"/>
        <v>5.8462726008193071E-3</v>
      </c>
      <c r="AI263" s="6">
        <f t="shared" si="190"/>
        <v>2.2001458473404532E-2</v>
      </c>
      <c r="AJ263" s="6">
        <f t="shared" si="191"/>
        <v>4.5059835863867491E-2</v>
      </c>
      <c r="AK263" s="6">
        <f t="shared" si="192"/>
        <v>7.1163608484781621E-2</v>
      </c>
      <c r="AL263" s="6">
        <f t="shared" si="193"/>
        <v>9.7236562600674703E-2</v>
      </c>
      <c r="AM263" s="6">
        <f t="shared" si="194"/>
        <v>0.12139721518864369</v>
      </c>
      <c r="AN263" s="6">
        <f t="shared" si="195"/>
        <v>0.14279023926430784</v>
      </c>
      <c r="AO263" s="6">
        <f t="shared" si="196"/>
        <v>0.16123117278393526</v>
      </c>
      <c r="AP263" s="6">
        <f t="shared" si="197"/>
        <v>0.17689384369675396</v>
      </c>
      <c r="AQ263" s="6">
        <f t="shared" si="198"/>
        <v>0.19010350190737815</v>
      </c>
      <c r="AR263" s="6">
        <f t="shared" si="199"/>
        <v>0.20122128298638425</v>
      </c>
      <c r="AS263" s="6">
        <f t="shared" si="200"/>
        <v>0.21058845755216862</v>
      </c>
      <c r="AT263" s="6">
        <f t="shared" si="201"/>
        <v>0.2780502144045302</v>
      </c>
      <c r="AW263" s="3">
        <f t="shared" si="172"/>
        <v>5020</v>
      </c>
      <c r="AX263" s="3">
        <f t="shared" si="169"/>
        <v>369</v>
      </c>
      <c r="AY263" s="3">
        <f t="shared" si="170"/>
        <v>1852380</v>
      </c>
      <c r="AZ263" s="13">
        <f t="shared" si="171"/>
        <v>0.20507540103801686</v>
      </c>
      <c r="BA263" s="3">
        <f t="shared" si="178"/>
        <v>379877.57137480169</v>
      </c>
      <c r="BB263" s="3">
        <f t="shared" si="179"/>
        <v>379771.06781377201</v>
      </c>
      <c r="BC263" s="3">
        <f t="shared" si="166"/>
        <v>379480.29116540757</v>
      </c>
      <c r="BD263" s="3">
        <f t="shared" si="167"/>
        <v>759475.8</v>
      </c>
    </row>
    <row r="264" spans="3:56" x14ac:dyDescent="0.45">
      <c r="C264">
        <f t="shared" si="185"/>
        <v>252</v>
      </c>
      <c r="D264" s="2">
        <f t="shared" si="203"/>
        <v>733.82905694857595</v>
      </c>
      <c r="E264" s="2">
        <f t="shared" si="203"/>
        <v>5525.818975354513</v>
      </c>
      <c r="F264" s="2">
        <f t="shared" si="203"/>
        <v>16986.767025788522</v>
      </c>
      <c r="G264" s="2">
        <f t="shared" si="203"/>
        <v>35796.480701230248</v>
      </c>
      <c r="H264" s="2">
        <f t="shared" si="203"/>
        <v>61184.913044481757</v>
      </c>
      <c r="I264" s="2">
        <f t="shared" si="203"/>
        <v>91728.365808296759</v>
      </c>
      <c r="J264" s="2">
        <f t="shared" si="203"/>
        <v>125952.01158830131</v>
      </c>
      <c r="K264" s="2">
        <f t="shared" si="203"/>
        <v>162620.76205377595</v>
      </c>
      <c r="L264" s="2">
        <f t="shared" si="203"/>
        <v>200810.46539834366</v>
      </c>
      <c r="M264" s="2">
        <f t="shared" si="203"/>
        <v>239875.01733200537</v>
      </c>
      <c r="N264" s="2">
        <f t="shared" si="203"/>
        <v>279382.62851148611</v>
      </c>
      <c r="O264" s="2">
        <f t="shared" si="203"/>
        <v>319054.46624948538</v>
      </c>
      <c r="P264" s="2">
        <f t="shared" si="186"/>
        <v>316564.17884736066</v>
      </c>
      <c r="R264">
        <f t="shared" si="187"/>
        <v>252</v>
      </c>
      <c r="S264" s="2">
        <f t="shared" si="202"/>
        <v>126000</v>
      </c>
      <c r="T264" s="2">
        <f t="shared" si="202"/>
        <v>252000</v>
      </c>
      <c r="U264" s="2">
        <f t="shared" si="202"/>
        <v>378000</v>
      </c>
      <c r="V264" s="2">
        <f t="shared" si="202"/>
        <v>504000</v>
      </c>
      <c r="W264" s="2">
        <f t="shared" si="202"/>
        <v>630000</v>
      </c>
      <c r="X264" s="2">
        <f t="shared" si="202"/>
        <v>756000</v>
      </c>
      <c r="Y264" s="2">
        <f t="shared" si="202"/>
        <v>882000</v>
      </c>
      <c r="Z264" s="2">
        <f t="shared" si="202"/>
        <v>1008000</v>
      </c>
      <c r="AA264" s="2">
        <f t="shared" si="180"/>
        <v>1134000</v>
      </c>
      <c r="AB264" s="2">
        <f t="shared" si="180"/>
        <v>1260000</v>
      </c>
      <c r="AC264" s="2">
        <f t="shared" si="180"/>
        <v>1386000</v>
      </c>
      <c r="AD264" s="2">
        <f t="shared" si="180"/>
        <v>1512000</v>
      </c>
      <c r="AE264" s="2">
        <f t="shared" si="180"/>
        <v>1134000</v>
      </c>
      <c r="AG264">
        <f t="shared" si="188"/>
        <v>252</v>
      </c>
      <c r="AH264" s="6">
        <f t="shared" si="189"/>
        <v>5.8240401345125078E-3</v>
      </c>
      <c r="AI264" s="6">
        <f t="shared" si="190"/>
        <v>2.1927853076803623E-2</v>
      </c>
      <c r="AJ264" s="6">
        <f t="shared" si="191"/>
        <v>4.4938537105260641E-2</v>
      </c>
      <c r="AK264" s="6">
        <f t="shared" si="192"/>
        <v>7.1024763296091767E-2</v>
      </c>
      <c r="AL264" s="6">
        <f t="shared" si="193"/>
        <v>9.7118909594415492E-2</v>
      </c>
      <c r="AM264" s="6">
        <f t="shared" si="194"/>
        <v>0.12133381720674175</v>
      </c>
      <c r="AN264" s="6">
        <f t="shared" si="195"/>
        <v>0.14280273422709899</v>
      </c>
      <c r="AO264" s="6">
        <f t="shared" si="196"/>
        <v>0.1613301210850952</v>
      </c>
      <c r="AP264" s="6">
        <f t="shared" si="197"/>
        <v>0.17708153915197852</v>
      </c>
      <c r="AQ264" s="6">
        <f t="shared" si="198"/>
        <v>0.19037699788254395</v>
      </c>
      <c r="AR264" s="6">
        <f t="shared" si="199"/>
        <v>0.20157476804580526</v>
      </c>
      <c r="AS264" s="6">
        <f t="shared" si="200"/>
        <v>0.21101485863061203</v>
      </c>
      <c r="AT264" s="6">
        <f t="shared" si="201"/>
        <v>0.27915712420402172</v>
      </c>
      <c r="AW264" s="3">
        <f t="shared" si="172"/>
        <v>5040</v>
      </c>
      <c r="AX264" s="3">
        <f t="shared" si="169"/>
        <v>370</v>
      </c>
      <c r="AY264" s="3">
        <f t="shared" si="170"/>
        <v>1864800</v>
      </c>
      <c r="AZ264" s="13">
        <f t="shared" si="171"/>
        <v>0.20563115936230775</v>
      </c>
      <c r="BA264" s="3">
        <f t="shared" si="178"/>
        <v>383460.98597883148</v>
      </c>
      <c r="BB264" s="3">
        <f t="shared" si="179"/>
        <v>383596.94655913144</v>
      </c>
      <c r="BC264" s="3">
        <f t="shared" si="166"/>
        <v>383546.69572221505</v>
      </c>
      <c r="BD264" s="3">
        <f t="shared" si="167"/>
        <v>766640</v>
      </c>
    </row>
    <row r="265" spans="3:56" x14ac:dyDescent="0.45">
      <c r="C265">
        <f t="shared" si="185"/>
        <v>253</v>
      </c>
      <c r="D265" s="2">
        <f t="shared" si="203"/>
        <v>733.94950030307996</v>
      </c>
      <c r="E265" s="2">
        <f t="shared" si="203"/>
        <v>5529.235255567738</v>
      </c>
      <c r="F265" s="2">
        <f t="shared" si="203"/>
        <v>17008.303382153663</v>
      </c>
      <c r="G265" s="2">
        <f t="shared" si="203"/>
        <v>35868.262185639047</v>
      </c>
      <c r="H265" s="2">
        <f t="shared" si="203"/>
        <v>61352.805247186137</v>
      </c>
      <c r="I265" s="2">
        <f t="shared" si="203"/>
        <v>92043.04290393641</v>
      </c>
      <c r="J265" s="2">
        <f t="shared" si="203"/>
        <v>126460.85592376863</v>
      </c>
      <c r="K265" s="2">
        <f t="shared" si="203"/>
        <v>163363.3749057902</v>
      </c>
      <c r="L265" s="2">
        <f t="shared" si="203"/>
        <v>201817.45344288857</v>
      </c>
      <c r="M265" s="2">
        <f t="shared" si="203"/>
        <v>241168.6998832784</v>
      </c>
      <c r="N265" s="2">
        <f t="shared" si="203"/>
        <v>280978.51347819343</v>
      </c>
      <c r="O265" s="2">
        <f t="shared" si="203"/>
        <v>320962.82524270209</v>
      </c>
      <c r="P265" s="2">
        <f t="shared" si="186"/>
        <v>319080.59883845114</v>
      </c>
      <c r="R265">
        <f t="shared" si="187"/>
        <v>253</v>
      </c>
      <c r="S265" s="2">
        <f t="shared" si="202"/>
        <v>126500</v>
      </c>
      <c r="T265" s="2">
        <f t="shared" si="202"/>
        <v>253000</v>
      </c>
      <c r="U265" s="2">
        <f t="shared" si="202"/>
        <v>379500</v>
      </c>
      <c r="V265" s="2">
        <f t="shared" si="202"/>
        <v>506000</v>
      </c>
      <c r="W265" s="2">
        <f t="shared" si="202"/>
        <v>632500</v>
      </c>
      <c r="X265" s="2">
        <f t="shared" si="202"/>
        <v>759000</v>
      </c>
      <c r="Y265" s="2">
        <f t="shared" si="202"/>
        <v>885500</v>
      </c>
      <c r="Z265" s="2">
        <f t="shared" si="202"/>
        <v>1012000</v>
      </c>
      <c r="AA265" s="2">
        <f t="shared" si="180"/>
        <v>1138500</v>
      </c>
      <c r="AB265" s="2">
        <f t="shared" si="180"/>
        <v>1265000</v>
      </c>
      <c r="AC265" s="2">
        <f t="shared" si="180"/>
        <v>1391500</v>
      </c>
      <c r="AD265" s="2">
        <f t="shared" si="180"/>
        <v>1518000</v>
      </c>
      <c r="AE265" s="2">
        <f t="shared" si="180"/>
        <v>1138500</v>
      </c>
      <c r="AG265">
        <f t="shared" si="188"/>
        <v>253</v>
      </c>
      <c r="AH265" s="6">
        <f t="shared" si="189"/>
        <v>5.8019723344116996E-3</v>
      </c>
      <c r="AI265" s="6">
        <f t="shared" si="190"/>
        <v>2.1854684804615564E-2</v>
      </c>
      <c r="AJ265" s="6">
        <f t="shared" si="191"/>
        <v>4.4817663721090022E-2</v>
      </c>
      <c r="AK265" s="6">
        <f t="shared" si="192"/>
        <v>7.0885893647507997E-2</v>
      </c>
      <c r="AL265" s="6">
        <f t="shared" si="193"/>
        <v>9.700048260424686E-2</v>
      </c>
      <c r="AM265" s="6">
        <f t="shared" si="194"/>
        <v>0.12126883123048275</v>
      </c>
      <c r="AN265" s="6">
        <f t="shared" si="195"/>
        <v>0.14281293723745753</v>
      </c>
      <c r="AO265" s="6">
        <f t="shared" si="196"/>
        <v>0.16142625978833025</v>
      </c>
      <c r="AP265" s="6">
        <f t="shared" si="197"/>
        <v>0.17726609876406549</v>
      </c>
      <c r="AQ265" s="6">
        <f t="shared" si="198"/>
        <v>0.19064719358361928</v>
      </c>
      <c r="AR265" s="6">
        <f t="shared" si="199"/>
        <v>0.20192491087186018</v>
      </c>
      <c r="AS265" s="6">
        <f t="shared" si="200"/>
        <v>0.21143796129295264</v>
      </c>
      <c r="AT265" s="6">
        <f t="shared" si="201"/>
        <v>0.28026403060030841</v>
      </c>
      <c r="AW265" s="3">
        <f t="shared" si="172"/>
        <v>5060</v>
      </c>
      <c r="AX265" s="3">
        <f t="shared" si="169"/>
        <v>372</v>
      </c>
      <c r="AY265" s="3">
        <f t="shared" si="170"/>
        <v>1882320</v>
      </c>
      <c r="AZ265" s="13">
        <f t="shared" si="171"/>
        <v>0.20674267601088953</v>
      </c>
      <c r="BA265" s="3">
        <f t="shared" si="178"/>
        <v>389155.87390881759</v>
      </c>
      <c r="BB265" s="3">
        <f t="shared" si="179"/>
        <v>389015.52692397014</v>
      </c>
      <c r="BC265" s="3">
        <f t="shared" si="166"/>
        <v>388686.40019599226</v>
      </c>
      <c r="BD265" s="3">
        <f t="shared" si="167"/>
        <v>778025.6</v>
      </c>
    </row>
    <row r="266" spans="3:56" x14ac:dyDescent="0.45">
      <c r="C266">
        <f t="shared" si="185"/>
        <v>254</v>
      </c>
      <c r="D266" s="2">
        <f t="shared" si="203"/>
        <v>734.0685627471471</v>
      </c>
      <c r="E266" s="2">
        <f t="shared" si="203"/>
        <v>5532.6154177955914</v>
      </c>
      <c r="F266" s="2">
        <f t="shared" si="203"/>
        <v>17029.639587610563</v>
      </c>
      <c r="G266" s="2">
        <f t="shared" si="203"/>
        <v>35939.480900595889</v>
      </c>
      <c r="H266" s="2">
        <f t="shared" si="203"/>
        <v>61519.6260074042</v>
      </c>
      <c r="I266" s="2">
        <f t="shared" si="203"/>
        <v>92356.138871580391</v>
      </c>
      <c r="J266" s="2">
        <f t="shared" si="203"/>
        <v>126967.75735144372</v>
      </c>
      <c r="K266" s="2">
        <f t="shared" si="203"/>
        <v>164103.92709958236</v>
      </c>
      <c r="L266" s="2">
        <f t="shared" si="203"/>
        <v>202822.54221905916</v>
      </c>
      <c r="M266" s="2">
        <f t="shared" si="203"/>
        <v>242460.91456183739</v>
      </c>
      <c r="N266" s="2">
        <f t="shared" si="203"/>
        <v>282573.5990893612</v>
      </c>
      <c r="O266" s="2">
        <f t="shared" si="203"/>
        <v>322871.24916100956</v>
      </c>
      <c r="P266" s="2">
        <f t="shared" si="186"/>
        <v>321606.97711263195</v>
      </c>
      <c r="R266">
        <f t="shared" si="187"/>
        <v>254</v>
      </c>
      <c r="S266" s="2">
        <f t="shared" si="202"/>
        <v>127000</v>
      </c>
      <c r="T266" s="2">
        <f t="shared" si="202"/>
        <v>254000</v>
      </c>
      <c r="U266" s="2">
        <f t="shared" si="202"/>
        <v>381000</v>
      </c>
      <c r="V266" s="2">
        <f t="shared" si="202"/>
        <v>508000</v>
      </c>
      <c r="W266" s="2">
        <f t="shared" si="202"/>
        <v>635000</v>
      </c>
      <c r="X266" s="2">
        <f t="shared" si="202"/>
        <v>762000</v>
      </c>
      <c r="Y266" s="2">
        <f t="shared" si="202"/>
        <v>889000</v>
      </c>
      <c r="Z266" s="2">
        <f t="shared" si="202"/>
        <v>1016000</v>
      </c>
      <c r="AA266" s="2">
        <f t="shared" si="180"/>
        <v>1143000</v>
      </c>
      <c r="AB266" s="2">
        <f t="shared" si="180"/>
        <v>1270000</v>
      </c>
      <c r="AC266" s="2">
        <f t="shared" si="180"/>
        <v>1397000</v>
      </c>
      <c r="AD266" s="2">
        <f t="shared" si="180"/>
        <v>1524000</v>
      </c>
      <c r="AE266" s="2">
        <f t="shared" si="180"/>
        <v>1143000</v>
      </c>
      <c r="AG266">
        <f t="shared" si="188"/>
        <v>254</v>
      </c>
      <c r="AH266" s="6">
        <f t="shared" si="189"/>
        <v>5.7800674232058825E-3</v>
      </c>
      <c r="AI266" s="6">
        <f t="shared" si="190"/>
        <v>2.1781950463762172E-2</v>
      </c>
      <c r="AJ266" s="6">
        <f t="shared" si="191"/>
        <v>4.4697216765382054E-2</v>
      </c>
      <c r="AK266" s="6">
        <f t="shared" si="192"/>
        <v>7.0747009646842302E-2</v>
      </c>
      <c r="AL266" s="6">
        <f t="shared" si="193"/>
        <v>9.6881300799061737E-2</v>
      </c>
      <c r="AM266" s="6">
        <f t="shared" si="194"/>
        <v>0.1212022819837013</v>
      </c>
      <c r="AN266" s="6">
        <f t="shared" si="195"/>
        <v>0.1428208744110728</v>
      </c>
      <c r="AO266" s="6">
        <f t="shared" si="196"/>
        <v>0.16151961328699052</v>
      </c>
      <c r="AP266" s="6">
        <f t="shared" si="197"/>
        <v>0.17744754349873942</v>
      </c>
      <c r="AQ266" s="6">
        <f t="shared" si="198"/>
        <v>0.19091410595420266</v>
      </c>
      <c r="AR266" s="6">
        <f t="shared" si="199"/>
        <v>0.20227172447341532</v>
      </c>
      <c r="AS266" s="6">
        <f t="shared" si="200"/>
        <v>0.21185777504003253</v>
      </c>
      <c r="AT266" s="6">
        <f t="shared" si="201"/>
        <v>0.28137093360685211</v>
      </c>
      <c r="AW266" s="3">
        <f t="shared" si="172"/>
        <v>5080</v>
      </c>
      <c r="AX266" s="3">
        <f t="shared" si="169"/>
        <v>373</v>
      </c>
      <c r="AY266" s="3">
        <f t="shared" si="170"/>
        <v>1894840</v>
      </c>
      <c r="AZ266" s="13">
        <f t="shared" si="171"/>
        <v>0.20729843433518041</v>
      </c>
      <c r="BA266" s="3">
        <f t="shared" si="178"/>
        <v>392797.36531567323</v>
      </c>
      <c r="BB266" s="3">
        <f t="shared" si="179"/>
        <v>392903.20085996488</v>
      </c>
      <c r="BC266" s="3">
        <f t="shared" si="166"/>
        <v>392818.32773271063</v>
      </c>
      <c r="BD266" s="3">
        <f t="shared" si="167"/>
        <v>785305.91111111105</v>
      </c>
    </row>
    <row r="267" spans="3:56" x14ac:dyDescent="0.45">
      <c r="C267">
        <f t="shared" si="185"/>
        <v>255</v>
      </c>
      <c r="D267" s="2">
        <f t="shared" si="203"/>
        <v>734.18626516231427</v>
      </c>
      <c r="E267" s="2">
        <f t="shared" si="203"/>
        <v>5535.9599541438292</v>
      </c>
      <c r="F267" s="2">
        <f t="shared" si="203"/>
        <v>17050.777928312618</v>
      </c>
      <c r="G267" s="2">
        <f t="shared" si="203"/>
        <v>36010.14179551656</v>
      </c>
      <c r="H267" s="2">
        <f t="shared" si="203"/>
        <v>61685.381692197312</v>
      </c>
      <c r="I267" s="2">
        <f t="shared" si="203"/>
        <v>92667.65834484731</v>
      </c>
      <c r="J267" s="2">
        <f t="shared" si="203"/>
        <v>127472.71521358205</v>
      </c>
      <c r="K267" s="2">
        <f t="shared" si="203"/>
        <v>164842.40998642979</v>
      </c>
      <c r="L267" s="2">
        <f t="shared" si="203"/>
        <v>203825.71370089077</v>
      </c>
      <c r="M267" s="2">
        <f t="shared" si="203"/>
        <v>243751.63375337745</v>
      </c>
      <c r="N267" s="2">
        <f t="shared" si="203"/>
        <v>284167.84874141455</v>
      </c>
      <c r="O267" s="2">
        <f t="shared" si="203"/>
        <v>324779.69345964363</v>
      </c>
      <c r="P267" s="2">
        <f t="shared" si="186"/>
        <v>324143.31363946799</v>
      </c>
      <c r="R267">
        <f t="shared" si="187"/>
        <v>255</v>
      </c>
      <c r="S267" s="2">
        <f t="shared" si="202"/>
        <v>127500</v>
      </c>
      <c r="T267" s="2">
        <f t="shared" si="202"/>
        <v>255000</v>
      </c>
      <c r="U267" s="2">
        <f t="shared" si="202"/>
        <v>382500</v>
      </c>
      <c r="V267" s="2">
        <f t="shared" si="202"/>
        <v>510000</v>
      </c>
      <c r="W267" s="2">
        <f t="shared" si="202"/>
        <v>637500</v>
      </c>
      <c r="X267" s="2">
        <f t="shared" si="202"/>
        <v>765000</v>
      </c>
      <c r="Y267" s="2">
        <f t="shared" si="202"/>
        <v>892500</v>
      </c>
      <c r="Z267" s="2">
        <f t="shared" si="202"/>
        <v>1020000</v>
      </c>
      <c r="AA267" s="2">
        <f t="shared" si="180"/>
        <v>1147500</v>
      </c>
      <c r="AB267" s="2">
        <f t="shared" si="180"/>
        <v>1275000</v>
      </c>
      <c r="AC267" s="2">
        <f t="shared" si="180"/>
        <v>1402500</v>
      </c>
      <c r="AD267" s="2">
        <f t="shared" si="180"/>
        <v>1530000</v>
      </c>
      <c r="AE267" s="2">
        <f t="shared" si="180"/>
        <v>1147500</v>
      </c>
      <c r="AG267">
        <f t="shared" si="188"/>
        <v>255</v>
      </c>
      <c r="AH267" s="6">
        <f t="shared" si="189"/>
        <v>5.758323648331877E-3</v>
      </c>
      <c r="AI267" s="6">
        <f t="shared" si="190"/>
        <v>2.170964687899541E-2</v>
      </c>
      <c r="AJ267" s="6">
        <f t="shared" si="191"/>
        <v>4.4577197198202925E-2</v>
      </c>
      <c r="AK267" s="6">
        <f t="shared" si="192"/>
        <v>7.0608121167679533E-2</v>
      </c>
      <c r="AL267" s="6">
        <f t="shared" si="193"/>
        <v>9.6761383046584021E-2</v>
      </c>
      <c r="AM267" s="6">
        <f t="shared" si="194"/>
        <v>0.12113419391483309</v>
      </c>
      <c r="AN267" s="6">
        <f t="shared" si="195"/>
        <v>0.14282657166787904</v>
      </c>
      <c r="AO267" s="6">
        <f t="shared" si="196"/>
        <v>0.16161020586904881</v>
      </c>
      <c r="AP267" s="6">
        <f t="shared" si="197"/>
        <v>0.17762589429271528</v>
      </c>
      <c r="AQ267" s="6">
        <f t="shared" si="198"/>
        <v>0.19117775196343328</v>
      </c>
      <c r="AR267" s="6">
        <f t="shared" si="199"/>
        <v>0.20261522191901216</v>
      </c>
      <c r="AS267" s="6">
        <f t="shared" si="200"/>
        <v>0.21227430945074746</v>
      </c>
      <c r="AT267" s="6">
        <f t="shared" si="201"/>
        <v>0.28247783323700915</v>
      </c>
      <c r="AW267" s="3">
        <f t="shared" si="172"/>
        <v>5100</v>
      </c>
      <c r="AX267" s="3">
        <f t="shared" si="169"/>
        <v>374</v>
      </c>
      <c r="AY267" s="3">
        <f t="shared" si="170"/>
        <v>1907400</v>
      </c>
      <c r="AZ267" s="13">
        <f t="shared" si="171"/>
        <v>0.2078541926594713</v>
      </c>
      <c r="BA267" s="3">
        <f t="shared" si="178"/>
        <v>396461.08707867557</v>
      </c>
      <c r="BB267" s="3">
        <f t="shared" si="179"/>
        <v>396816.22220651322</v>
      </c>
      <c r="BC267" s="3">
        <f t="shared" si="166"/>
        <v>396978.39468375186</v>
      </c>
      <c r="BD267" s="3">
        <f t="shared" si="167"/>
        <v>792630.66666666674</v>
      </c>
    </row>
    <row r="268" spans="3:56" x14ac:dyDescent="0.45">
      <c r="C268">
        <f t="shared" si="185"/>
        <v>256</v>
      </c>
      <c r="D268" s="2">
        <f t="shared" si="203"/>
        <v>734.30262803973255</v>
      </c>
      <c r="E268" s="2">
        <f t="shared" si="203"/>
        <v>5539.2693486478029</v>
      </c>
      <c r="F268" s="2">
        <f t="shared" si="203"/>
        <v>17071.720661175503</v>
      </c>
      <c r="G268" s="2">
        <f t="shared" si="203"/>
        <v>36080.24978121031</v>
      </c>
      <c r="H268" s="2">
        <f t="shared" si="203"/>
        <v>61850.078667045542</v>
      </c>
      <c r="I268" s="2">
        <f t="shared" si="203"/>
        <v>92977.606040638595</v>
      </c>
      <c r="J268" s="2">
        <f t="shared" si="203"/>
        <v>127975.72903977083</v>
      </c>
      <c r="K268" s="2">
        <f t="shared" si="203"/>
        <v>165578.81519683683</v>
      </c>
      <c r="L268" s="2">
        <f t="shared" si="203"/>
        <v>204826.9502035855</v>
      </c>
      <c r="M268" s="2">
        <f t="shared" si="203"/>
        <v>245040.8302130879</v>
      </c>
      <c r="N268" s="2">
        <f t="shared" si="203"/>
        <v>285761.22619976936</v>
      </c>
      <c r="O268" s="2">
        <f t="shared" si="203"/>
        <v>326688.11394132138</v>
      </c>
      <c r="P268" s="2">
        <f t="shared" si="186"/>
        <v>326689.6083886433</v>
      </c>
      <c r="R268">
        <f t="shared" si="187"/>
        <v>256</v>
      </c>
      <c r="S268" s="2">
        <f t="shared" si="202"/>
        <v>128000</v>
      </c>
      <c r="T268" s="2">
        <f t="shared" si="202"/>
        <v>256000</v>
      </c>
      <c r="U268" s="2">
        <f t="shared" si="202"/>
        <v>384000</v>
      </c>
      <c r="V268" s="2">
        <f t="shared" si="202"/>
        <v>512000</v>
      </c>
      <c r="W268" s="2">
        <f t="shared" si="202"/>
        <v>640000</v>
      </c>
      <c r="X268" s="2">
        <f t="shared" si="202"/>
        <v>768000</v>
      </c>
      <c r="Y268" s="2">
        <f t="shared" si="202"/>
        <v>896000</v>
      </c>
      <c r="Z268" s="2">
        <f t="shared" si="202"/>
        <v>1024000</v>
      </c>
      <c r="AA268" s="2">
        <f t="shared" si="180"/>
        <v>1152000</v>
      </c>
      <c r="AB268" s="2">
        <f t="shared" si="180"/>
        <v>1280000</v>
      </c>
      <c r="AC268" s="2">
        <f t="shared" si="180"/>
        <v>1408000</v>
      </c>
      <c r="AD268" s="2">
        <f t="shared" si="180"/>
        <v>1536000</v>
      </c>
      <c r="AE268" s="2">
        <f t="shared" si="180"/>
        <v>1152000</v>
      </c>
      <c r="AG268">
        <f t="shared" si="188"/>
        <v>256</v>
      </c>
      <c r="AH268" s="6">
        <f t="shared" si="189"/>
        <v>5.7367392815604107E-3</v>
      </c>
      <c r="AI268" s="6">
        <f t="shared" si="190"/>
        <v>2.1637770893155481E-2</v>
      </c>
      <c r="AJ268" s="6">
        <f t="shared" si="191"/>
        <v>4.4457605888477872E-2</v>
      </c>
      <c r="AK268" s="6">
        <f t="shared" si="192"/>
        <v>7.0469237853926392E-2</v>
      </c>
      <c r="AL268" s="6">
        <f t="shared" si="193"/>
        <v>9.6640747917258657E-2</v>
      </c>
      <c r="AM268" s="6">
        <f t="shared" si="194"/>
        <v>0.12106459119874817</v>
      </c>
      <c r="AN268" s="6">
        <f t="shared" si="195"/>
        <v>0.14283005473188709</v>
      </c>
      <c r="AO268" s="6">
        <f t="shared" si="196"/>
        <v>0.16169806171566098</v>
      </c>
      <c r="AP268" s="6">
        <f t="shared" si="197"/>
        <v>0.17780117205172352</v>
      </c>
      <c r="AQ268" s="6">
        <f t="shared" si="198"/>
        <v>0.19143814860397493</v>
      </c>
      <c r="AR268" s="6">
        <f t="shared" si="199"/>
        <v>0.20295541633506348</v>
      </c>
      <c r="AS268" s="6">
        <f t="shared" si="200"/>
        <v>0.21268757418054776</v>
      </c>
      <c r="AT268" s="6">
        <f t="shared" si="201"/>
        <v>0.28358472950403063</v>
      </c>
      <c r="AW268" s="3">
        <f t="shared" si="172"/>
        <v>5120</v>
      </c>
      <c r="AX268" s="3">
        <f t="shared" si="169"/>
        <v>376</v>
      </c>
      <c r="AY268" s="3">
        <f t="shared" si="170"/>
        <v>1925120</v>
      </c>
      <c r="AZ268" s="13">
        <f t="shared" si="171"/>
        <v>0.20896570930805308</v>
      </c>
      <c r="BA268" s="3">
        <f t="shared" si="178"/>
        <v>402284.06630311912</v>
      </c>
      <c r="BB268" s="3">
        <f t="shared" si="179"/>
        <v>402358.7586531369</v>
      </c>
      <c r="BC268" s="3">
        <f t="shared" si="166"/>
        <v>402238.16755333351</v>
      </c>
      <c r="BD268" s="3">
        <f t="shared" si="167"/>
        <v>804272.35555555555</v>
      </c>
    </row>
    <row r="269" spans="3:56" x14ac:dyDescent="0.45">
      <c r="C269">
        <f t="shared" si="185"/>
        <v>257</v>
      </c>
      <c r="D269" s="2">
        <f t="shared" si="203"/>
        <v>734.4176714888282</v>
      </c>
      <c r="E269" s="2">
        <f t="shared" si="203"/>
        <v>5542.5440774244444</v>
      </c>
      <c r="F269" s="2">
        <f t="shared" si="203"/>
        <v>17092.470014251525</v>
      </c>
      <c r="G269" s="2">
        <f t="shared" si="203"/>
        <v>36149.809729880275</v>
      </c>
      <c r="H269" s="2">
        <f t="shared" si="203"/>
        <v>62013.723294611947</v>
      </c>
      <c r="I269" s="2">
        <f t="shared" si="203"/>
        <v>93285.986756465994</v>
      </c>
      <c r="J269" s="2">
        <f t="shared" si="203"/>
        <v>128476.79854339226</v>
      </c>
      <c r="K269" s="2">
        <f t="shared" si="203"/>
        <v>166313.13463696992</v>
      </c>
      <c r="L269" s="2">
        <f t="shared" si="203"/>
        <v>205826.23438057708</v>
      </c>
      <c r="M269" s="2">
        <f t="shared" si="203"/>
        <v>246328.47706368423</v>
      </c>
      <c r="N269" s="2">
        <f t="shared" si="203"/>
        <v>287353.69559789723</v>
      </c>
      <c r="O269" s="2">
        <f t="shared" si="203"/>
        <v>328596.46675623982</v>
      </c>
      <c r="P269" s="2">
        <f t="shared" si="186"/>
        <v>329245.8613299607</v>
      </c>
      <c r="R269">
        <f t="shared" si="187"/>
        <v>257</v>
      </c>
      <c r="S269" s="2">
        <f t="shared" si="202"/>
        <v>128500</v>
      </c>
      <c r="T269" s="2">
        <f t="shared" si="202"/>
        <v>257000</v>
      </c>
      <c r="U269" s="2">
        <f t="shared" si="202"/>
        <v>385500</v>
      </c>
      <c r="V269" s="2">
        <f t="shared" si="202"/>
        <v>514000</v>
      </c>
      <c r="W269" s="2">
        <f t="shared" si="202"/>
        <v>642500</v>
      </c>
      <c r="X269" s="2">
        <f t="shared" si="202"/>
        <v>771000</v>
      </c>
      <c r="Y269" s="2">
        <f t="shared" si="202"/>
        <v>899500</v>
      </c>
      <c r="Z269" s="2">
        <f t="shared" si="202"/>
        <v>1028000</v>
      </c>
      <c r="AA269" s="2">
        <f t="shared" si="180"/>
        <v>1156500</v>
      </c>
      <c r="AB269" s="2">
        <f t="shared" si="180"/>
        <v>1285000</v>
      </c>
      <c r="AC269" s="2">
        <f t="shared" si="180"/>
        <v>1413500</v>
      </c>
      <c r="AD269" s="2">
        <f t="shared" si="180"/>
        <v>1542000</v>
      </c>
      <c r="AE269" s="2">
        <f t="shared" si="180"/>
        <v>1156500</v>
      </c>
      <c r="AG269">
        <f t="shared" si="188"/>
        <v>257</v>
      </c>
      <c r="AH269" s="6">
        <f t="shared" si="189"/>
        <v>5.7153126185901029E-3</v>
      </c>
      <c r="AI269" s="6">
        <f t="shared" si="190"/>
        <v>2.156631936741029E-2</v>
      </c>
      <c r="AJ269" s="6">
        <f t="shared" si="191"/>
        <v>4.4338443616735473E-2</v>
      </c>
      <c r="AK269" s="6">
        <f t="shared" si="192"/>
        <v>7.0330369124280687E-2</v>
      </c>
      <c r="AL269" s="6">
        <f t="shared" si="193"/>
        <v>9.6519413688111982E-2</v>
      </c>
      <c r="AM269" s="6">
        <f t="shared" si="194"/>
        <v>0.120993497738607</v>
      </c>
      <c r="AN269" s="6">
        <f t="shared" si="195"/>
        <v>0.14283134913106421</v>
      </c>
      <c r="AO269" s="6">
        <f t="shared" si="196"/>
        <v>0.16178320489977618</v>
      </c>
      <c r="AP269" s="6">
        <f t="shared" si="197"/>
        <v>0.17797339764857509</v>
      </c>
      <c r="AQ269" s="6">
        <f t="shared" si="198"/>
        <v>0.19169531289002664</v>
      </c>
      <c r="AR269" s="6">
        <f t="shared" si="199"/>
        <v>0.20329232090406596</v>
      </c>
      <c r="AS269" s="6">
        <f t="shared" si="200"/>
        <v>0.21309757895994799</v>
      </c>
      <c r="AT269" s="6">
        <f t="shared" si="201"/>
        <v>0.28469162242106416</v>
      </c>
      <c r="AW269" s="3">
        <f t="shared" si="172"/>
        <v>5140</v>
      </c>
      <c r="AX269" s="3">
        <f t="shared" si="169"/>
        <v>377</v>
      </c>
      <c r="AY269" s="3">
        <f t="shared" si="170"/>
        <v>1937780</v>
      </c>
      <c r="AZ269" s="13">
        <f t="shared" si="171"/>
        <v>0.20952146763234397</v>
      </c>
      <c r="BA269" s="3">
        <f t="shared" si="178"/>
        <v>406006.5095486035</v>
      </c>
      <c r="BB269" s="3">
        <f t="shared" si="179"/>
        <v>406334.27236839314</v>
      </c>
      <c r="BC269" s="3">
        <f t="shared" ref="BC269:BC278" si="204">IMPROVEMENT_V2*BL_MBPS*BL_KM^2*AW269^3*AX269^2/((EM_KM*AW269)^2+(2*PI()*AVG_SUN_DIST_KM*AX269)^2)</f>
        <v>406464.50536733953</v>
      </c>
      <c r="BD269" s="3">
        <f t="shared" ref="BD269:BD278" si="205">IMPROVEMENT_V2*BL_MBPS*BL_KM^2*AW269*AX269^2/EM_KM^2</f>
        <v>811714.51111111115</v>
      </c>
    </row>
    <row r="270" spans="3:56" x14ac:dyDescent="0.45">
      <c r="C270">
        <f t="shared" si="185"/>
        <v>258</v>
      </c>
      <c r="D270" s="2">
        <f t="shared" si="203"/>
        <v>734.53141524574096</v>
      </c>
      <c r="E270" s="2">
        <f t="shared" si="203"/>
        <v>5545.7846088210872</v>
      </c>
      <c r="F270" s="2">
        <f t="shared" si="203"/>
        <v>17113.028187100419</v>
      </c>
      <c r="G270" s="2">
        <f t="shared" si="203"/>
        <v>36218.826475136986</v>
      </c>
      <c r="H270" s="2">
        <f t="shared" si="203"/>
        <v>62176.321933545463</v>
      </c>
      <c r="I270" s="2">
        <f t="shared" si="203"/>
        <v>93592.805367829191</v>
      </c>
      <c r="J270" s="2">
        <f t="shared" si="203"/>
        <v>128975.92361812707</v>
      </c>
      <c r="K270" s="2">
        <f t="shared" si="203"/>
        <v>167045.36048510968</v>
      </c>
      <c r="L270" s="2">
        <f t="shared" si="203"/>
        <v>206823.54922058896</v>
      </c>
      <c r="M270" s="2">
        <f t="shared" si="203"/>
        <v>247614.54779341517</v>
      </c>
      <c r="N270" s="2">
        <f t="shared" si="203"/>
        <v>288945.22143635486</v>
      </c>
      <c r="O270" s="2">
        <f t="shared" si="203"/>
        <v>330504.70840203419</v>
      </c>
      <c r="P270" s="2">
        <f t="shared" si="186"/>
        <v>331812.07243333937</v>
      </c>
      <c r="R270">
        <f t="shared" si="187"/>
        <v>258</v>
      </c>
      <c r="S270" s="2">
        <f t="shared" si="202"/>
        <v>129000</v>
      </c>
      <c r="T270" s="2">
        <f t="shared" si="202"/>
        <v>258000</v>
      </c>
      <c r="U270" s="2">
        <f t="shared" si="202"/>
        <v>387000</v>
      </c>
      <c r="V270" s="2">
        <f t="shared" si="202"/>
        <v>516000</v>
      </c>
      <c r="W270" s="2">
        <f t="shared" si="202"/>
        <v>645000</v>
      </c>
      <c r="X270" s="2">
        <f t="shared" si="202"/>
        <v>774000</v>
      </c>
      <c r="Y270" s="2">
        <f t="shared" si="202"/>
        <v>903000</v>
      </c>
      <c r="Z270" s="2">
        <f t="shared" si="202"/>
        <v>1032000</v>
      </c>
      <c r="AA270" s="2">
        <f t="shared" si="180"/>
        <v>1161000</v>
      </c>
      <c r="AB270" s="2">
        <f t="shared" si="180"/>
        <v>1290000</v>
      </c>
      <c r="AC270" s="2">
        <f t="shared" si="180"/>
        <v>1419000</v>
      </c>
      <c r="AD270" s="2">
        <f t="shared" si="180"/>
        <v>1548000</v>
      </c>
      <c r="AE270" s="2">
        <f t="shared" si="180"/>
        <v>1161000</v>
      </c>
      <c r="AG270">
        <f t="shared" si="188"/>
        <v>258</v>
      </c>
      <c r="AH270" s="6">
        <f t="shared" si="189"/>
        <v>5.6940419786491552E-3</v>
      </c>
      <c r="AI270" s="6">
        <f t="shared" si="190"/>
        <v>2.1495289181477081E-2</v>
      </c>
      <c r="AJ270" s="6">
        <f t="shared" si="191"/>
        <v>4.4219711077778862E-2</v>
      </c>
      <c r="AK270" s="6">
        <f t="shared" si="192"/>
        <v>7.0191524176622069E-2</v>
      </c>
      <c r="AL270" s="6">
        <f t="shared" si="193"/>
        <v>9.6397398346582119E-2</v>
      </c>
      <c r="AM270" s="6">
        <f t="shared" si="194"/>
        <v>0.12092093716773797</v>
      </c>
      <c r="AN270" s="6">
        <f t="shared" si="195"/>
        <v>0.14283048019726144</v>
      </c>
      <c r="AO270" s="6">
        <f t="shared" si="196"/>
        <v>0.16186565938479619</v>
      </c>
      <c r="AP270" s="6">
        <f t="shared" si="197"/>
        <v>0.17814259192126525</v>
      </c>
      <c r="AQ270" s="6">
        <f t="shared" si="198"/>
        <v>0.1919492618553606</v>
      </c>
      <c r="AR270" s="6">
        <f t="shared" si="199"/>
        <v>0.20362594886282936</v>
      </c>
      <c r="AS270" s="6">
        <f t="shared" si="200"/>
        <v>0.21350433359304535</v>
      </c>
      <c r="AT270" s="6">
        <f t="shared" si="201"/>
        <v>0.28579851200115364</v>
      </c>
      <c r="AW270" s="3">
        <f t="shared" si="172"/>
        <v>5160</v>
      </c>
      <c r="AX270" s="3">
        <f t="shared" ref="AX270:AX278" si="206">ROUND($BB$7*AW270,0)</f>
        <v>379</v>
      </c>
      <c r="AY270" s="3">
        <f t="shared" ref="AY270:AY278" si="207">AW270*AX270</f>
        <v>1955640</v>
      </c>
      <c r="AZ270" s="13">
        <f t="shared" ref="AZ270:AZ278" si="208">$AX$7*AX270+$AY$7</f>
        <v>0.21063298428092575</v>
      </c>
      <c r="BA270" s="3">
        <f t="shared" si="178"/>
        <v>411922.28937914962</v>
      </c>
      <c r="BB270" s="3">
        <f t="shared" si="179"/>
        <v>411964.80803009728</v>
      </c>
      <c r="BC270" s="3">
        <f t="shared" si="204"/>
        <v>411807.39022787672</v>
      </c>
      <c r="BD270" s="3">
        <f t="shared" si="205"/>
        <v>823541.7333333334</v>
      </c>
    </row>
    <row r="271" spans="3:56" x14ac:dyDescent="0.45">
      <c r="C271">
        <f t="shared" si="185"/>
        <v>259</v>
      </c>
      <c r="D271" s="2">
        <f t="shared" si="203"/>
        <v>734.64387868154859</v>
      </c>
      <c r="E271" s="2">
        <f t="shared" si="203"/>
        <v>5548.9914035611982</v>
      </c>
      <c r="F271" s="2">
        <f t="shared" si="203"/>
        <v>17133.397351156622</v>
      </c>
      <c r="G271" s="2">
        <f t="shared" si="203"/>
        <v>36287.30481202458</v>
      </c>
      <c r="H271" s="2">
        <f t="shared" si="203"/>
        <v>62337.880937321454</v>
      </c>
      <c r="I271" s="2">
        <f t="shared" si="203"/>
        <v>93898.066825642818</v>
      </c>
      <c r="J271" s="2">
        <f t="shared" si="203"/>
        <v>129473.1043344979</v>
      </c>
      <c r="K271" s="2">
        <f t="shared" si="203"/>
        <v>167775.48518812124</v>
      </c>
      <c r="L271" s="2">
        <f t="shared" si="203"/>
        <v>207818.87804468695</v>
      </c>
      <c r="M271" s="2">
        <f t="shared" si="203"/>
        <v>248899.0162540458</v>
      </c>
      <c r="N271" s="2">
        <f t="shared" si="203"/>
        <v>290535.76858177816</v>
      </c>
      <c r="O271" s="2">
        <f t="shared" si="203"/>
        <v>332412.79572369723</v>
      </c>
      <c r="P271" s="2">
        <f t="shared" si="186"/>
        <v>334388.24166881805</v>
      </c>
      <c r="R271">
        <f t="shared" si="187"/>
        <v>259</v>
      </c>
      <c r="S271" s="2">
        <f t="shared" si="202"/>
        <v>129500</v>
      </c>
      <c r="T271" s="2">
        <f t="shared" si="202"/>
        <v>259000</v>
      </c>
      <c r="U271" s="2">
        <f t="shared" si="202"/>
        <v>388500</v>
      </c>
      <c r="V271" s="2">
        <f t="shared" si="202"/>
        <v>518000</v>
      </c>
      <c r="W271" s="2">
        <f t="shared" si="202"/>
        <v>647500</v>
      </c>
      <c r="X271" s="2">
        <f t="shared" si="202"/>
        <v>777000</v>
      </c>
      <c r="Y271" s="2">
        <f t="shared" si="202"/>
        <v>906500</v>
      </c>
      <c r="Z271" s="2">
        <f t="shared" si="202"/>
        <v>1036000</v>
      </c>
      <c r="AA271" s="2">
        <f t="shared" si="180"/>
        <v>1165500</v>
      </c>
      <c r="AB271" s="2">
        <f t="shared" si="180"/>
        <v>1295000</v>
      </c>
      <c r="AC271" s="2">
        <f t="shared" si="180"/>
        <v>1424500</v>
      </c>
      <c r="AD271" s="2">
        <f t="shared" si="180"/>
        <v>1554000</v>
      </c>
      <c r="AE271" s="2">
        <f t="shared" si="180"/>
        <v>1165500</v>
      </c>
      <c r="AG271">
        <f t="shared" si="188"/>
        <v>259</v>
      </c>
      <c r="AH271" s="6">
        <f t="shared" si="189"/>
        <v>5.6729257041046224E-3</v>
      </c>
      <c r="AI271" s="6">
        <f t="shared" si="190"/>
        <v>2.142467723382702E-2</v>
      </c>
      <c r="AJ271" s="6">
        <f t="shared" si="191"/>
        <v>4.4101408883286029E-2</v>
      </c>
      <c r="AK271" s="6">
        <f t="shared" si="192"/>
        <v>7.0052711992325448E-2</v>
      </c>
      <c r="AL271" s="6">
        <f t="shared" si="193"/>
        <v>9.6274719594318853E-2</v>
      </c>
      <c r="AM271" s="6">
        <f t="shared" si="194"/>
        <v>0.12084693285153515</v>
      </c>
      <c r="AN271" s="6">
        <f t="shared" si="195"/>
        <v>0.14282747306618632</v>
      </c>
      <c r="AO271" s="6">
        <f t="shared" si="196"/>
        <v>0.16194544902328306</v>
      </c>
      <c r="AP271" s="6">
        <f t="shared" si="197"/>
        <v>0.17830877567111708</v>
      </c>
      <c r="AQ271" s="6">
        <f t="shared" si="198"/>
        <v>0.19220001255138672</v>
      </c>
      <c r="AR271" s="6">
        <f t="shared" si="199"/>
        <v>0.20395631350072177</v>
      </c>
      <c r="AS271" s="6">
        <f t="shared" si="200"/>
        <v>0.21390784795604711</v>
      </c>
      <c r="AT271" s="6">
        <f t="shared" si="201"/>
        <v>0.28690539825724415</v>
      </c>
      <c r="AW271" s="3">
        <f t="shared" ref="AW271:AW278" si="209">AW270+$AW$13</f>
        <v>5180</v>
      </c>
      <c r="AX271" s="3">
        <f t="shared" si="206"/>
        <v>380</v>
      </c>
      <c r="AY271" s="3">
        <f t="shared" si="207"/>
        <v>1968400</v>
      </c>
      <c r="AZ271" s="13">
        <f t="shared" si="208"/>
        <v>0.21118874260521664</v>
      </c>
      <c r="BA271" s="3">
        <f t="shared" si="178"/>
        <v>415703.92094410845</v>
      </c>
      <c r="BB271" s="3">
        <f t="shared" si="179"/>
        <v>416003.30915222003</v>
      </c>
      <c r="BC271" s="3">
        <f t="shared" si="204"/>
        <v>416100.52250481612</v>
      </c>
      <c r="BD271" s="3">
        <f t="shared" si="205"/>
        <v>831102.22222222225</v>
      </c>
    </row>
    <row r="272" spans="3:56" x14ac:dyDescent="0.45">
      <c r="C272">
        <f t="shared" si="185"/>
        <v>260</v>
      </c>
      <c r="D272" s="2">
        <f t="shared" si="203"/>
        <v>734.75508081028079</v>
      </c>
      <c r="E272" s="2">
        <f t="shared" si="203"/>
        <v>5552.1649148870802</v>
      </c>
      <c r="F272" s="2">
        <f t="shared" si="203"/>
        <v>17153.579650092826</v>
      </c>
      <c r="G272" s="2">
        <f t="shared" si="203"/>
        <v>36355.249497058932</v>
      </c>
      <c r="H272" s="2">
        <f t="shared" si="203"/>
        <v>62498.406653119149</v>
      </c>
      <c r="I272" s="2">
        <f t="shared" si="203"/>
        <v>94201.776153712257</v>
      </c>
      <c r="J272" s="2">
        <f t="shared" si="203"/>
        <v>129968.34093645295</v>
      </c>
      <c r="K272" s="2">
        <f t="shared" si="203"/>
        <v>168503.50145794239</v>
      </c>
      <c r="L272" s="2">
        <f t="shared" si="203"/>
        <v>208812.20450332647</v>
      </c>
      <c r="M272" s="2">
        <f t="shared" si="203"/>
        <v>250181.85665881768</v>
      </c>
      <c r="N272" s="2">
        <f t="shared" si="203"/>
        <v>292125.30226584303</v>
      </c>
      <c r="O272" s="2">
        <f t="shared" si="203"/>
        <v>334320.68591345951</v>
      </c>
      <c r="P272" s="2">
        <f t="shared" si="186"/>
        <v>336974.36900655006</v>
      </c>
      <c r="R272">
        <f t="shared" si="187"/>
        <v>260</v>
      </c>
      <c r="S272" s="2">
        <f t="shared" si="202"/>
        <v>130000</v>
      </c>
      <c r="T272" s="2">
        <f t="shared" si="202"/>
        <v>260000</v>
      </c>
      <c r="U272" s="2">
        <f t="shared" si="202"/>
        <v>390000</v>
      </c>
      <c r="V272" s="2">
        <f t="shared" si="202"/>
        <v>520000</v>
      </c>
      <c r="W272" s="2">
        <f t="shared" si="202"/>
        <v>650000</v>
      </c>
      <c r="X272" s="2">
        <f t="shared" si="202"/>
        <v>780000</v>
      </c>
      <c r="Y272" s="2">
        <f t="shared" si="202"/>
        <v>910000</v>
      </c>
      <c r="Z272" s="2">
        <f t="shared" si="202"/>
        <v>1040000</v>
      </c>
      <c r="AA272" s="2">
        <f t="shared" si="180"/>
        <v>1170000</v>
      </c>
      <c r="AB272" s="2">
        <f t="shared" si="180"/>
        <v>1300000</v>
      </c>
      <c r="AC272" s="2">
        <f t="shared" si="180"/>
        <v>1430000</v>
      </c>
      <c r="AD272" s="2">
        <f t="shared" si="180"/>
        <v>1560000</v>
      </c>
      <c r="AE272" s="2">
        <f t="shared" si="180"/>
        <v>1170000</v>
      </c>
      <c r="AG272">
        <f t="shared" si="188"/>
        <v>260</v>
      </c>
      <c r="AH272" s="6">
        <f t="shared" si="189"/>
        <v>5.6519621600790828E-3</v>
      </c>
      <c r="AI272" s="6">
        <f t="shared" si="190"/>
        <v>2.1354480441873384E-2</v>
      </c>
      <c r="AJ272" s="6">
        <f t="shared" si="191"/>
        <v>4.3983537564340577E-2</v>
      </c>
      <c r="AK272" s="6">
        <f t="shared" si="192"/>
        <v>6.9913941340497943E-2</v>
      </c>
      <c r="AL272" s="6">
        <f t="shared" si="193"/>
        <v>9.6151394850952532E-2</v>
      </c>
      <c r="AM272" s="6">
        <f t="shared" si="194"/>
        <v>0.12077150788937469</v>
      </c>
      <c r="AN272" s="6">
        <f t="shared" si="195"/>
        <v>0.14282235267742083</v>
      </c>
      <c r="AO272" s="6">
        <f t="shared" si="196"/>
        <v>0.16202259755571383</v>
      </c>
      <c r="AP272" s="6">
        <f t="shared" si="197"/>
        <v>0.17847196966096279</v>
      </c>
      <c r="AQ272" s="6">
        <f t="shared" si="198"/>
        <v>0.19244758204524437</v>
      </c>
      <c r="AR272" s="6">
        <f t="shared" si="199"/>
        <v>0.20428342815793218</v>
      </c>
      <c r="AS272" s="6">
        <f t="shared" si="200"/>
        <v>0.21430813199580739</v>
      </c>
      <c r="AT272" s="6">
        <f t="shared" si="201"/>
        <v>0.28801228120217953</v>
      </c>
      <c r="AW272" s="3">
        <f t="shared" si="209"/>
        <v>5200</v>
      </c>
      <c r="AX272" s="3">
        <f t="shared" si="206"/>
        <v>382</v>
      </c>
      <c r="AY272" s="3">
        <f t="shared" si="207"/>
        <v>1986400</v>
      </c>
      <c r="AZ272" s="13">
        <f t="shared" si="208"/>
        <v>0.21230025925379842</v>
      </c>
      <c r="BA272" s="3">
        <f t="shared" si="178"/>
        <v>421713.23498174519</v>
      </c>
      <c r="BB272" s="3">
        <f t="shared" si="179"/>
        <v>421722.5370822855</v>
      </c>
      <c r="BC272" s="3">
        <f t="shared" si="204"/>
        <v>421527.1708001353</v>
      </c>
      <c r="BD272" s="3">
        <f t="shared" si="205"/>
        <v>843116.44444444438</v>
      </c>
    </row>
    <row r="273" spans="1:56" x14ac:dyDescent="0.45">
      <c r="C273">
        <f t="shared" si="185"/>
        <v>261</v>
      </c>
      <c r="D273" s="2">
        <f t="shared" ref="D273:O278" si="210">$C$7*BL_MBPS*BL_KM^2*D$12^3*$C273^2/((EM_KM*D$12)^2+(2*PI()*AVG_SUN_DIST_KM*$C273)^2)</f>
        <v>734.86504029673222</v>
      </c>
      <c r="E273" s="2">
        <f t="shared" si="210"/>
        <v>5555.3055886996281</v>
      </c>
      <c r="F273" s="2">
        <f t="shared" si="210"/>
        <v>17173.577200179974</v>
      </c>
      <c r="G273" s="2">
        <f t="shared" si="210"/>
        <v>36422.665248277495</v>
      </c>
      <c r="H273" s="2">
        <f t="shared" si="210"/>
        <v>62657.905420734984</v>
      </c>
      <c r="I273" s="2">
        <f t="shared" si="210"/>
        <v>94503.938446257758</v>
      </c>
      <c r="J273" s="2">
        <f t="shared" si="210"/>
        <v>130461.63383798947</v>
      </c>
      <c r="K273" s="2">
        <f t="shared" si="210"/>
        <v>169229.40226809122</v>
      </c>
      <c r="L273" s="2">
        <f t="shared" si="210"/>
        <v>209803.51257339606</v>
      </c>
      <c r="M273" s="2">
        <f t="shared" si="210"/>
        <v>251463.04358038635</v>
      </c>
      <c r="N273" s="2">
        <f t="shared" si="210"/>
        <v>293713.78808419191</v>
      </c>
      <c r="O273" s="2">
        <f t="shared" si="210"/>
        <v>336228.3365106312</v>
      </c>
      <c r="P273" s="2">
        <f t="shared" si="186"/>
        <v>339570.45441680436</v>
      </c>
      <c r="R273">
        <f t="shared" si="187"/>
        <v>261</v>
      </c>
      <c r="S273" s="2">
        <f t="shared" si="202"/>
        <v>130500</v>
      </c>
      <c r="T273" s="2">
        <f t="shared" si="202"/>
        <v>261000</v>
      </c>
      <c r="U273" s="2">
        <f t="shared" si="202"/>
        <v>391500</v>
      </c>
      <c r="V273" s="2">
        <f t="shared" si="202"/>
        <v>522000</v>
      </c>
      <c r="W273" s="2">
        <f t="shared" si="202"/>
        <v>652500</v>
      </c>
      <c r="X273" s="2">
        <f t="shared" si="202"/>
        <v>783000</v>
      </c>
      <c r="Y273" s="2">
        <f t="shared" si="202"/>
        <v>913500</v>
      </c>
      <c r="Z273" s="2">
        <f t="shared" si="202"/>
        <v>1044000</v>
      </c>
      <c r="AA273" s="2">
        <f t="shared" si="180"/>
        <v>1174500</v>
      </c>
      <c r="AB273" s="2">
        <f t="shared" si="180"/>
        <v>1305000</v>
      </c>
      <c r="AC273" s="2">
        <f t="shared" si="180"/>
        <v>1435500</v>
      </c>
      <c r="AD273" s="2">
        <f t="shared" si="180"/>
        <v>1566000</v>
      </c>
      <c r="AE273" s="2">
        <f t="shared" si="180"/>
        <v>1174500</v>
      </c>
      <c r="AG273">
        <f t="shared" si="188"/>
        <v>261</v>
      </c>
      <c r="AH273" s="6">
        <f t="shared" si="189"/>
        <v>5.6311497340745765E-3</v>
      </c>
      <c r="AI273" s="6">
        <f t="shared" si="190"/>
        <v>2.1284695742144168E-2</v>
      </c>
      <c r="AJ273" s="6">
        <f t="shared" si="191"/>
        <v>4.3866097573895209E-2</v>
      </c>
      <c r="AK273" s="6">
        <f t="shared" si="192"/>
        <v>6.9775220782140795E-2</v>
      </c>
      <c r="AL273" s="6">
        <f t="shared" si="193"/>
        <v>9.6027441257831386E-2</v>
      </c>
      <c r="AM273" s="6">
        <f t="shared" si="194"/>
        <v>0.12069468511654886</v>
      </c>
      <c r="AN273" s="6">
        <f t="shared" si="195"/>
        <v>0.14281514377448218</v>
      </c>
      <c r="AO273" s="6">
        <f t="shared" si="196"/>
        <v>0.16209712860928277</v>
      </c>
      <c r="AP273" s="6">
        <f t="shared" si="197"/>
        <v>0.17863219461336405</v>
      </c>
      <c r="AQ273" s="6">
        <f t="shared" si="198"/>
        <v>0.19269198741792057</v>
      </c>
      <c r="AR273" s="6">
        <f t="shared" si="199"/>
        <v>0.20460730622374915</v>
      </c>
      <c r="AS273" s="6">
        <f t="shared" si="200"/>
        <v>0.21470519572837241</v>
      </c>
      <c r="AT273" s="6">
        <f t="shared" si="201"/>
        <v>0.28911916084870531</v>
      </c>
      <c r="AW273" s="3">
        <f t="shared" si="209"/>
        <v>5220</v>
      </c>
      <c r="AX273" s="3">
        <f t="shared" si="206"/>
        <v>383</v>
      </c>
      <c r="AY273" s="3">
        <f t="shared" si="207"/>
        <v>1999260</v>
      </c>
      <c r="AZ273" s="13">
        <f t="shared" si="208"/>
        <v>0.21285601757808931</v>
      </c>
      <c r="BA273" s="3">
        <f t="shared" si="178"/>
        <v>425554.52170317085</v>
      </c>
      <c r="BB273" s="3">
        <f t="shared" si="179"/>
        <v>425824.52064944099</v>
      </c>
      <c r="BC273" s="3">
        <f t="shared" si="204"/>
        <v>425887.6211399617</v>
      </c>
      <c r="BD273" s="3">
        <f t="shared" si="205"/>
        <v>850796.20000000007</v>
      </c>
    </row>
    <row r="274" spans="1:56" x14ac:dyDescent="0.45">
      <c r="C274">
        <f t="shared" si="185"/>
        <v>262</v>
      </c>
      <c r="D274" s="2">
        <f t="shared" si="210"/>
        <v>734.97377546407608</v>
      </c>
      <c r="E274" s="2">
        <f t="shared" si="210"/>
        <v>5558.4138636951811</v>
      </c>
      <c r="F274" s="2">
        <f t="shared" si="210"/>
        <v>17193.392090643509</v>
      </c>
      <c r="G274" s="2">
        <f t="shared" si="210"/>
        <v>36489.556745300128</v>
      </c>
      <c r="H274" s="2">
        <f t="shared" si="210"/>
        <v>62816.383571531056</v>
      </c>
      <c r="I274" s="2">
        <f t="shared" si="210"/>
        <v>94804.558865486149</v>
      </c>
      <c r="J274" s="2">
        <f t="shared" si="210"/>
        <v>130952.98361981723</v>
      </c>
      <c r="K274" s="2">
        <f t="shared" si="210"/>
        <v>169953.18085019261</v>
      </c>
      <c r="L274" s="2">
        <f t="shared" si="210"/>
        <v>210792.78655525699</v>
      </c>
      <c r="M274" s="2">
        <f t="shared" si="210"/>
        <v>252742.55194873764</v>
      </c>
      <c r="N274" s="2">
        <f t="shared" si="210"/>
        <v>295301.19199532788</v>
      </c>
      <c r="O274" s="2">
        <f t="shared" si="210"/>
        <v>338135.70540140657</v>
      </c>
      <c r="P274" s="2">
        <f t="shared" si="186"/>
        <v>342176.49786996172</v>
      </c>
      <c r="R274">
        <f t="shared" si="187"/>
        <v>262</v>
      </c>
      <c r="S274" s="2">
        <f t="shared" si="202"/>
        <v>131000</v>
      </c>
      <c r="T274" s="2">
        <f t="shared" si="202"/>
        <v>262000</v>
      </c>
      <c r="U274" s="2">
        <f t="shared" si="202"/>
        <v>393000</v>
      </c>
      <c r="V274" s="2">
        <f t="shared" si="202"/>
        <v>524000</v>
      </c>
      <c r="W274" s="2">
        <f t="shared" si="202"/>
        <v>655000</v>
      </c>
      <c r="X274" s="2">
        <f t="shared" si="202"/>
        <v>786000</v>
      </c>
      <c r="Y274" s="2">
        <f t="shared" si="202"/>
        <v>917000</v>
      </c>
      <c r="Z274" s="2">
        <f t="shared" si="202"/>
        <v>1048000</v>
      </c>
      <c r="AA274" s="2">
        <f t="shared" si="180"/>
        <v>1179000</v>
      </c>
      <c r="AB274" s="2">
        <f t="shared" si="180"/>
        <v>1310000</v>
      </c>
      <c r="AC274" s="2">
        <f t="shared" si="180"/>
        <v>1441000</v>
      </c>
      <c r="AD274" s="2">
        <f t="shared" si="180"/>
        <v>1572000</v>
      </c>
      <c r="AE274" s="2">
        <f t="shared" si="180"/>
        <v>1179000</v>
      </c>
      <c r="AG274">
        <f t="shared" si="188"/>
        <v>262</v>
      </c>
      <c r="AH274" s="6">
        <f t="shared" si="189"/>
        <v>5.6104868356036345E-3</v>
      </c>
      <c r="AI274" s="6">
        <f t="shared" si="190"/>
        <v>2.1215320090439624E-2</v>
      </c>
      <c r="AJ274" s="6">
        <f t="shared" si="191"/>
        <v>4.3749089289169235E-2</v>
      </c>
      <c r="AK274" s="6">
        <f t="shared" si="192"/>
        <v>6.963655867423689E-2</v>
      </c>
      <c r="AL274" s="6">
        <f t="shared" si="193"/>
        <v>9.5902875681726799E-2</v>
      </c>
      <c r="AM274" s="6">
        <f t="shared" si="194"/>
        <v>0.12061648710621647</v>
      </c>
      <c r="AN274" s="6">
        <f t="shared" si="195"/>
        <v>0.14280587090492608</v>
      </c>
      <c r="AO274" s="6">
        <f t="shared" si="196"/>
        <v>0.16216906569674869</v>
      </c>
      <c r="AP274" s="6">
        <f t="shared" si="197"/>
        <v>0.17878947120886937</v>
      </c>
      <c r="AQ274" s="6">
        <f t="shared" si="198"/>
        <v>0.19293324576239515</v>
      </c>
      <c r="AR274" s="6">
        <f t="shared" si="199"/>
        <v>0.20492796113485626</v>
      </c>
      <c r="AS274" s="6">
        <f t="shared" si="200"/>
        <v>0.21509904923753598</v>
      </c>
      <c r="AT274" s="6">
        <f t="shared" si="201"/>
        <v>0.2902260372094671</v>
      </c>
      <c r="AW274" s="3">
        <f t="shared" si="209"/>
        <v>5240</v>
      </c>
      <c r="AX274" s="3">
        <f t="shared" si="206"/>
        <v>385</v>
      </c>
      <c r="AY274" s="3">
        <f t="shared" si="207"/>
        <v>2017400</v>
      </c>
      <c r="AZ274" s="13">
        <f t="shared" si="208"/>
        <v>0.21396753422667111</v>
      </c>
      <c r="BA274" s="3">
        <f t="shared" si="178"/>
        <v>431658.10354888631</v>
      </c>
      <c r="BB274" s="3">
        <f t="shared" si="179"/>
        <v>431633.1339011463</v>
      </c>
      <c r="BC274" s="3">
        <f t="shared" si="204"/>
        <v>431398.68431390607</v>
      </c>
      <c r="BD274" s="3">
        <f t="shared" si="205"/>
        <v>862998.88888888888</v>
      </c>
    </row>
    <row r="275" spans="1:56" x14ac:dyDescent="0.45">
      <c r="C275">
        <f t="shared" si="185"/>
        <v>263</v>
      </c>
      <c r="D275" s="2">
        <f t="shared" si="210"/>
        <v>735.08130430128779</v>
      </c>
      <c r="E275" s="2">
        <f t="shared" si="210"/>
        <v>5561.4901714995576</v>
      </c>
      <c r="F275" s="2">
        <f t="shared" si="210"/>
        <v>17213.026384016001</v>
      </c>
      <c r="G275" s="2">
        <f t="shared" si="210"/>
        <v>36555.928629400558</v>
      </c>
      <c r="H275" s="2">
        <f t="shared" si="210"/>
        <v>62973.84742741815</v>
      </c>
      <c r="I275" s="2">
        <f t="shared" si="210"/>
        <v>95103.642639209531</v>
      </c>
      <c r="J275" s="2">
        <f t="shared" si="210"/>
        <v>131442.39102606237</v>
      </c>
      <c r="K275" s="2">
        <f t="shared" si="210"/>
        <v>170674.83069052524</v>
      </c>
      <c r="L275" s="2">
        <f t="shared" si="210"/>
        <v>211780.01106978071</v>
      </c>
      <c r="M275" s="2">
        <f t="shared" si="210"/>
        <v>254020.35704908334</v>
      </c>
      <c r="N275" s="2">
        <f t="shared" si="210"/>
        <v>296887.48031947727</v>
      </c>
      <c r="O275" s="2">
        <f t="shared" si="210"/>
        <v>340042.75081863103</v>
      </c>
      <c r="P275" s="2">
        <f t="shared" si="186"/>
        <v>344792.49933652097</v>
      </c>
      <c r="R275">
        <f t="shared" si="187"/>
        <v>263</v>
      </c>
      <c r="S275" s="2">
        <f t="shared" si="202"/>
        <v>131500</v>
      </c>
      <c r="T275" s="2">
        <f t="shared" si="202"/>
        <v>263000</v>
      </c>
      <c r="U275" s="2">
        <f t="shared" si="202"/>
        <v>394500</v>
      </c>
      <c r="V275" s="2">
        <f t="shared" si="202"/>
        <v>526000</v>
      </c>
      <c r="W275" s="2">
        <f t="shared" si="202"/>
        <v>657500</v>
      </c>
      <c r="X275" s="2">
        <f t="shared" si="202"/>
        <v>789000</v>
      </c>
      <c r="Y275" s="2">
        <f t="shared" si="202"/>
        <v>920500</v>
      </c>
      <c r="Z275" s="2">
        <f t="shared" si="202"/>
        <v>1052000</v>
      </c>
      <c r="AA275" s="2">
        <f t="shared" si="180"/>
        <v>1183500</v>
      </c>
      <c r="AB275" s="2">
        <f t="shared" si="180"/>
        <v>1315000</v>
      </c>
      <c r="AC275" s="2">
        <f t="shared" si="180"/>
        <v>1446500</v>
      </c>
      <c r="AD275" s="2">
        <f t="shared" si="180"/>
        <v>1578000</v>
      </c>
      <c r="AE275" s="2">
        <f t="shared" si="180"/>
        <v>1183500</v>
      </c>
      <c r="AG275">
        <f t="shared" si="188"/>
        <v>263</v>
      </c>
      <c r="AH275" s="6">
        <f t="shared" si="189"/>
        <v>5.5899718958272839E-3</v>
      </c>
      <c r="AI275" s="6">
        <f t="shared" si="190"/>
        <v>2.1146350461975504E-2</v>
      </c>
      <c r="AJ275" s="6">
        <f t="shared" si="191"/>
        <v>4.3632513013982258E-2</v>
      </c>
      <c r="AK275" s="6">
        <f t="shared" si="192"/>
        <v>6.9497963173765318E-2</v>
      </c>
      <c r="AL275" s="6">
        <f t="shared" si="193"/>
        <v>9.5777714718506698E-2</v>
      </c>
      <c r="AM275" s="6">
        <f t="shared" si="194"/>
        <v>0.12053693617136822</v>
      </c>
      <c r="AN275" s="6">
        <f t="shared" si="195"/>
        <v>0.14279455842049144</v>
      </c>
      <c r="AO275" s="6">
        <f t="shared" si="196"/>
        <v>0.16223843221532819</v>
      </c>
      <c r="AP275" s="6">
        <f t="shared" si="197"/>
        <v>0.17894382008430984</v>
      </c>
      <c r="AQ275" s="6">
        <f t="shared" si="198"/>
        <v>0.19317137418181243</v>
      </c>
      <c r="AR275" s="6">
        <f t="shared" si="199"/>
        <v>0.20524540637364486</v>
      </c>
      <c r="AS275" s="6">
        <f t="shared" si="200"/>
        <v>0.2154897026734037</v>
      </c>
      <c r="AT275" s="6">
        <f t="shared" si="201"/>
        <v>0.29133291029701813</v>
      </c>
      <c r="AW275" s="3">
        <f t="shared" si="209"/>
        <v>5260</v>
      </c>
      <c r="AX275" s="3">
        <f t="shared" si="206"/>
        <v>386</v>
      </c>
      <c r="AY275" s="3">
        <f t="shared" si="207"/>
        <v>2030360</v>
      </c>
      <c r="AZ275" s="13">
        <f t="shared" si="208"/>
        <v>0.214523292550962</v>
      </c>
      <c r="BA275" s="3">
        <f t="shared" si="178"/>
        <v>435559.5122637712</v>
      </c>
      <c r="BB275" s="3">
        <f t="shared" si="179"/>
        <v>435799.09495149646</v>
      </c>
      <c r="BC275" s="3">
        <f t="shared" si="204"/>
        <v>435826.97631655872</v>
      </c>
      <c r="BD275" s="3">
        <f t="shared" si="205"/>
        <v>870798.84444444452</v>
      </c>
    </row>
    <row r="276" spans="1:56" x14ac:dyDescent="0.45">
      <c r="C276">
        <f t="shared" si="185"/>
        <v>264</v>
      </c>
      <c r="D276" s="2">
        <f t="shared" si="210"/>
        <v>735.18764447038154</v>
      </c>
      <c r="E276" s="2">
        <f t="shared" si="210"/>
        <v>5564.5349367993149</v>
      </c>
      <c r="F276" s="2">
        <f t="shared" si="210"/>
        <v>17232.482116485982</v>
      </c>
      <c r="G276" s="2">
        <f t="shared" si="210"/>
        <v>36621.785503587984</v>
      </c>
      <c r="H276" s="2">
        <f t="shared" si="210"/>
        <v>63130.303299871914</v>
      </c>
      <c r="I276" s="2">
        <f t="shared" si="210"/>
        <v>95401.195058510464</v>
      </c>
      <c r="J276" s="2">
        <f t="shared" si="210"/>
        <v>131929.85696101061</v>
      </c>
      <c r="K276" s="2">
        <f t="shared" si="210"/>
        <v>171394.34552658821</v>
      </c>
      <c r="L276" s="2">
        <f t="shared" si="210"/>
        <v>212765.17105538413</v>
      </c>
      <c r="M276" s="2">
        <f t="shared" si="210"/>
        <v>255296.43451973668</v>
      </c>
      <c r="N276" s="2">
        <f t="shared" si="210"/>
        <v>298472.61973741994</v>
      </c>
      <c r="O276" s="2">
        <f t="shared" si="210"/>
        <v>341949.43134153169</v>
      </c>
      <c r="P276" s="2">
        <f t="shared" si="186"/>
        <v>347418.45878708875</v>
      </c>
      <c r="R276">
        <f t="shared" si="187"/>
        <v>264</v>
      </c>
      <c r="S276" s="2">
        <f t="shared" si="202"/>
        <v>132000</v>
      </c>
      <c r="T276" s="2">
        <f t="shared" si="202"/>
        <v>264000</v>
      </c>
      <c r="U276" s="2">
        <f t="shared" si="202"/>
        <v>396000</v>
      </c>
      <c r="V276" s="2">
        <f t="shared" si="202"/>
        <v>528000</v>
      </c>
      <c r="W276" s="2">
        <f t="shared" si="202"/>
        <v>660000</v>
      </c>
      <c r="X276" s="2">
        <f t="shared" si="202"/>
        <v>792000</v>
      </c>
      <c r="Y276" s="2">
        <f t="shared" si="202"/>
        <v>924000</v>
      </c>
      <c r="Z276" s="2">
        <f t="shared" si="202"/>
        <v>1056000</v>
      </c>
      <c r="AA276" s="2">
        <f t="shared" si="180"/>
        <v>1188000</v>
      </c>
      <c r="AB276" s="2">
        <f t="shared" si="180"/>
        <v>1320000</v>
      </c>
      <c r="AC276" s="2">
        <f t="shared" si="180"/>
        <v>1452000</v>
      </c>
      <c r="AD276" s="2">
        <f t="shared" si="180"/>
        <v>1584000</v>
      </c>
      <c r="AE276" s="2">
        <f t="shared" si="180"/>
        <v>1188000</v>
      </c>
      <c r="AG276">
        <f t="shared" si="188"/>
        <v>264</v>
      </c>
      <c r="AH276" s="6">
        <f t="shared" si="189"/>
        <v>5.5696033671998602E-3</v>
      </c>
      <c r="AI276" s="6">
        <f t="shared" si="190"/>
        <v>2.1077783851512558E-2</v>
      </c>
      <c r="AJ276" s="6">
        <f t="shared" si="191"/>
        <v>4.3516368981025205E-2</v>
      </c>
      <c r="AK276" s="6">
        <f t="shared" si="192"/>
        <v>6.9359442241643907E-2</v>
      </c>
      <c r="AL276" s="6">
        <f t="shared" si="193"/>
        <v>9.5651974696775624E-2</v>
      </c>
      <c r="AM276" s="6">
        <f t="shared" si="194"/>
        <v>0.12045605436680615</v>
      </c>
      <c r="AN276" s="6">
        <f t="shared" si="195"/>
        <v>0.14278123047728419</v>
      </c>
      <c r="AO276" s="6">
        <f t="shared" si="196"/>
        <v>0.16230525144563276</v>
      </c>
      <c r="AP276" s="6">
        <f t="shared" si="197"/>
        <v>0.17909526183113142</v>
      </c>
      <c r="AQ276" s="6">
        <f t="shared" si="198"/>
        <v>0.19340638978767929</v>
      </c>
      <c r="AR276" s="6">
        <f t="shared" si="199"/>
        <v>0.20555965546654265</v>
      </c>
      <c r="AS276" s="6">
        <f t="shared" si="200"/>
        <v>0.21587716625096698</v>
      </c>
      <c r="AT276" s="6">
        <f t="shared" si="201"/>
        <v>0.29243978012381205</v>
      </c>
      <c r="AW276" s="3">
        <f t="shared" si="209"/>
        <v>5280</v>
      </c>
      <c r="AX276" s="3">
        <f t="shared" si="206"/>
        <v>388</v>
      </c>
      <c r="AY276" s="3">
        <f t="shared" si="207"/>
        <v>2048640</v>
      </c>
      <c r="AZ276" s="13">
        <f t="shared" si="208"/>
        <v>0.21563480919954378</v>
      </c>
      <c r="BA276" s="3">
        <f t="shared" si="178"/>
        <v>441758.0955185534</v>
      </c>
      <c r="BB276" s="3">
        <f t="shared" si="179"/>
        <v>441697.78657812241</v>
      </c>
      <c r="BC276" s="3">
        <f t="shared" si="204"/>
        <v>441423.10581298731</v>
      </c>
      <c r="BD276" s="3">
        <f t="shared" si="205"/>
        <v>883191.46666666667</v>
      </c>
    </row>
    <row r="277" spans="1:56" x14ac:dyDescent="0.45">
      <c r="C277">
        <f t="shared" si="185"/>
        <v>265</v>
      </c>
      <c r="D277" s="2">
        <f t="shared" si="210"/>
        <v>735.29281331346681</v>
      </c>
      <c r="E277" s="2">
        <f t="shared" si="210"/>
        <v>5567.5485774703166</v>
      </c>
      <c r="F277" s="2">
        <f t="shared" si="210"/>
        <v>17251.761298243164</v>
      </c>
      <c r="G277" s="2">
        <f t="shared" si="210"/>
        <v>36687.131932698452</v>
      </c>
      <c r="H277" s="2">
        <f t="shared" si="210"/>
        <v>63285.757488982279</v>
      </c>
      <c r="I277" s="2">
        <f t="shared" si="210"/>
        <v>95697.221475452985</v>
      </c>
      <c r="J277" s="2">
        <f t="shared" si="210"/>
        <v>132415.38248589064</v>
      </c>
      <c r="K277" s="2">
        <f t="shared" si="210"/>
        <v>172111.71934368921</v>
      </c>
      <c r="L277" s="2">
        <f t="shared" si="210"/>
        <v>213748.25176506391</v>
      </c>
      <c r="M277" s="2">
        <f t="shared" si="210"/>
        <v>256570.76034996888</v>
      </c>
      <c r="N277" s="2">
        <f t="shared" si="210"/>
        <v>300056.57728928997</v>
      </c>
      <c r="O277" s="2">
        <f t="shared" si="210"/>
        <v>343855.70589541108</v>
      </c>
      <c r="P277" s="2">
        <f t="shared" si="186"/>
        <v>350054.37619238597</v>
      </c>
      <c r="R277">
        <f t="shared" si="187"/>
        <v>265</v>
      </c>
      <c r="S277" s="2">
        <f t="shared" si="202"/>
        <v>132500</v>
      </c>
      <c r="T277" s="2">
        <f t="shared" si="202"/>
        <v>265000</v>
      </c>
      <c r="U277" s="2">
        <f t="shared" si="202"/>
        <v>397500</v>
      </c>
      <c r="V277" s="2">
        <f t="shared" si="202"/>
        <v>530000</v>
      </c>
      <c r="W277" s="2">
        <f t="shared" si="202"/>
        <v>662500</v>
      </c>
      <c r="X277" s="2">
        <f t="shared" si="202"/>
        <v>795000</v>
      </c>
      <c r="Y277" s="2">
        <f t="shared" si="202"/>
        <v>927500</v>
      </c>
      <c r="Z277" s="2">
        <f t="shared" si="202"/>
        <v>1060000</v>
      </c>
      <c r="AA277" s="2">
        <f t="shared" si="180"/>
        <v>1192500</v>
      </c>
      <c r="AB277" s="2">
        <f t="shared" si="180"/>
        <v>1325000</v>
      </c>
      <c r="AC277" s="2">
        <f t="shared" si="180"/>
        <v>1457500</v>
      </c>
      <c r="AD277" s="2">
        <f t="shared" si="180"/>
        <v>1590000</v>
      </c>
      <c r="AE277" s="2">
        <f t="shared" si="180"/>
        <v>1192500</v>
      </c>
      <c r="AG277">
        <f t="shared" si="188"/>
        <v>265</v>
      </c>
      <c r="AH277" s="6">
        <f t="shared" si="189"/>
        <v>5.5493797231205046E-3</v>
      </c>
      <c r="AI277" s="6">
        <f t="shared" si="190"/>
        <v>2.1009617273472891E-2</v>
      </c>
      <c r="AJ277" s="6">
        <f t="shared" si="191"/>
        <v>4.3400657354070851E-2</v>
      </c>
      <c r="AK277" s="6">
        <f t="shared" si="192"/>
        <v>6.9221003646600859E-2</v>
      </c>
      <c r="AL277" s="6">
        <f t="shared" si="193"/>
        <v>9.5525671681482682E-2</v>
      </c>
      <c r="AM277" s="6">
        <f t="shared" si="194"/>
        <v>0.12037386349113582</v>
      </c>
      <c r="AN277" s="6">
        <f t="shared" si="195"/>
        <v>0.1427659110360007</v>
      </c>
      <c r="AO277" s="6">
        <f t="shared" si="196"/>
        <v>0.1623695465506502</v>
      </c>
      <c r="AP277" s="6">
        <f t="shared" si="197"/>
        <v>0.17924381699376429</v>
      </c>
      <c r="AQ277" s="6">
        <f t="shared" si="198"/>
        <v>0.19363830969808973</v>
      </c>
      <c r="AR277" s="6">
        <f t="shared" si="199"/>
        <v>0.20587072198236017</v>
      </c>
      <c r="AS277" s="6">
        <f t="shared" si="200"/>
        <v>0.2162614502486862</v>
      </c>
      <c r="AT277" s="6">
        <f t="shared" si="201"/>
        <v>0.29354664670221048</v>
      </c>
      <c r="AW277" s="3">
        <f t="shared" si="209"/>
        <v>5300</v>
      </c>
      <c r="AX277" s="3">
        <f t="shared" si="206"/>
        <v>389</v>
      </c>
      <c r="AY277" s="3">
        <f t="shared" si="207"/>
        <v>2061700</v>
      </c>
      <c r="AZ277" s="13">
        <f t="shared" si="208"/>
        <v>0.21619056752383467</v>
      </c>
      <c r="BA277" s="3">
        <f t="shared" si="178"/>
        <v>445720.09306388994</v>
      </c>
      <c r="BB277" s="3">
        <f t="shared" si="179"/>
        <v>445928.22014982713</v>
      </c>
      <c r="BC277" s="3">
        <f t="shared" si="204"/>
        <v>445919.76307839149</v>
      </c>
      <c r="BD277" s="3">
        <f t="shared" si="205"/>
        <v>891112.5555555555</v>
      </c>
    </row>
    <row r="278" spans="1:56" x14ac:dyDescent="0.45">
      <c r="A278" t="s">
        <v>57</v>
      </c>
      <c r="B278" t="s">
        <v>58</v>
      </c>
      <c r="C278">
        <f t="shared" si="185"/>
        <v>266</v>
      </c>
      <c r="D278" s="2">
        <f t="shared" si="210"/>
        <v>735.39682785962816</v>
      </c>
      <c r="E278" s="2">
        <f t="shared" si="210"/>
        <v>5570.5315047036356</v>
      </c>
      <c r="F278" s="2">
        <f t="shared" si="210"/>
        <v>17270.865913819805</v>
      </c>
      <c r="G278" s="2">
        <f t="shared" si="210"/>
        <v>36751.972443495368</v>
      </c>
      <c r="H278" s="2">
        <f t="shared" si="210"/>
        <v>63440.216282534428</v>
      </c>
      <c r="I278" s="2">
        <f t="shared" si="210"/>
        <v>95991.727300838669</v>
      </c>
      <c r="J278" s="2">
        <f t="shared" si="210"/>
        <v>132898.96881569756</v>
      </c>
      <c r="K278" s="2">
        <f t="shared" si="210"/>
        <v>172826.9463715532</v>
      </c>
      <c r="L278" s="2">
        <f t="shared" si="210"/>
        <v>214729.2387634303</v>
      </c>
      <c r="M278" s="2">
        <f t="shared" si="210"/>
        <v>257843.31087784772</v>
      </c>
      <c r="N278" s="2">
        <f t="shared" si="210"/>
        <v>301639.32037334604</v>
      </c>
      <c r="O278" s="2">
        <f t="shared" si="210"/>
        <v>345761.53375130688</v>
      </c>
      <c r="P278" s="2">
        <f t="shared" si="186"/>
        <v>352700.25152324402</v>
      </c>
      <c r="R278">
        <f t="shared" si="187"/>
        <v>266</v>
      </c>
      <c r="S278" s="2">
        <f t="shared" si="202"/>
        <v>133000</v>
      </c>
      <c r="T278" s="2">
        <f t="shared" si="202"/>
        <v>266000</v>
      </c>
      <c r="U278" s="2">
        <f t="shared" si="202"/>
        <v>399000</v>
      </c>
      <c r="V278" s="2">
        <f t="shared" si="202"/>
        <v>532000</v>
      </c>
      <c r="W278" s="2">
        <f t="shared" si="202"/>
        <v>665000</v>
      </c>
      <c r="X278" s="2">
        <f t="shared" si="202"/>
        <v>798000</v>
      </c>
      <c r="Y278" s="2">
        <f t="shared" si="202"/>
        <v>931000</v>
      </c>
      <c r="Z278" s="2">
        <f t="shared" si="202"/>
        <v>1064000</v>
      </c>
      <c r="AA278" s="2">
        <f t="shared" si="180"/>
        <v>1197000</v>
      </c>
      <c r="AB278" s="2">
        <f t="shared" si="180"/>
        <v>1330000</v>
      </c>
      <c r="AC278" s="2">
        <f t="shared" si="180"/>
        <v>1463000</v>
      </c>
      <c r="AD278" s="2">
        <f t="shared" si="180"/>
        <v>1596000</v>
      </c>
      <c r="AE278" s="2">
        <f t="shared" si="180"/>
        <v>1197000</v>
      </c>
      <c r="AG278">
        <f t="shared" si="188"/>
        <v>266</v>
      </c>
      <c r="AH278" s="6">
        <f t="shared" si="189"/>
        <v>5.5292994575911894E-3</v>
      </c>
      <c r="AI278" s="6">
        <f t="shared" si="190"/>
        <v>2.0941847762043744E-2</v>
      </c>
      <c r="AJ278" s="6">
        <f t="shared" si="191"/>
        <v>4.3285378230124828E-2</v>
      </c>
      <c r="AK278" s="6">
        <f t="shared" si="192"/>
        <v>6.9082654968976254E-2</v>
      </c>
      <c r="AL278" s="6">
        <f t="shared" si="193"/>
        <v>9.5398821477495385E-2</v>
      </c>
      <c r="AM278" s="6">
        <f t="shared" si="194"/>
        <v>0.12029038508877027</v>
      </c>
      <c r="AN278" s="6">
        <f t="shared" si="195"/>
        <v>0.14274862386218856</v>
      </c>
      <c r="AO278" s="6">
        <f t="shared" si="196"/>
        <v>0.16243134057476805</v>
      </c>
      <c r="AP278" s="6">
        <f t="shared" si="197"/>
        <v>0.17938950606802864</v>
      </c>
      <c r="AQ278" s="6">
        <f t="shared" si="198"/>
        <v>0.19386715103597574</v>
      </c>
      <c r="AR278" s="6">
        <f t="shared" si="199"/>
        <v>0.20617861953065347</v>
      </c>
      <c r="AS278" s="6">
        <f t="shared" si="200"/>
        <v>0.21664256500708451</v>
      </c>
      <c r="AT278" s="6">
        <f t="shared" si="201"/>
        <v>0.2946535100444812</v>
      </c>
      <c r="AW278" s="3">
        <f t="shared" si="209"/>
        <v>5320</v>
      </c>
      <c r="AX278" s="3">
        <f t="shared" si="206"/>
        <v>391</v>
      </c>
      <c r="AY278" s="3">
        <f t="shared" si="207"/>
        <v>2080120</v>
      </c>
      <c r="AZ278" s="13">
        <f t="shared" si="208"/>
        <v>0.21730208417241645</v>
      </c>
      <c r="BA278" s="3">
        <f t="shared" si="178"/>
        <v>452014.41132872691</v>
      </c>
      <c r="BB278" s="3">
        <f t="shared" si="179"/>
        <v>451917.68320466205</v>
      </c>
      <c r="BC278" s="3">
        <f t="shared" si="204"/>
        <v>451601.61034117907</v>
      </c>
      <c r="BD278" s="3">
        <f t="shared" si="205"/>
        <v>903696.5777777778</v>
      </c>
    </row>
    <row r="279" spans="1:56" x14ac:dyDescent="0.45">
      <c r="A279" s="11" cm="1">
        <f t="array" ref="A279:B279">LINEST(D279:O279,D12:O12)</f>
        <v>1.1052617353679019E-3</v>
      </c>
      <c r="B279" s="11">
        <v>3.2672497928485367E-2</v>
      </c>
      <c r="C279" t="s">
        <v>55</v>
      </c>
      <c r="D279" s="7">
        <v>0.60570958698999999</v>
      </c>
      <c r="E279" s="7">
        <v>1.1377999999999999</v>
      </c>
      <c r="F279" s="7">
        <v>1.6847000000000001</v>
      </c>
      <c r="G279" s="7">
        <v>2.2357999999999998</v>
      </c>
      <c r="H279" s="7">
        <v>2.7886000000000002</v>
      </c>
      <c r="I279" s="7">
        <v>3.3424</v>
      </c>
      <c r="J279" s="7">
        <v>3.8967000000000001</v>
      </c>
      <c r="K279" s="7">
        <v>4.4512483040999999</v>
      </c>
      <c r="L279" s="7">
        <v>5.0060496495000004</v>
      </c>
      <c r="M279" s="7">
        <v>5.5610013831999998</v>
      </c>
      <c r="N279" s="7">
        <v>6.1160626327000003</v>
      </c>
      <c r="O279" s="7">
        <v>6.6712060979999999</v>
      </c>
      <c r="P279" s="7">
        <f>$A279*P$12+$B279</f>
        <v>5.0063503070840447</v>
      </c>
    </row>
    <row r="280" spans="1:56" x14ac:dyDescent="0.45">
      <c r="A280" s="11" cm="1">
        <f t="array" ref="A280:B280">LINEST(D280:O280,D12:O12)</f>
        <v>8.7612886041958154E-6</v>
      </c>
      <c r="B280" s="11">
        <v>1.9597994257696969</v>
      </c>
      <c r="C280" t="s">
        <v>56</v>
      </c>
      <c r="D280" s="7">
        <v>1.9130139778999999</v>
      </c>
      <c r="E280" s="7">
        <v>1.9764999999999999</v>
      </c>
      <c r="F280" s="7">
        <v>1.9894000000000001</v>
      </c>
      <c r="G280" s="7">
        <v>1.994</v>
      </c>
      <c r="H280" s="7">
        <v>1.9962</v>
      </c>
      <c r="I280" s="7">
        <v>1.9973000000000001</v>
      </c>
      <c r="J280" s="7">
        <v>1.998</v>
      </c>
      <c r="K280" s="7">
        <v>1.998493254</v>
      </c>
      <c r="L280" s="7">
        <v>1.9988090365</v>
      </c>
      <c r="M280" s="7">
        <v>1.9990350595999999</v>
      </c>
      <c r="N280" s="7">
        <v>1.9992023696000001</v>
      </c>
      <c r="O280" s="7">
        <v>1.9993296672</v>
      </c>
      <c r="P280" s="7">
        <f>$A280*P$12+$B280</f>
        <v>1.999225224488578</v>
      </c>
    </row>
    <row r="282" spans="1:56" x14ac:dyDescent="0.45">
      <c r="F282" t="s">
        <v>0</v>
      </c>
      <c r="G282">
        <v>10</v>
      </c>
    </row>
    <row r="283" spans="1:56" x14ac:dyDescent="0.45">
      <c r="F283" t="s">
        <v>59</v>
      </c>
      <c r="G283">
        <v>200</v>
      </c>
    </row>
    <row r="284" spans="1:56" x14ac:dyDescent="0.45">
      <c r="F284" t="s">
        <v>60</v>
      </c>
      <c r="G284" s="2">
        <f>($A279*G$283+$B279)*$G282^($A280*G$283+$B280)</f>
        <v>23.222805208965248</v>
      </c>
    </row>
    <row r="286" spans="1:56" x14ac:dyDescent="0.45">
      <c r="C286" t="s">
        <v>50</v>
      </c>
      <c r="D286" t="s">
        <v>10</v>
      </c>
      <c r="F286" t="s">
        <v>53</v>
      </c>
    </row>
    <row r="287" spans="1:56" x14ac:dyDescent="0.45">
      <c r="C287" t="s">
        <v>16</v>
      </c>
      <c r="D287">
        <v>500</v>
      </c>
      <c r="E287">
        <f>D287+500</f>
        <v>1000</v>
      </c>
      <c r="F287">
        <f t="shared" ref="F287:O287" si="211">E287+500</f>
        <v>1500</v>
      </c>
      <c r="G287">
        <f t="shared" si="211"/>
        <v>2000</v>
      </c>
      <c r="H287">
        <f t="shared" si="211"/>
        <v>2500</v>
      </c>
      <c r="I287">
        <f t="shared" si="211"/>
        <v>3000</v>
      </c>
      <c r="J287">
        <f t="shared" si="211"/>
        <v>3500</v>
      </c>
      <c r="K287">
        <f t="shared" si="211"/>
        <v>4000</v>
      </c>
      <c r="L287">
        <f t="shared" si="211"/>
        <v>4500</v>
      </c>
      <c r="M287">
        <f t="shared" si="211"/>
        <v>5000</v>
      </c>
      <c r="N287">
        <f t="shared" si="211"/>
        <v>5500</v>
      </c>
      <c r="O287">
        <f t="shared" si="211"/>
        <v>6000</v>
      </c>
    </row>
    <row r="288" spans="1:56" x14ac:dyDescent="0.45">
      <c r="C288">
        <v>1</v>
      </c>
      <c r="D288" s="2">
        <f t="shared" ref="D288:O297" si="212">$C$7*BL_MBPS*BL_KM^2*D$287*$C288^2/EM_KM^2</f>
        <v>0.55555555555555558</v>
      </c>
      <c r="E288" s="2">
        <f t="shared" si="212"/>
        <v>1.1111111111111112</v>
      </c>
      <c r="F288" s="2">
        <f t="shared" si="212"/>
        <v>1.6666666666666667</v>
      </c>
      <c r="G288" s="2">
        <f t="shared" si="212"/>
        <v>2.2222222222222223</v>
      </c>
      <c r="H288" s="2">
        <f t="shared" si="212"/>
        <v>2.7777777777777777</v>
      </c>
      <c r="I288" s="2">
        <f t="shared" si="212"/>
        <v>3.3333333333333335</v>
      </c>
      <c r="J288" s="2">
        <f t="shared" si="212"/>
        <v>3.8888888888888888</v>
      </c>
      <c r="K288" s="2">
        <f t="shared" si="212"/>
        <v>4.4444444444444446</v>
      </c>
      <c r="L288" s="2">
        <f t="shared" si="212"/>
        <v>5</v>
      </c>
      <c r="M288" s="2">
        <f t="shared" si="212"/>
        <v>5.5555555555555554</v>
      </c>
      <c r="N288" s="2">
        <f t="shared" si="212"/>
        <v>6.1111111111111107</v>
      </c>
      <c r="O288" s="2">
        <f t="shared" si="212"/>
        <v>6.666666666666667</v>
      </c>
    </row>
    <row r="289" spans="3:15" x14ac:dyDescent="0.45">
      <c r="C289">
        <f>C288+1</f>
        <v>2</v>
      </c>
      <c r="D289" s="2">
        <f t="shared" si="212"/>
        <v>2.2222222222222223</v>
      </c>
      <c r="E289" s="2">
        <f t="shared" si="212"/>
        <v>4.4444444444444446</v>
      </c>
      <c r="F289" s="2">
        <f t="shared" si="212"/>
        <v>6.666666666666667</v>
      </c>
      <c r="G289" s="2">
        <f t="shared" si="212"/>
        <v>8.8888888888888893</v>
      </c>
      <c r="H289" s="2">
        <f t="shared" si="212"/>
        <v>11.111111111111111</v>
      </c>
      <c r="I289" s="2">
        <f t="shared" si="212"/>
        <v>13.333333333333334</v>
      </c>
      <c r="J289" s="2">
        <f t="shared" si="212"/>
        <v>15.555555555555555</v>
      </c>
      <c r="K289" s="2">
        <f t="shared" si="212"/>
        <v>17.777777777777779</v>
      </c>
      <c r="L289" s="2">
        <f t="shared" si="212"/>
        <v>20</v>
      </c>
      <c r="M289" s="2">
        <f t="shared" si="212"/>
        <v>22.222222222222221</v>
      </c>
      <c r="N289" s="2">
        <f t="shared" si="212"/>
        <v>24.444444444444443</v>
      </c>
      <c r="O289" s="2">
        <f t="shared" si="212"/>
        <v>26.666666666666668</v>
      </c>
    </row>
    <row r="290" spans="3:15" x14ac:dyDescent="0.45">
      <c r="C290">
        <f t="shared" ref="C290:C307" si="213">C289+1</f>
        <v>3</v>
      </c>
      <c r="D290" s="2">
        <f t="shared" si="212"/>
        <v>5</v>
      </c>
      <c r="E290" s="2">
        <f t="shared" si="212"/>
        <v>10</v>
      </c>
      <c r="F290" s="2">
        <f t="shared" si="212"/>
        <v>15</v>
      </c>
      <c r="G290" s="2">
        <f t="shared" si="212"/>
        <v>20</v>
      </c>
      <c r="H290" s="2">
        <f t="shared" si="212"/>
        <v>25</v>
      </c>
      <c r="I290" s="2">
        <f t="shared" si="212"/>
        <v>30</v>
      </c>
      <c r="J290" s="2">
        <f t="shared" si="212"/>
        <v>35</v>
      </c>
      <c r="K290" s="2">
        <f t="shared" si="212"/>
        <v>40</v>
      </c>
      <c r="L290" s="2">
        <f t="shared" si="212"/>
        <v>45</v>
      </c>
      <c r="M290" s="2">
        <f t="shared" si="212"/>
        <v>50</v>
      </c>
      <c r="N290" s="2">
        <f t="shared" si="212"/>
        <v>55</v>
      </c>
      <c r="O290" s="2">
        <f t="shared" si="212"/>
        <v>60</v>
      </c>
    </row>
    <row r="291" spans="3:15" x14ac:dyDescent="0.45">
      <c r="C291">
        <f t="shared" si="213"/>
        <v>4</v>
      </c>
      <c r="D291" s="2">
        <f t="shared" si="212"/>
        <v>8.8888888888888893</v>
      </c>
      <c r="E291" s="2">
        <f t="shared" si="212"/>
        <v>17.777777777777779</v>
      </c>
      <c r="F291" s="2">
        <f t="shared" si="212"/>
        <v>26.666666666666668</v>
      </c>
      <c r="G291" s="2">
        <f t="shared" si="212"/>
        <v>35.555555555555557</v>
      </c>
      <c r="H291" s="2">
        <f t="shared" si="212"/>
        <v>44.444444444444443</v>
      </c>
      <c r="I291" s="2">
        <f t="shared" si="212"/>
        <v>53.333333333333336</v>
      </c>
      <c r="J291" s="2">
        <f t="shared" si="212"/>
        <v>62.222222222222221</v>
      </c>
      <c r="K291" s="2">
        <f t="shared" si="212"/>
        <v>71.111111111111114</v>
      </c>
      <c r="L291" s="2">
        <f t="shared" si="212"/>
        <v>80</v>
      </c>
      <c r="M291" s="2">
        <f t="shared" si="212"/>
        <v>88.888888888888886</v>
      </c>
      <c r="N291" s="2">
        <f t="shared" si="212"/>
        <v>97.777777777777771</v>
      </c>
      <c r="O291" s="2">
        <f t="shared" si="212"/>
        <v>106.66666666666667</v>
      </c>
    </row>
    <row r="292" spans="3:15" x14ac:dyDescent="0.45">
      <c r="C292">
        <f t="shared" si="213"/>
        <v>5</v>
      </c>
      <c r="D292" s="2">
        <f t="shared" si="212"/>
        <v>13.888888888888889</v>
      </c>
      <c r="E292" s="2">
        <f t="shared" si="212"/>
        <v>27.777777777777779</v>
      </c>
      <c r="F292" s="2">
        <f t="shared" si="212"/>
        <v>41.666666666666664</v>
      </c>
      <c r="G292" s="2">
        <f t="shared" si="212"/>
        <v>55.555555555555557</v>
      </c>
      <c r="H292" s="2">
        <f t="shared" si="212"/>
        <v>69.444444444444443</v>
      </c>
      <c r="I292" s="2">
        <f t="shared" si="212"/>
        <v>83.333333333333329</v>
      </c>
      <c r="J292" s="2">
        <f t="shared" si="212"/>
        <v>97.222222222222229</v>
      </c>
      <c r="K292" s="2">
        <f t="shared" si="212"/>
        <v>111.11111111111111</v>
      </c>
      <c r="L292" s="2">
        <f t="shared" si="212"/>
        <v>125</v>
      </c>
      <c r="M292" s="2">
        <f t="shared" si="212"/>
        <v>138.88888888888889</v>
      </c>
      <c r="N292" s="2">
        <f t="shared" si="212"/>
        <v>152.77777777777777</v>
      </c>
      <c r="O292" s="2">
        <f t="shared" si="212"/>
        <v>166.66666666666666</v>
      </c>
    </row>
    <row r="293" spans="3:15" x14ac:dyDescent="0.45">
      <c r="C293">
        <f t="shared" si="213"/>
        <v>6</v>
      </c>
      <c r="D293" s="2">
        <f t="shared" si="212"/>
        <v>20</v>
      </c>
      <c r="E293" s="2">
        <f t="shared" si="212"/>
        <v>40</v>
      </c>
      <c r="F293" s="2">
        <f t="shared" si="212"/>
        <v>60</v>
      </c>
      <c r="G293" s="2">
        <f t="shared" si="212"/>
        <v>80</v>
      </c>
      <c r="H293" s="2">
        <f t="shared" si="212"/>
        <v>100</v>
      </c>
      <c r="I293" s="2">
        <f t="shared" si="212"/>
        <v>120</v>
      </c>
      <c r="J293" s="2">
        <f t="shared" si="212"/>
        <v>140</v>
      </c>
      <c r="K293" s="2">
        <f t="shared" si="212"/>
        <v>160</v>
      </c>
      <c r="L293" s="2">
        <f t="shared" si="212"/>
        <v>180</v>
      </c>
      <c r="M293" s="2">
        <f t="shared" si="212"/>
        <v>200</v>
      </c>
      <c r="N293" s="2">
        <f t="shared" si="212"/>
        <v>220</v>
      </c>
      <c r="O293" s="2">
        <f t="shared" si="212"/>
        <v>240</v>
      </c>
    </row>
    <row r="294" spans="3:15" x14ac:dyDescent="0.45">
      <c r="C294">
        <f t="shared" si="213"/>
        <v>7</v>
      </c>
      <c r="D294" s="2">
        <f t="shared" si="212"/>
        <v>27.222222222222221</v>
      </c>
      <c r="E294" s="2">
        <f t="shared" si="212"/>
        <v>54.444444444444443</v>
      </c>
      <c r="F294" s="2">
        <f t="shared" si="212"/>
        <v>81.666666666666671</v>
      </c>
      <c r="G294" s="2">
        <f t="shared" si="212"/>
        <v>108.88888888888889</v>
      </c>
      <c r="H294" s="2">
        <f t="shared" si="212"/>
        <v>136.11111111111111</v>
      </c>
      <c r="I294" s="2">
        <f t="shared" si="212"/>
        <v>163.33333333333334</v>
      </c>
      <c r="J294" s="2">
        <f t="shared" si="212"/>
        <v>190.55555555555554</v>
      </c>
      <c r="K294" s="2">
        <f t="shared" si="212"/>
        <v>217.77777777777777</v>
      </c>
      <c r="L294" s="2">
        <f t="shared" si="212"/>
        <v>245</v>
      </c>
      <c r="M294" s="2">
        <f t="shared" si="212"/>
        <v>272.22222222222223</v>
      </c>
      <c r="N294" s="2">
        <f t="shared" si="212"/>
        <v>299.44444444444446</v>
      </c>
      <c r="O294" s="2">
        <f t="shared" si="212"/>
        <v>326.66666666666669</v>
      </c>
    </row>
    <row r="295" spans="3:15" x14ac:dyDescent="0.45">
      <c r="C295">
        <f t="shared" si="213"/>
        <v>8</v>
      </c>
      <c r="D295" s="2">
        <f t="shared" si="212"/>
        <v>35.555555555555557</v>
      </c>
      <c r="E295" s="2">
        <f t="shared" si="212"/>
        <v>71.111111111111114</v>
      </c>
      <c r="F295" s="2">
        <f t="shared" si="212"/>
        <v>106.66666666666667</v>
      </c>
      <c r="G295" s="2">
        <f t="shared" si="212"/>
        <v>142.22222222222223</v>
      </c>
      <c r="H295" s="2">
        <f t="shared" si="212"/>
        <v>177.77777777777777</v>
      </c>
      <c r="I295" s="2">
        <f t="shared" si="212"/>
        <v>213.33333333333334</v>
      </c>
      <c r="J295" s="2">
        <f t="shared" si="212"/>
        <v>248.88888888888889</v>
      </c>
      <c r="K295" s="2">
        <f t="shared" si="212"/>
        <v>284.44444444444446</v>
      </c>
      <c r="L295" s="2">
        <f t="shared" si="212"/>
        <v>320</v>
      </c>
      <c r="M295" s="2">
        <f t="shared" si="212"/>
        <v>355.55555555555554</v>
      </c>
      <c r="N295" s="2">
        <f t="shared" si="212"/>
        <v>391.11111111111109</v>
      </c>
      <c r="O295" s="2">
        <f t="shared" si="212"/>
        <v>426.66666666666669</v>
      </c>
    </row>
    <row r="296" spans="3:15" x14ac:dyDescent="0.45">
      <c r="C296">
        <f t="shared" si="213"/>
        <v>9</v>
      </c>
      <c r="D296" s="2">
        <f t="shared" si="212"/>
        <v>45</v>
      </c>
      <c r="E296" s="2">
        <f t="shared" si="212"/>
        <v>90</v>
      </c>
      <c r="F296" s="2">
        <f t="shared" si="212"/>
        <v>135</v>
      </c>
      <c r="G296" s="2">
        <f t="shared" si="212"/>
        <v>180</v>
      </c>
      <c r="H296" s="2">
        <f t="shared" si="212"/>
        <v>225</v>
      </c>
      <c r="I296" s="2">
        <f t="shared" si="212"/>
        <v>270</v>
      </c>
      <c r="J296" s="2">
        <f t="shared" si="212"/>
        <v>315</v>
      </c>
      <c r="K296" s="2">
        <f t="shared" si="212"/>
        <v>360</v>
      </c>
      <c r="L296" s="2">
        <f t="shared" si="212"/>
        <v>405</v>
      </c>
      <c r="M296" s="2">
        <f t="shared" si="212"/>
        <v>450</v>
      </c>
      <c r="N296" s="2">
        <f t="shared" si="212"/>
        <v>495</v>
      </c>
      <c r="O296" s="2">
        <f t="shared" si="212"/>
        <v>540</v>
      </c>
    </row>
    <row r="297" spans="3:15" x14ac:dyDescent="0.45">
      <c r="C297">
        <f t="shared" si="213"/>
        <v>10</v>
      </c>
      <c r="D297" s="2">
        <f t="shared" si="212"/>
        <v>55.555555555555557</v>
      </c>
      <c r="E297" s="2">
        <f t="shared" si="212"/>
        <v>111.11111111111111</v>
      </c>
      <c r="F297" s="2">
        <f t="shared" si="212"/>
        <v>166.66666666666666</v>
      </c>
      <c r="G297" s="2">
        <f t="shared" si="212"/>
        <v>222.22222222222223</v>
      </c>
      <c r="H297" s="2">
        <f t="shared" si="212"/>
        <v>277.77777777777777</v>
      </c>
      <c r="I297" s="2">
        <f t="shared" si="212"/>
        <v>333.33333333333331</v>
      </c>
      <c r="J297" s="2">
        <f t="shared" si="212"/>
        <v>388.88888888888891</v>
      </c>
      <c r="K297" s="2">
        <f t="shared" si="212"/>
        <v>444.44444444444446</v>
      </c>
      <c r="L297" s="2">
        <f t="shared" si="212"/>
        <v>500</v>
      </c>
      <c r="M297" s="2">
        <f t="shared" si="212"/>
        <v>555.55555555555554</v>
      </c>
      <c r="N297" s="2">
        <f t="shared" si="212"/>
        <v>611.11111111111109</v>
      </c>
      <c r="O297" s="2">
        <f t="shared" si="212"/>
        <v>666.66666666666663</v>
      </c>
    </row>
    <row r="298" spans="3:15" x14ac:dyDescent="0.45">
      <c r="C298">
        <f t="shared" si="213"/>
        <v>11</v>
      </c>
      <c r="D298" s="2">
        <f t="shared" ref="D298:O307" si="214">$C$7*BL_MBPS*BL_KM^2*D$287*$C298^2/EM_KM^2</f>
        <v>67.222222222222229</v>
      </c>
      <c r="E298" s="2">
        <f t="shared" si="214"/>
        <v>134.44444444444446</v>
      </c>
      <c r="F298" s="2">
        <f t="shared" si="214"/>
        <v>201.66666666666666</v>
      </c>
      <c r="G298" s="2">
        <f t="shared" si="214"/>
        <v>268.88888888888891</v>
      </c>
      <c r="H298" s="2">
        <f t="shared" si="214"/>
        <v>336.11111111111109</v>
      </c>
      <c r="I298" s="2">
        <f t="shared" si="214"/>
        <v>403.33333333333331</v>
      </c>
      <c r="J298" s="2">
        <f t="shared" si="214"/>
        <v>470.55555555555554</v>
      </c>
      <c r="K298" s="2">
        <f t="shared" si="214"/>
        <v>537.77777777777783</v>
      </c>
      <c r="L298" s="2">
        <f t="shared" si="214"/>
        <v>605</v>
      </c>
      <c r="M298" s="2">
        <f t="shared" si="214"/>
        <v>672.22222222222217</v>
      </c>
      <c r="N298" s="2">
        <f t="shared" si="214"/>
        <v>739.44444444444446</v>
      </c>
      <c r="O298" s="2">
        <f t="shared" si="214"/>
        <v>806.66666666666663</v>
      </c>
    </row>
    <row r="299" spans="3:15" x14ac:dyDescent="0.45">
      <c r="C299">
        <f t="shared" si="213"/>
        <v>12</v>
      </c>
      <c r="D299" s="2">
        <f t="shared" si="214"/>
        <v>80</v>
      </c>
      <c r="E299" s="2">
        <f t="shared" si="214"/>
        <v>160</v>
      </c>
      <c r="F299" s="2">
        <f t="shared" si="214"/>
        <v>240</v>
      </c>
      <c r="G299" s="2">
        <f t="shared" si="214"/>
        <v>320</v>
      </c>
      <c r="H299" s="2">
        <f t="shared" si="214"/>
        <v>400</v>
      </c>
      <c r="I299" s="2">
        <f t="shared" si="214"/>
        <v>480</v>
      </c>
      <c r="J299" s="2">
        <f t="shared" si="214"/>
        <v>560</v>
      </c>
      <c r="K299" s="2">
        <f t="shared" si="214"/>
        <v>640</v>
      </c>
      <c r="L299" s="2">
        <f t="shared" si="214"/>
        <v>720</v>
      </c>
      <c r="M299" s="2">
        <f t="shared" si="214"/>
        <v>800</v>
      </c>
      <c r="N299" s="2">
        <f t="shared" si="214"/>
        <v>880</v>
      </c>
      <c r="O299" s="2">
        <f t="shared" si="214"/>
        <v>960</v>
      </c>
    </row>
    <row r="300" spans="3:15" x14ac:dyDescent="0.45">
      <c r="C300">
        <f t="shared" si="213"/>
        <v>13</v>
      </c>
      <c r="D300" s="2">
        <f t="shared" si="214"/>
        <v>93.888888888888886</v>
      </c>
      <c r="E300" s="2">
        <f t="shared" si="214"/>
        <v>187.77777777777777</v>
      </c>
      <c r="F300" s="2">
        <f t="shared" si="214"/>
        <v>281.66666666666669</v>
      </c>
      <c r="G300" s="2">
        <f t="shared" si="214"/>
        <v>375.55555555555554</v>
      </c>
      <c r="H300" s="2">
        <f t="shared" si="214"/>
        <v>469.44444444444446</v>
      </c>
      <c r="I300" s="2">
        <f t="shared" si="214"/>
        <v>563.33333333333337</v>
      </c>
      <c r="J300" s="2">
        <f t="shared" si="214"/>
        <v>657.22222222222217</v>
      </c>
      <c r="K300" s="2">
        <f t="shared" si="214"/>
        <v>751.11111111111109</v>
      </c>
      <c r="L300" s="2">
        <f t="shared" si="214"/>
        <v>845</v>
      </c>
      <c r="M300" s="2">
        <f t="shared" si="214"/>
        <v>938.88888888888891</v>
      </c>
      <c r="N300" s="2">
        <f t="shared" si="214"/>
        <v>1032.7777777777778</v>
      </c>
      <c r="O300" s="2">
        <f t="shared" si="214"/>
        <v>1126.6666666666667</v>
      </c>
    </row>
    <row r="301" spans="3:15" x14ac:dyDescent="0.45">
      <c r="C301">
        <f t="shared" si="213"/>
        <v>14</v>
      </c>
      <c r="D301" s="2">
        <f t="shared" si="214"/>
        <v>108.88888888888889</v>
      </c>
      <c r="E301" s="2">
        <f t="shared" si="214"/>
        <v>217.77777777777777</v>
      </c>
      <c r="F301" s="2">
        <f t="shared" si="214"/>
        <v>326.66666666666669</v>
      </c>
      <c r="G301" s="2">
        <f t="shared" si="214"/>
        <v>435.55555555555554</v>
      </c>
      <c r="H301" s="2">
        <f t="shared" si="214"/>
        <v>544.44444444444446</v>
      </c>
      <c r="I301" s="2">
        <f t="shared" si="214"/>
        <v>653.33333333333337</v>
      </c>
      <c r="J301" s="2">
        <f t="shared" si="214"/>
        <v>762.22222222222217</v>
      </c>
      <c r="K301" s="2">
        <f t="shared" si="214"/>
        <v>871.11111111111109</v>
      </c>
      <c r="L301" s="2">
        <f t="shared" si="214"/>
        <v>980</v>
      </c>
      <c r="M301" s="2">
        <f t="shared" si="214"/>
        <v>1088.8888888888889</v>
      </c>
      <c r="N301" s="2">
        <f t="shared" si="214"/>
        <v>1197.7777777777778</v>
      </c>
      <c r="O301" s="2">
        <f t="shared" si="214"/>
        <v>1306.6666666666667</v>
      </c>
    </row>
    <row r="302" spans="3:15" x14ac:dyDescent="0.45">
      <c r="C302">
        <f t="shared" si="213"/>
        <v>15</v>
      </c>
      <c r="D302" s="2">
        <f t="shared" si="214"/>
        <v>125</v>
      </c>
      <c r="E302" s="2">
        <f t="shared" si="214"/>
        <v>250</v>
      </c>
      <c r="F302" s="2">
        <f t="shared" si="214"/>
        <v>375</v>
      </c>
      <c r="G302" s="2">
        <f t="shared" si="214"/>
        <v>500</v>
      </c>
      <c r="H302" s="2">
        <f t="shared" si="214"/>
        <v>625</v>
      </c>
      <c r="I302" s="2">
        <f t="shared" si="214"/>
        <v>750</v>
      </c>
      <c r="J302" s="2">
        <f t="shared" si="214"/>
        <v>875</v>
      </c>
      <c r="K302" s="2">
        <f t="shared" si="214"/>
        <v>1000</v>
      </c>
      <c r="L302" s="2">
        <f t="shared" si="214"/>
        <v>1125</v>
      </c>
      <c r="M302" s="2">
        <f t="shared" si="214"/>
        <v>1250</v>
      </c>
      <c r="N302" s="2">
        <f t="shared" si="214"/>
        <v>1375</v>
      </c>
      <c r="O302" s="2">
        <f t="shared" si="214"/>
        <v>1500</v>
      </c>
    </row>
    <row r="303" spans="3:15" x14ac:dyDescent="0.45">
      <c r="C303">
        <f t="shared" si="213"/>
        <v>16</v>
      </c>
      <c r="D303" s="2">
        <f t="shared" si="214"/>
        <v>142.22222222222223</v>
      </c>
      <c r="E303" s="2">
        <f t="shared" si="214"/>
        <v>284.44444444444446</v>
      </c>
      <c r="F303" s="2">
        <f t="shared" si="214"/>
        <v>426.66666666666669</v>
      </c>
      <c r="G303" s="2">
        <f t="shared" si="214"/>
        <v>568.88888888888891</v>
      </c>
      <c r="H303" s="2">
        <f t="shared" si="214"/>
        <v>711.11111111111109</v>
      </c>
      <c r="I303" s="2">
        <f t="shared" si="214"/>
        <v>853.33333333333337</v>
      </c>
      <c r="J303" s="2">
        <f t="shared" si="214"/>
        <v>995.55555555555554</v>
      </c>
      <c r="K303" s="2">
        <f t="shared" si="214"/>
        <v>1137.7777777777778</v>
      </c>
      <c r="L303" s="2">
        <f t="shared" si="214"/>
        <v>1280</v>
      </c>
      <c r="M303" s="2">
        <f t="shared" si="214"/>
        <v>1422.2222222222222</v>
      </c>
      <c r="N303" s="2">
        <f t="shared" si="214"/>
        <v>1564.4444444444443</v>
      </c>
      <c r="O303" s="2">
        <f t="shared" si="214"/>
        <v>1706.6666666666667</v>
      </c>
    </row>
    <row r="304" spans="3:15" x14ac:dyDescent="0.45">
      <c r="C304">
        <f t="shared" si="213"/>
        <v>17</v>
      </c>
      <c r="D304" s="2">
        <f t="shared" si="214"/>
        <v>160.55555555555554</v>
      </c>
      <c r="E304" s="2">
        <f t="shared" si="214"/>
        <v>321.11111111111109</v>
      </c>
      <c r="F304" s="2">
        <f t="shared" si="214"/>
        <v>481.66666666666669</v>
      </c>
      <c r="G304" s="2">
        <f t="shared" si="214"/>
        <v>642.22222222222217</v>
      </c>
      <c r="H304" s="2">
        <f t="shared" si="214"/>
        <v>802.77777777777783</v>
      </c>
      <c r="I304" s="2">
        <f t="shared" si="214"/>
        <v>963.33333333333337</v>
      </c>
      <c r="J304" s="2">
        <f t="shared" si="214"/>
        <v>1123.8888888888889</v>
      </c>
      <c r="K304" s="2">
        <f t="shared" si="214"/>
        <v>1284.4444444444443</v>
      </c>
      <c r="L304" s="2">
        <f t="shared" si="214"/>
        <v>1445</v>
      </c>
      <c r="M304" s="2">
        <f t="shared" si="214"/>
        <v>1605.5555555555557</v>
      </c>
      <c r="N304" s="2">
        <f t="shared" si="214"/>
        <v>1766.1111111111111</v>
      </c>
      <c r="O304" s="2">
        <f t="shared" si="214"/>
        <v>1926.6666666666667</v>
      </c>
    </row>
    <row r="305" spans="3:15" x14ac:dyDescent="0.45">
      <c r="C305">
        <f t="shared" si="213"/>
        <v>18</v>
      </c>
      <c r="D305" s="2">
        <f t="shared" si="214"/>
        <v>180</v>
      </c>
      <c r="E305" s="2">
        <f t="shared" si="214"/>
        <v>360</v>
      </c>
      <c r="F305" s="2">
        <f t="shared" si="214"/>
        <v>540</v>
      </c>
      <c r="G305" s="2">
        <f t="shared" si="214"/>
        <v>720</v>
      </c>
      <c r="H305" s="2">
        <f t="shared" si="214"/>
        <v>900</v>
      </c>
      <c r="I305" s="2">
        <f t="shared" si="214"/>
        <v>1080</v>
      </c>
      <c r="J305" s="2">
        <f t="shared" si="214"/>
        <v>1260</v>
      </c>
      <c r="K305" s="2">
        <f t="shared" si="214"/>
        <v>1440</v>
      </c>
      <c r="L305" s="2">
        <f t="shared" si="214"/>
        <v>1620</v>
      </c>
      <c r="M305" s="2">
        <f t="shared" si="214"/>
        <v>1800</v>
      </c>
      <c r="N305" s="2">
        <f t="shared" si="214"/>
        <v>1980</v>
      </c>
      <c r="O305" s="2">
        <f t="shared" si="214"/>
        <v>2160</v>
      </c>
    </row>
    <row r="306" spans="3:15" x14ac:dyDescent="0.45">
      <c r="C306">
        <f t="shared" si="213"/>
        <v>19</v>
      </c>
      <c r="D306" s="2">
        <f t="shared" si="214"/>
        <v>200.55555555555554</v>
      </c>
      <c r="E306" s="2">
        <f t="shared" si="214"/>
        <v>401.11111111111109</v>
      </c>
      <c r="F306" s="2">
        <f t="shared" si="214"/>
        <v>601.66666666666663</v>
      </c>
      <c r="G306" s="2">
        <f t="shared" si="214"/>
        <v>802.22222222222217</v>
      </c>
      <c r="H306" s="2">
        <f t="shared" si="214"/>
        <v>1002.7777777777778</v>
      </c>
      <c r="I306" s="2">
        <f t="shared" si="214"/>
        <v>1203.3333333333333</v>
      </c>
      <c r="J306" s="2">
        <f t="shared" si="214"/>
        <v>1403.8888888888889</v>
      </c>
      <c r="K306" s="2">
        <f t="shared" si="214"/>
        <v>1604.4444444444443</v>
      </c>
      <c r="L306" s="2">
        <f t="shared" si="214"/>
        <v>1805</v>
      </c>
      <c r="M306" s="2">
        <f t="shared" si="214"/>
        <v>2005.5555555555557</v>
      </c>
      <c r="N306" s="2">
        <f t="shared" si="214"/>
        <v>2206.1111111111113</v>
      </c>
      <c r="O306" s="2">
        <f t="shared" si="214"/>
        <v>2406.6666666666665</v>
      </c>
    </row>
    <row r="307" spans="3:15" x14ac:dyDescent="0.45">
      <c r="C307">
        <f t="shared" si="213"/>
        <v>20</v>
      </c>
      <c r="D307" s="2">
        <f t="shared" si="214"/>
        <v>222.22222222222223</v>
      </c>
      <c r="E307" s="2">
        <f t="shared" si="214"/>
        <v>444.44444444444446</v>
      </c>
      <c r="F307" s="2">
        <f t="shared" si="214"/>
        <v>666.66666666666663</v>
      </c>
      <c r="G307" s="2">
        <f t="shared" si="214"/>
        <v>888.88888888888891</v>
      </c>
      <c r="H307" s="2">
        <f t="shared" si="214"/>
        <v>1111.1111111111111</v>
      </c>
      <c r="I307" s="2">
        <f t="shared" si="214"/>
        <v>1333.3333333333333</v>
      </c>
      <c r="J307" s="2">
        <f t="shared" si="214"/>
        <v>1555.5555555555557</v>
      </c>
      <c r="K307" s="2">
        <f t="shared" si="214"/>
        <v>1777.7777777777778</v>
      </c>
      <c r="L307" s="2">
        <f t="shared" si="214"/>
        <v>2000</v>
      </c>
      <c r="M307" s="2">
        <f t="shared" si="214"/>
        <v>2222.2222222222222</v>
      </c>
      <c r="N307" s="2">
        <f t="shared" si="214"/>
        <v>2444.4444444444443</v>
      </c>
      <c r="O307" s="2">
        <f t="shared" si="214"/>
        <v>2666.6666666666665</v>
      </c>
    </row>
    <row r="310" spans="3:15" x14ac:dyDescent="0.45">
      <c r="C310" t="s">
        <v>50</v>
      </c>
      <c r="D310" t="s">
        <v>10</v>
      </c>
      <c r="F310" t="s">
        <v>54</v>
      </c>
    </row>
    <row r="311" spans="3:15" x14ac:dyDescent="0.45">
      <c r="C311" t="s">
        <v>16</v>
      </c>
      <c r="D311">
        <v>500</v>
      </c>
      <c r="E311">
        <f>D311+500</f>
        <v>1000</v>
      </c>
      <c r="F311">
        <f t="shared" ref="F311:O311" si="215">E311+500</f>
        <v>1500</v>
      </c>
      <c r="G311">
        <f t="shared" si="215"/>
        <v>2000</v>
      </c>
      <c r="H311">
        <f t="shared" si="215"/>
        <v>2500</v>
      </c>
      <c r="I311">
        <f t="shared" si="215"/>
        <v>3000</v>
      </c>
      <c r="J311">
        <f t="shared" si="215"/>
        <v>3500</v>
      </c>
      <c r="K311">
        <f t="shared" si="215"/>
        <v>4000</v>
      </c>
      <c r="L311">
        <f t="shared" si="215"/>
        <v>4500</v>
      </c>
      <c r="M311">
        <f t="shared" si="215"/>
        <v>5000</v>
      </c>
      <c r="N311">
        <f t="shared" si="215"/>
        <v>5500</v>
      </c>
      <c r="O311">
        <f t="shared" si="215"/>
        <v>6000</v>
      </c>
    </row>
    <row r="312" spans="3:15" x14ac:dyDescent="0.45">
      <c r="C312">
        <v>1</v>
      </c>
      <c r="D312" s="2">
        <f>D288-D13</f>
        <v>4.1153767169888056E-4</v>
      </c>
      <c r="E312" s="2">
        <f t="shared" ref="E312:O312" si="216">E288-E13</f>
        <v>2.0588321959569278E-4</v>
      </c>
      <c r="F312" s="2">
        <f t="shared" si="216"/>
        <v>1.3726961048510233E-4</v>
      </c>
      <c r="G312" s="2">
        <f t="shared" si="216"/>
        <v>1.0295591770237422E-4</v>
      </c>
      <c r="H312" s="2">
        <f t="shared" si="216"/>
        <v>8.236610793455057E-5</v>
      </c>
      <c r="I312" s="2">
        <f t="shared" si="216"/>
        <v>6.8639045167628865E-5</v>
      </c>
      <c r="J312" s="2">
        <f t="shared" si="216"/>
        <v>5.8833788701750933E-5</v>
      </c>
      <c r="K312" s="2">
        <f t="shared" si="216"/>
        <v>5.1479747649629815E-5</v>
      </c>
      <c r="L312" s="2">
        <f t="shared" si="216"/>
        <v>4.5759886931229232E-5</v>
      </c>
      <c r="M312" s="2">
        <f t="shared" si="216"/>
        <v>4.1183969851310565E-5</v>
      </c>
      <c r="N312" s="2">
        <f t="shared" si="216"/>
        <v>3.7440020761003723E-5</v>
      </c>
      <c r="O312" s="2">
        <f t="shared" si="216"/>
        <v>3.4320052615832708E-5</v>
      </c>
    </row>
    <row r="313" spans="3:15" x14ac:dyDescent="0.45">
      <c r="C313">
        <f>C312+1</f>
        <v>2</v>
      </c>
      <c r="D313" s="2">
        <f t="shared" ref="D313:O313" si="217">D289-D14</f>
        <v>6.5700022087571419E-3</v>
      </c>
      <c r="E313" s="2">
        <f t="shared" si="217"/>
        <v>3.2923013735910445E-3</v>
      </c>
      <c r="F313" s="2">
        <f t="shared" si="217"/>
        <v>2.1957712249713879E-3</v>
      </c>
      <c r="G313" s="2">
        <f t="shared" si="217"/>
        <v>1.6470657567655422E-3</v>
      </c>
      <c r="H313" s="2">
        <f t="shared" si="217"/>
        <v>1.3177405068258707E-3</v>
      </c>
      <c r="I313" s="2">
        <f t="shared" si="217"/>
        <v>1.0981568838808187E-3</v>
      </c>
      <c r="J313" s="2">
        <f t="shared" si="217"/>
        <v>9.4129789741792536E-4</v>
      </c>
      <c r="K313" s="2">
        <f t="shared" si="217"/>
        <v>8.2364734161899378E-4</v>
      </c>
      <c r="L313" s="2">
        <f t="shared" si="217"/>
        <v>7.3213808935790325E-4</v>
      </c>
      <c r="M313" s="2">
        <f t="shared" si="217"/>
        <v>6.5892886347640456E-4</v>
      </c>
      <c r="N313" s="2">
        <f t="shared" si="217"/>
        <v>5.9902932223465655E-4</v>
      </c>
      <c r="O313" s="2">
        <f t="shared" si="217"/>
        <v>5.4911236134103092E-4</v>
      </c>
    </row>
    <row r="314" spans="3:15" x14ac:dyDescent="0.45">
      <c r="C314">
        <f t="shared" ref="C314:C331" si="218">C313+1</f>
        <v>3</v>
      </c>
      <c r="D314" s="2">
        <f t="shared" ref="D314:O314" si="219">D290-D15</f>
        <v>3.3138169891556046E-2</v>
      </c>
      <c r="E314" s="2">
        <f t="shared" si="219"/>
        <v>1.6651856754497985E-2</v>
      </c>
      <c r="F314" s="2">
        <f t="shared" si="219"/>
        <v>1.1111517135869775E-2</v>
      </c>
      <c r="G314" s="2">
        <f t="shared" si="219"/>
        <v>8.3363395421436337E-3</v>
      </c>
      <c r="H314" s="2">
        <f t="shared" si="219"/>
        <v>6.6700725055213184E-3</v>
      </c>
      <c r="I314" s="2">
        <f t="shared" si="219"/>
        <v>5.5588469290803744E-3</v>
      </c>
      <c r="J314" s="2">
        <f t="shared" si="219"/>
        <v>4.7649601840404898E-3</v>
      </c>
      <c r="K314" s="2">
        <f t="shared" si="219"/>
        <v>4.1694732014789793E-3</v>
      </c>
      <c r="L314" s="2">
        <f t="shared" si="219"/>
        <v>3.7062794830973189E-3</v>
      </c>
      <c r="M314" s="2">
        <f t="shared" si="219"/>
        <v>3.3357037343364482E-3</v>
      </c>
      <c r="N314" s="2">
        <f t="shared" si="219"/>
        <v>3.0324930519469717E-3</v>
      </c>
      <c r="O314" s="2">
        <f t="shared" si="219"/>
        <v>2.7798097779694331E-3</v>
      </c>
    </row>
    <row r="315" spans="3:15" x14ac:dyDescent="0.45">
      <c r="C315">
        <f t="shared" si="218"/>
        <v>4</v>
      </c>
      <c r="D315" s="2">
        <f t="shared" ref="D315:O315" si="220">D291-D16</f>
        <v>0.10419586976256134</v>
      </c>
      <c r="E315" s="2">
        <f t="shared" si="220"/>
        <v>5.2560017670057135E-2</v>
      </c>
      <c r="F315" s="2">
        <f t="shared" si="220"/>
        <v>3.5097659705485285E-2</v>
      </c>
      <c r="G315" s="2">
        <f t="shared" si="220"/>
        <v>2.6338410988728356E-2</v>
      </c>
      <c r="H315" s="2">
        <f t="shared" si="220"/>
        <v>2.1076349356185631E-2</v>
      </c>
      <c r="I315" s="2">
        <f t="shared" si="220"/>
        <v>1.7566169799771103E-2</v>
      </c>
      <c r="J315" s="2">
        <f t="shared" si="220"/>
        <v>1.505803278328699E-2</v>
      </c>
      <c r="K315" s="2">
        <f t="shared" si="220"/>
        <v>1.3176526054124338E-2</v>
      </c>
      <c r="L315" s="2">
        <f t="shared" si="220"/>
        <v>1.1712923108149198E-2</v>
      </c>
      <c r="M315" s="2">
        <f t="shared" si="220"/>
        <v>1.0541924054606966E-2</v>
      </c>
      <c r="N315" s="2">
        <f t="shared" si="220"/>
        <v>9.5837645839225161E-3</v>
      </c>
      <c r="O315" s="2">
        <f t="shared" si="220"/>
        <v>8.7852550710465493E-3</v>
      </c>
    </row>
    <row r="316" spans="3:15" x14ac:dyDescent="0.45">
      <c r="C316">
        <f t="shared" si="218"/>
        <v>5</v>
      </c>
      <c r="D316" s="2">
        <f t="shared" ref="D316:O316" si="221">D292-D17</f>
        <v>0.2527181141621142</v>
      </c>
      <c r="E316" s="2">
        <f t="shared" si="221"/>
        <v>0.12810730910976176</v>
      </c>
      <c r="F316" s="2">
        <f t="shared" si="221"/>
        <v>8.5624254596858407E-2</v>
      </c>
      <c r="G316" s="2">
        <f t="shared" si="221"/>
        <v>6.4275978566563197E-2</v>
      </c>
      <c r="H316" s="2">
        <f t="shared" si="221"/>
        <v>5.1442208962356517E-2</v>
      </c>
      <c r="I316" s="2">
        <f t="shared" si="221"/>
        <v>4.2878212768542312E-2</v>
      </c>
      <c r="J316" s="2">
        <f t="shared" si="221"/>
        <v>3.6757771613423529E-2</v>
      </c>
      <c r="K316" s="2">
        <f t="shared" si="221"/>
        <v>3.2165900462118202E-2</v>
      </c>
      <c r="L316" s="2">
        <f t="shared" si="221"/>
        <v>2.8593648809433603E-2</v>
      </c>
      <c r="M316" s="2">
        <f t="shared" si="221"/>
        <v>2.5735402449441835E-2</v>
      </c>
      <c r="N316" s="2">
        <f t="shared" si="221"/>
        <v>2.3396572810042926E-2</v>
      </c>
      <c r="O316" s="2">
        <f t="shared" si="221"/>
        <v>2.1447383013338595E-2</v>
      </c>
    </row>
    <row r="317" spans="3:15" x14ac:dyDescent="0.45">
      <c r="C317">
        <f t="shared" si="218"/>
        <v>6</v>
      </c>
      <c r="D317" s="2">
        <f t="shared" ref="D317:O317" si="222">D293-D18</f>
        <v>0.51987411227207403</v>
      </c>
      <c r="E317" s="2">
        <f t="shared" si="222"/>
        <v>0.26510535913244837</v>
      </c>
      <c r="F317" s="2">
        <f t="shared" si="222"/>
        <v>0.17739005963644416</v>
      </c>
      <c r="G317" s="2">
        <f t="shared" si="222"/>
        <v>0.13321485403598388</v>
      </c>
      <c r="H317" s="2">
        <f t="shared" si="222"/>
        <v>0.10663580785988813</v>
      </c>
      <c r="I317" s="2">
        <f t="shared" si="222"/>
        <v>8.8892137086958201E-2</v>
      </c>
      <c r="J317" s="2">
        <f t="shared" si="222"/>
        <v>7.62082375831028E-2</v>
      </c>
      <c r="K317" s="2">
        <f t="shared" si="222"/>
        <v>6.669071633714907E-2</v>
      </c>
      <c r="L317" s="2">
        <f t="shared" si="222"/>
        <v>5.9285823074247901E-2</v>
      </c>
      <c r="M317" s="2">
        <f t="shared" si="222"/>
        <v>5.3360580044170547E-2</v>
      </c>
      <c r="N317" s="2">
        <f t="shared" si="222"/>
        <v>4.8511864546156858E-2</v>
      </c>
      <c r="O317" s="2">
        <f t="shared" si="222"/>
        <v>4.4470775432642995E-2</v>
      </c>
    </row>
    <row r="318" spans="3:15" x14ac:dyDescent="0.45">
      <c r="C318">
        <f t="shared" si="218"/>
        <v>7</v>
      </c>
      <c r="D318" s="2">
        <f t="shared" ref="D318:O318" si="223">D294-D19</f>
        <v>0.95417450537437887</v>
      </c>
      <c r="E318" s="2">
        <f t="shared" si="223"/>
        <v>0.4899677609952704</v>
      </c>
      <c r="F318" s="2">
        <f t="shared" si="223"/>
        <v>0.32828649849309954</v>
      </c>
      <c r="G318" s="2">
        <f t="shared" si="223"/>
        <v>0.24664864934187847</v>
      </c>
      <c r="H318" s="2">
        <f t="shared" si="223"/>
        <v>0.19747995462822132</v>
      </c>
      <c r="I318" s="2">
        <f t="shared" si="223"/>
        <v>0.16463961727842502</v>
      </c>
      <c r="J318" s="2">
        <f t="shared" si="223"/>
        <v>0.1411574213927338</v>
      </c>
      <c r="K318" s="2">
        <f t="shared" si="223"/>
        <v>0.12353419141058453</v>
      </c>
      <c r="L318" s="2">
        <f t="shared" si="223"/>
        <v>0.10982124460628029</v>
      </c>
      <c r="M318" s="2">
        <f t="shared" si="223"/>
        <v>9.8847538742973029E-2</v>
      </c>
      <c r="N318" s="2">
        <f t="shared" si="223"/>
        <v>8.9867062250959862E-2</v>
      </c>
      <c r="O318" s="2">
        <f t="shared" si="223"/>
        <v>8.2382089353984611E-2</v>
      </c>
    </row>
    <row r="319" spans="3:15" x14ac:dyDescent="0.45">
      <c r="C319">
        <f t="shared" si="218"/>
        <v>8</v>
      </c>
      <c r="D319" s="2">
        <f t="shared" ref="D319:O319" si="224">D295-D20</f>
        <v>1.6104989397022749</v>
      </c>
      <c r="E319" s="2">
        <f t="shared" si="224"/>
        <v>0.83356695810049075</v>
      </c>
      <c r="F319" s="2">
        <f t="shared" si="224"/>
        <v>0.55935395363181328</v>
      </c>
      <c r="G319" s="2">
        <f t="shared" si="224"/>
        <v>0.42048014136045708</v>
      </c>
      <c r="H319" s="2">
        <f t="shared" si="224"/>
        <v>0.33674252174444064</v>
      </c>
      <c r="I319" s="2">
        <f t="shared" si="224"/>
        <v>0.28078127764388228</v>
      </c>
      <c r="J319" s="2">
        <f t="shared" si="224"/>
        <v>0.2407537343613626</v>
      </c>
      <c r="K319" s="2">
        <f t="shared" si="224"/>
        <v>0.21070728790982685</v>
      </c>
      <c r="L319" s="2">
        <f t="shared" si="224"/>
        <v>0.18732449032955856</v>
      </c>
      <c r="M319" s="2">
        <f t="shared" si="224"/>
        <v>0.16861079484948505</v>
      </c>
      <c r="N319" s="2">
        <f t="shared" si="224"/>
        <v>0.15329515731218635</v>
      </c>
      <c r="O319" s="2">
        <f t="shared" si="224"/>
        <v>0.14052935839816882</v>
      </c>
    </row>
    <row r="320" spans="3:15" x14ac:dyDescent="0.45">
      <c r="C320">
        <f t="shared" si="218"/>
        <v>9</v>
      </c>
      <c r="D320" s="2">
        <f t="shared" ref="D320:O320" si="225">D296-D21</f>
        <v>2.549038982249634</v>
      </c>
      <c r="E320" s="2">
        <f t="shared" si="225"/>
        <v>1.331068586369895</v>
      </c>
      <c r="F320" s="2">
        <f t="shared" si="225"/>
        <v>0.89473058707199016</v>
      </c>
      <c r="G320" s="2">
        <f t="shared" si="225"/>
        <v>0.67299936243480829</v>
      </c>
      <c r="H320" s="2">
        <f t="shared" si="225"/>
        <v>0.5391251517146145</v>
      </c>
      <c r="I320" s="2">
        <f t="shared" si="225"/>
        <v>0.44960013237147223</v>
      </c>
      <c r="J320" s="2">
        <f t="shared" si="225"/>
        <v>0.38554186824393355</v>
      </c>
      <c r="K320" s="2">
        <f t="shared" si="225"/>
        <v>0.33744593496356856</v>
      </c>
      <c r="L320" s="2">
        <f t="shared" si="225"/>
        <v>0.30001096266852301</v>
      </c>
      <c r="M320" s="2">
        <f t="shared" si="225"/>
        <v>0.27004787452835899</v>
      </c>
      <c r="N320" s="2">
        <f t="shared" si="225"/>
        <v>0.24552363921077358</v>
      </c>
      <c r="O320" s="2">
        <f t="shared" si="225"/>
        <v>0.22508116763788166</v>
      </c>
    </row>
    <row r="321" spans="3:15" x14ac:dyDescent="0.45">
      <c r="C321">
        <f t="shared" si="218"/>
        <v>10</v>
      </c>
      <c r="D321" s="2">
        <f t="shared" ref="D321:O321" si="226">D297-D22</f>
        <v>3.8341923375098261</v>
      </c>
      <c r="E321" s="2">
        <f t="shared" si="226"/>
        <v>2.0217449132969136</v>
      </c>
      <c r="F321" s="2">
        <f t="shared" si="226"/>
        <v>1.3615939201077083</v>
      </c>
      <c r="G321" s="2">
        <f t="shared" si="226"/>
        <v>1.0248584728780941</v>
      </c>
      <c r="H321" s="2">
        <f t="shared" si="226"/>
        <v>0.82125027609458812</v>
      </c>
      <c r="I321" s="2">
        <f t="shared" si="226"/>
        <v>0.68499403677486725</v>
      </c>
      <c r="J321" s="2">
        <f t="shared" si="226"/>
        <v>0.58745802753327325</v>
      </c>
      <c r="K321" s="2">
        <f t="shared" si="226"/>
        <v>0.51420782853250557</v>
      </c>
      <c r="L321" s="2">
        <f t="shared" si="226"/>
        <v>0.45718463910236551</v>
      </c>
      <c r="M321" s="2">
        <f t="shared" si="226"/>
        <v>0.41153767169885214</v>
      </c>
      <c r="N321" s="2">
        <f t="shared" si="226"/>
        <v>0.37417326092975145</v>
      </c>
      <c r="O321" s="2">
        <f t="shared" si="226"/>
        <v>0.3430257021483385</v>
      </c>
    </row>
    <row r="322" spans="3:15" x14ac:dyDescent="0.45">
      <c r="C322">
        <f t="shared" si="218"/>
        <v>11</v>
      </c>
      <c r="D322" s="2">
        <f t="shared" ref="D322:O322" si="227">D298-D23</f>
        <v>5.5334434386334621</v>
      </c>
      <c r="E322" s="2">
        <f t="shared" si="227"/>
        <v>2.9487691918324117</v>
      </c>
      <c r="F322" s="2">
        <f t="shared" si="227"/>
        <v>1.9900954341068484</v>
      </c>
      <c r="G322" s="2">
        <f t="shared" si="227"/>
        <v>1.4990434796371233</v>
      </c>
      <c r="H322" s="2">
        <f t="shared" si="227"/>
        <v>1.2016464687445136</v>
      </c>
      <c r="I322" s="2">
        <f t="shared" si="227"/>
        <v>1.0024671583059899</v>
      </c>
      <c r="J322" s="2">
        <f t="shared" si="227"/>
        <v>0.85982453826466099</v>
      </c>
      <c r="K322" s="2">
        <f t="shared" si="227"/>
        <v>0.75266881093227767</v>
      </c>
      <c r="L322" s="2">
        <f t="shared" si="227"/>
        <v>0.66923552514492712</v>
      </c>
      <c r="M322" s="2">
        <f t="shared" si="227"/>
        <v>0.60243858904038916</v>
      </c>
      <c r="N322" s="2">
        <f t="shared" si="227"/>
        <v>0.54775664103112831</v>
      </c>
      <c r="O322" s="2">
        <f t="shared" si="227"/>
        <v>0.5021696695278024</v>
      </c>
    </row>
    <row r="323" spans="3:15" x14ac:dyDescent="0.45">
      <c r="C323">
        <f t="shared" si="218"/>
        <v>12</v>
      </c>
      <c r="D323" s="2">
        <f t="shared" ref="D323:O323" si="228">D299-D24</f>
        <v>7.7162629905153892</v>
      </c>
      <c r="E323" s="2">
        <f t="shared" si="228"/>
        <v>4.1589928981765922</v>
      </c>
      <c r="F323" s="2">
        <f t="shared" si="228"/>
        <v>2.8132884835891616</v>
      </c>
      <c r="G323" s="2">
        <f t="shared" si="228"/>
        <v>2.120842873059587</v>
      </c>
      <c r="H323" s="2">
        <f t="shared" si="228"/>
        <v>1.7007321573319132</v>
      </c>
      <c r="I323" s="2">
        <f t="shared" si="228"/>
        <v>1.4191204770915533</v>
      </c>
      <c r="J323" s="2">
        <f t="shared" si="228"/>
        <v>1.2173438378634955</v>
      </c>
      <c r="K323" s="2">
        <f t="shared" si="228"/>
        <v>1.065718832287871</v>
      </c>
      <c r="L323" s="2">
        <f t="shared" si="228"/>
        <v>0.94763681204801742</v>
      </c>
      <c r="M323" s="2">
        <f t="shared" si="228"/>
        <v>0.85308646287910506</v>
      </c>
      <c r="N323" s="2">
        <f t="shared" si="228"/>
        <v>0.77567670287760393</v>
      </c>
      <c r="O323" s="2">
        <f t="shared" si="228"/>
        <v>0.7111370966956656</v>
      </c>
    </row>
    <row r="324" spans="3:15" x14ac:dyDescent="0.45">
      <c r="C324">
        <f t="shared" si="218"/>
        <v>13</v>
      </c>
      <c r="D324" s="2">
        <f t="shared" ref="D324:O324" si="229">D300-D25</f>
        <v>10.453055252692081</v>
      </c>
      <c r="E324" s="2">
        <f t="shared" si="229"/>
        <v>5.7027079438391866</v>
      </c>
      <c r="F324" s="2">
        <f t="shared" si="229"/>
        <v>3.8670498398000177</v>
      </c>
      <c r="G324" s="2">
        <f t="shared" si="229"/>
        <v>2.9178132611656338</v>
      </c>
      <c r="H324" s="2">
        <f t="shared" si="229"/>
        <v>2.3407977197122705</v>
      </c>
      <c r="I324" s="2">
        <f t="shared" si="229"/>
        <v>1.9536413268289152</v>
      </c>
      <c r="J324" s="2">
        <f t="shared" si="229"/>
        <v>1.6760918510846068</v>
      </c>
      <c r="K324" s="2">
        <f t="shared" si="229"/>
        <v>1.4674574965204101</v>
      </c>
      <c r="L324" s="2">
        <f t="shared" si="229"/>
        <v>1.3049417406804196</v>
      </c>
      <c r="M324" s="2">
        <f t="shared" si="229"/>
        <v>1.1747922728135336</v>
      </c>
      <c r="N324" s="2">
        <f t="shared" si="229"/>
        <v>1.0682249515352851</v>
      </c>
      <c r="O324" s="2">
        <f t="shared" si="229"/>
        <v>0.97936800131606105</v>
      </c>
    </row>
    <row r="325" spans="3:15" x14ac:dyDescent="0.45">
      <c r="C325">
        <f t="shared" si="218"/>
        <v>14</v>
      </c>
      <c r="D325" s="2">
        <f t="shared" ref="D325:O325" si="230">D301-D26</f>
        <v>13.814177138136003</v>
      </c>
      <c r="E325" s="2">
        <f t="shared" si="230"/>
        <v>7.6333960429950309</v>
      </c>
      <c r="F325" s="2">
        <f t="shared" si="230"/>
        <v>5.1899952077848184</v>
      </c>
      <c r="G325" s="2">
        <f t="shared" si="230"/>
        <v>3.9197420879621632</v>
      </c>
      <c r="H325" s="2">
        <f t="shared" si="230"/>
        <v>3.1459859943547599</v>
      </c>
      <c r="I325" s="2">
        <f t="shared" si="230"/>
        <v>2.6262919879447963</v>
      </c>
      <c r="J325" s="2">
        <f t="shared" si="230"/>
        <v>2.253510757603749</v>
      </c>
      <c r="K325" s="2">
        <f t="shared" si="230"/>
        <v>1.9731891947350277</v>
      </c>
      <c r="L325" s="2">
        <f t="shared" si="230"/>
        <v>1.7547801731786876</v>
      </c>
      <c r="M325" s="2">
        <f t="shared" si="230"/>
        <v>1.5798396370257706</v>
      </c>
      <c r="N325" s="2">
        <f t="shared" si="230"/>
        <v>1.4365795889441415</v>
      </c>
      <c r="O325" s="2">
        <f t="shared" si="230"/>
        <v>1.3171169382274002</v>
      </c>
    </row>
    <row r="326" spans="3:15" x14ac:dyDescent="0.45">
      <c r="C326">
        <f t="shared" si="218"/>
        <v>15</v>
      </c>
      <c r="D326" s="2">
        <f t="shared" ref="D326:O326" si="231">D302-D27</f>
        <v>17.869047956676553</v>
      </c>
      <c r="E326" s="2">
        <f t="shared" si="231"/>
        <v>10.007467475842532</v>
      </c>
      <c r="F326" s="2">
        <f t="shared" si="231"/>
        <v>6.823389082377048</v>
      </c>
      <c r="G326" s="2">
        <f t="shared" si="231"/>
        <v>5.1586075291263569</v>
      </c>
      <c r="H326" s="2">
        <f t="shared" si="231"/>
        <v>4.1422712364444578</v>
      </c>
      <c r="I326" s="2">
        <f t="shared" si="231"/>
        <v>3.4588973459635781</v>
      </c>
      <c r="J326" s="2">
        <f t="shared" si="231"/>
        <v>2.968401157315725</v>
      </c>
      <c r="K326" s="2">
        <f t="shared" si="231"/>
        <v>2.5994178291402932</v>
      </c>
      <c r="L326" s="2">
        <f t="shared" si="231"/>
        <v>2.3118548741151699</v>
      </c>
      <c r="M326" s="2">
        <f t="shared" si="231"/>
        <v>2.0814820943123777</v>
      </c>
      <c r="N326" s="2">
        <f t="shared" si="231"/>
        <v>1.8928034679997836</v>
      </c>
      <c r="O326" s="2">
        <f t="shared" si="231"/>
        <v>1.7354514212968297</v>
      </c>
    </row>
    <row r="327" spans="3:15" x14ac:dyDescent="0.45">
      <c r="C327">
        <f t="shared" si="218"/>
        <v>16</v>
      </c>
      <c r="D327" s="2">
        <f t="shared" ref="D327:O327" si="232">D303-D28</f>
        <v>22.685363216523129</v>
      </c>
      <c r="E327" s="2">
        <f t="shared" si="232"/>
        <v>12.883991517618199</v>
      </c>
      <c r="F327" s="2">
        <f t="shared" si="232"/>
        <v>8.8110493284293057</v>
      </c>
      <c r="G327" s="2">
        <f t="shared" si="232"/>
        <v>6.668535664803926</v>
      </c>
      <c r="H327" s="2">
        <f t="shared" si="232"/>
        <v>5.3574365536801452</v>
      </c>
      <c r="I327" s="2">
        <f t="shared" si="232"/>
        <v>4.4748316290545063</v>
      </c>
      <c r="J327" s="2">
        <f t="shared" si="232"/>
        <v>3.8409136398893224</v>
      </c>
      <c r="K327" s="2">
        <f t="shared" si="232"/>
        <v>3.3638411308836567</v>
      </c>
      <c r="L327" s="2">
        <f t="shared" si="232"/>
        <v>2.9919375030747233</v>
      </c>
      <c r="M327" s="2">
        <f t="shared" si="232"/>
        <v>2.6939401739555251</v>
      </c>
      <c r="N327" s="2">
        <f t="shared" si="232"/>
        <v>2.4498418862490325</v>
      </c>
      <c r="O327" s="2">
        <f t="shared" si="232"/>
        <v>2.2462502211510582</v>
      </c>
    </row>
    <row r="328" spans="3:15" x14ac:dyDescent="0.45">
      <c r="C328">
        <f t="shared" si="218"/>
        <v>17</v>
      </c>
      <c r="D328" s="2">
        <f t="shared" ref="D328:O328" si="233">D304-D29</f>
        <v>28.328420636366786</v>
      </c>
      <c r="E328" s="2">
        <f t="shared" si="233"/>
        <v>16.324420801978249</v>
      </c>
      <c r="F328" s="2">
        <f t="shared" si="233"/>
        <v>11.199246887934578</v>
      </c>
      <c r="G328" s="2">
        <f t="shared" si="233"/>
        <v>8.4857550352884346</v>
      </c>
      <c r="H328" s="2">
        <f t="shared" si="233"/>
        <v>6.8210498580751846</v>
      </c>
      <c r="I328" s="2">
        <f t="shared" si="233"/>
        <v>5.6990042397223988</v>
      </c>
      <c r="J328" s="2">
        <f t="shared" si="233"/>
        <v>4.8925397656050791</v>
      </c>
      <c r="K328" s="2">
        <f t="shared" si="233"/>
        <v>4.2853445754444692</v>
      </c>
      <c r="L328" s="2">
        <f t="shared" si="233"/>
        <v>3.8118643206712477</v>
      </c>
      <c r="M328" s="2">
        <f t="shared" si="233"/>
        <v>3.4323982546413845</v>
      </c>
      <c r="N328" s="2">
        <f t="shared" si="233"/>
        <v>3.1215202199416581</v>
      </c>
      <c r="O328" s="2">
        <f t="shared" si="233"/>
        <v>2.8622015392700177</v>
      </c>
    </row>
    <row r="329" spans="3:15" x14ac:dyDescent="0.45">
      <c r="C329">
        <f t="shared" si="218"/>
        <v>18</v>
      </c>
      <c r="D329" s="2">
        <f t="shared" ref="D329:O329" si="234">D305-D30</f>
        <v>34.860561672847183</v>
      </c>
      <c r="E329" s="2">
        <f t="shared" si="234"/>
        <v>20.392311857997072</v>
      </c>
      <c r="F329" s="2">
        <f t="shared" si="234"/>
        <v>14.036601031345981</v>
      </c>
      <c r="G329" s="2">
        <f t="shared" si="234"/>
        <v>10.64854869095916</v>
      </c>
      <c r="H329" s="2">
        <f t="shared" si="234"/>
        <v>8.5644383722761859</v>
      </c>
      <c r="I329" s="2">
        <f t="shared" si="234"/>
        <v>7.1578446965759213</v>
      </c>
      <c r="J329" s="2">
        <f t="shared" si="234"/>
        <v>6.1461024649818228</v>
      </c>
      <c r="K329" s="2">
        <f t="shared" si="234"/>
        <v>5.3839948994784663</v>
      </c>
      <c r="L329" s="2">
        <f t="shared" si="234"/>
        <v>4.7895316101839853</v>
      </c>
      <c r="M329" s="2">
        <f t="shared" si="234"/>
        <v>4.313001213716916</v>
      </c>
      <c r="N329" s="2">
        <f t="shared" si="234"/>
        <v>3.9225413992562608</v>
      </c>
      <c r="O329" s="2">
        <f t="shared" si="234"/>
        <v>3.5968010589717778</v>
      </c>
    </row>
    <row r="330" spans="3:15" x14ac:dyDescent="0.45">
      <c r="C330">
        <f t="shared" si="218"/>
        <v>19</v>
      </c>
      <c r="D330" s="2">
        <f t="shared" ref="D330:O330" si="235">D306-D31</f>
        <v>42.340727621258907</v>
      </c>
      <c r="E330" s="2">
        <f t="shared" si="235"/>
        <v>25.153044003897151</v>
      </c>
      <c r="F330" s="2">
        <f t="shared" si="235"/>
        <v>17.373970582349216</v>
      </c>
      <c r="G330" s="2">
        <f t="shared" si="235"/>
        <v>13.197203853027304</v>
      </c>
      <c r="H330" s="2">
        <f t="shared" si="235"/>
        <v>10.620661731016753</v>
      </c>
      <c r="I330" s="2">
        <f t="shared" si="235"/>
        <v>8.8792867030497291</v>
      </c>
      <c r="J330" s="2">
        <f t="shared" si="235"/>
        <v>7.6257458651537036</v>
      </c>
      <c r="K330" s="2">
        <f t="shared" si="235"/>
        <v>6.6810332232482779</v>
      </c>
      <c r="L330" s="2">
        <f t="shared" si="235"/>
        <v>5.9438908171284766</v>
      </c>
      <c r="M330" s="2">
        <f t="shared" si="235"/>
        <v>5.352850868165433</v>
      </c>
      <c r="N330" s="2">
        <f t="shared" si="235"/>
        <v>4.8684832255503352</v>
      </c>
      <c r="O330" s="2">
        <f t="shared" si="235"/>
        <v>4.4643498738414564</v>
      </c>
    </row>
    <row r="331" spans="3:15" x14ac:dyDescent="0.45">
      <c r="C331">
        <f t="shared" si="218"/>
        <v>20</v>
      </c>
      <c r="D331" s="2">
        <f t="shared" ref="D331:O331" si="236">D307-D32</f>
        <v>50.824125816731254</v>
      </c>
      <c r="E331" s="2">
        <f t="shared" si="236"/>
        <v>30.673538700078609</v>
      </c>
      <c r="F331" s="2">
        <f t="shared" si="236"/>
        <v>21.26434155455911</v>
      </c>
      <c r="G331" s="2">
        <f t="shared" si="236"/>
        <v>16.173959306375309</v>
      </c>
      <c r="H331" s="2">
        <f t="shared" si="236"/>
        <v>13.024483720320177</v>
      </c>
      <c r="I331" s="2">
        <f t="shared" si="236"/>
        <v>10.892751360861666</v>
      </c>
      <c r="J331" s="2">
        <f t="shared" si="236"/>
        <v>9.3569245514172508</v>
      </c>
      <c r="K331" s="2">
        <f t="shared" si="236"/>
        <v>8.1988677830247525</v>
      </c>
      <c r="L331" s="2">
        <f t="shared" si="236"/>
        <v>7.2949434092195133</v>
      </c>
      <c r="M331" s="2">
        <f t="shared" si="236"/>
        <v>6.5700022087567049</v>
      </c>
      <c r="N331" s="2">
        <f t="shared" si="236"/>
        <v>5.9757955315471918</v>
      </c>
      <c r="O331" s="2">
        <f t="shared" si="236"/>
        <v>5.479952294198938</v>
      </c>
    </row>
  </sheetData>
  <conditionalFormatting sqref="D288:O30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12:O33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3:P27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8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3:AE27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:AT27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Constants</vt:lpstr>
      <vt:lpstr>V1</vt:lpstr>
      <vt:lpstr>V2</vt:lpstr>
      <vt:lpstr>AVG_SUN_DIST</vt:lpstr>
      <vt:lpstr>AVG_SUN_DIST_KM</vt:lpstr>
      <vt:lpstr>BL_KM</vt:lpstr>
      <vt:lpstr>BL_MBPS</vt:lpstr>
      <vt:lpstr>DIST_RINGS_EM</vt:lpstr>
      <vt:lpstr>EM_KM</vt:lpstr>
      <vt:lpstr>IMPROVED_KM</vt:lpstr>
      <vt:lpstr>IMPROVED_MBPS</vt:lpstr>
      <vt:lpstr>IMPROVEMENT_V2</vt:lpstr>
      <vt:lpstr>REQD_MBPS</vt:lpstr>
      <vt:lpstr>SUN_DIST_EARTH</vt:lpstr>
      <vt:lpstr>SUN_DIST_MARS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Villa-Massone</dc:creator>
  <cp:lastModifiedBy>Julien Villa-Massone</cp:lastModifiedBy>
  <dcterms:created xsi:type="dcterms:W3CDTF">2025-12-02T17:16:10Z</dcterms:created>
  <dcterms:modified xsi:type="dcterms:W3CDTF">2025-12-08T12:30:46Z</dcterms:modified>
</cp:coreProperties>
</file>