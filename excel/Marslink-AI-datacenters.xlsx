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ulien\Documents\git\Space\marslink\excel\"/>
    </mc:Choice>
  </mc:AlternateContent>
  <xr:revisionPtr revIDLastSave="0" documentId="13_ncr:1_{DA2567C3-E28D-4BA5-84D3-FBE206AADBFF}" xr6:coauthVersionLast="47" xr6:coauthVersionMax="47" xr10:uidLastSave="{00000000-0000-0000-0000-000000000000}"/>
  <bookViews>
    <workbookView xWindow="19107" yWindow="-4060" windowWidth="16186" windowHeight="25787" tabRatio="500" activeTab="2" xr2:uid="{00000000-000D-0000-FFFF-FFFF00000000}"/>
  </bookViews>
  <sheets>
    <sheet name="AI" sheetId="1" r:id="rId1"/>
    <sheet name="Marslink" sheetId="2" r:id="rId2"/>
    <sheet name="Relay Tradeoff" sheetId="3" r:id="rId3"/>
  </sheets>
  <definedNames>
    <definedName name="gbps_baseline">AI!$H$2</definedName>
    <definedName name="km_baseline">AI!$H$1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67" i="3" l="1"/>
  <c r="A68" i="3" s="1"/>
  <c r="A69" i="3" s="1"/>
  <c r="A70" i="3" s="1"/>
  <c r="A71" i="3" s="1"/>
  <c r="A72" i="3" s="1"/>
  <c r="A73" i="3" s="1"/>
  <c r="A74" i="3" s="1"/>
  <c r="A75" i="3" s="1"/>
  <c r="A66" i="3"/>
  <c r="G66" i="3"/>
  <c r="I5" i="1"/>
  <c r="J46" i="3"/>
  <c r="I46" i="3"/>
  <c r="H46" i="3"/>
  <c r="G46" i="3"/>
  <c r="F46" i="3"/>
  <c r="E46" i="3"/>
  <c r="D46" i="3"/>
  <c r="C46" i="3"/>
  <c r="B46" i="3"/>
  <c r="J45" i="3"/>
  <c r="I45" i="3"/>
  <c r="H45" i="3"/>
  <c r="G45" i="3"/>
  <c r="F45" i="3"/>
  <c r="E45" i="3"/>
  <c r="D45" i="3"/>
  <c r="C45" i="3"/>
  <c r="B45" i="3"/>
  <c r="J44" i="3"/>
  <c r="I44" i="3"/>
  <c r="H44" i="3"/>
  <c r="G44" i="3"/>
  <c r="F44" i="3"/>
  <c r="E44" i="3"/>
  <c r="D44" i="3"/>
  <c r="C44" i="3"/>
  <c r="B44" i="3"/>
  <c r="J43" i="3"/>
  <c r="I43" i="3"/>
  <c r="H43" i="3"/>
  <c r="G43" i="3"/>
  <c r="F43" i="3"/>
  <c r="E43" i="3"/>
  <c r="D43" i="3"/>
  <c r="C43" i="3"/>
  <c r="B43" i="3"/>
  <c r="J42" i="3"/>
  <c r="I42" i="3"/>
  <c r="H42" i="3"/>
  <c r="G42" i="3"/>
  <c r="F42" i="3"/>
  <c r="E42" i="3"/>
  <c r="D42" i="3"/>
  <c r="C42" i="3"/>
  <c r="B42" i="3"/>
  <c r="J41" i="3"/>
  <c r="I41" i="3"/>
  <c r="H41" i="3"/>
  <c r="G41" i="3"/>
  <c r="F41" i="3"/>
  <c r="E41" i="3"/>
  <c r="D41" i="3"/>
  <c r="C41" i="3"/>
  <c r="B41" i="3"/>
  <c r="J40" i="3"/>
  <c r="I40" i="3"/>
  <c r="H40" i="3"/>
  <c r="G40" i="3"/>
  <c r="F40" i="3"/>
  <c r="E40" i="3"/>
  <c r="D40" i="3"/>
  <c r="C40" i="3"/>
  <c r="B40" i="3"/>
  <c r="J39" i="3"/>
  <c r="I39" i="3"/>
  <c r="H39" i="3"/>
  <c r="G39" i="3"/>
  <c r="F39" i="3"/>
  <c r="E39" i="3"/>
  <c r="D39" i="3"/>
  <c r="C39" i="3"/>
  <c r="B39" i="3"/>
  <c r="J38" i="3"/>
  <c r="I38" i="3"/>
  <c r="H38" i="3"/>
  <c r="G38" i="3"/>
  <c r="F38" i="3"/>
  <c r="E38" i="3"/>
  <c r="D38" i="3"/>
  <c r="C38" i="3"/>
  <c r="B38" i="3"/>
  <c r="J37" i="3"/>
  <c r="I37" i="3"/>
  <c r="H37" i="3"/>
  <c r="G37" i="3"/>
  <c r="F37" i="3"/>
  <c r="E37" i="3"/>
  <c r="D37" i="3"/>
  <c r="C37" i="3"/>
  <c r="B37" i="3"/>
  <c r="J32" i="3"/>
  <c r="J60" i="3" s="1"/>
  <c r="B32" i="3"/>
  <c r="J31" i="3"/>
  <c r="I29" i="3"/>
  <c r="I57" i="3" s="1"/>
  <c r="H29" i="3"/>
  <c r="H57" i="3" s="1"/>
  <c r="G29" i="3"/>
  <c r="G57" i="3" s="1"/>
  <c r="F29" i="3"/>
  <c r="F57" i="3" s="1"/>
  <c r="E29" i="3"/>
  <c r="E57" i="3" s="1"/>
  <c r="D29" i="3"/>
  <c r="D57" i="3" s="1"/>
  <c r="C29" i="3"/>
  <c r="C57" i="3" s="1"/>
  <c r="B29" i="3"/>
  <c r="B57" i="3" s="1"/>
  <c r="J28" i="3"/>
  <c r="J56" i="3" s="1"/>
  <c r="I28" i="3"/>
  <c r="I56" i="3" s="1"/>
  <c r="H28" i="3"/>
  <c r="H56" i="3" s="1"/>
  <c r="G28" i="3"/>
  <c r="G56" i="3" s="1"/>
  <c r="F28" i="3"/>
  <c r="F56" i="3" s="1"/>
  <c r="E28" i="3"/>
  <c r="E56" i="3" s="1"/>
  <c r="D26" i="3"/>
  <c r="D54" i="3" s="1"/>
  <c r="C26" i="3"/>
  <c r="C54" i="3" s="1"/>
  <c r="B26" i="3"/>
  <c r="B54" i="3" s="1"/>
  <c r="J25" i="3"/>
  <c r="J53" i="3" s="1"/>
  <c r="I25" i="3"/>
  <c r="I53" i="3" s="1"/>
  <c r="H25" i="3"/>
  <c r="H53" i="3" s="1"/>
  <c r="G25" i="3"/>
  <c r="G53" i="3" s="1"/>
  <c r="F25" i="3"/>
  <c r="F53" i="3" s="1"/>
  <c r="E25" i="3"/>
  <c r="E53" i="3" s="1"/>
  <c r="B10" i="3"/>
  <c r="G65" i="3" s="1"/>
  <c r="B6" i="3"/>
  <c r="B65" i="3" s="1"/>
  <c r="C65" i="3" s="1"/>
  <c r="D65" i="3" s="1"/>
  <c r="E65" i="3" s="1"/>
  <c r="F65" i="3" s="1"/>
  <c r="H44" i="1"/>
  <c r="H43" i="1"/>
  <c r="H42" i="1"/>
  <c r="H41" i="1"/>
  <c r="H40" i="1"/>
  <c r="H39" i="1"/>
  <c r="H38" i="1"/>
  <c r="M37" i="1"/>
  <c r="N37" i="1" s="1"/>
  <c r="H37" i="1"/>
  <c r="D7" i="1"/>
  <c r="C7" i="1"/>
  <c r="E6" i="1"/>
  <c r="E7" i="1" s="1"/>
  <c r="E5" i="1"/>
  <c r="M43" i="1" s="1"/>
  <c r="N43" i="1" s="1"/>
  <c r="B67" i="3" l="1"/>
  <c r="C67" i="3" s="1"/>
  <c r="D67" i="3" s="1"/>
  <c r="E67" i="3" s="1"/>
  <c r="F67" i="3" s="1"/>
  <c r="H65" i="3"/>
  <c r="I65" i="3" s="1"/>
  <c r="J65" i="3" s="1"/>
  <c r="G70" i="3"/>
  <c r="D32" i="3"/>
  <c r="D60" i="3" s="1"/>
  <c r="E32" i="3"/>
  <c r="E60" i="3" s="1"/>
  <c r="F32" i="3"/>
  <c r="F60" i="3" s="1"/>
  <c r="B25" i="3"/>
  <c r="B53" i="3" s="1"/>
  <c r="G32" i="3"/>
  <c r="G60" i="3" s="1"/>
  <c r="B60" i="3"/>
  <c r="C32" i="3"/>
  <c r="C60" i="3" s="1"/>
  <c r="J24" i="3"/>
  <c r="J52" i="3" s="1"/>
  <c r="C25" i="3"/>
  <c r="C53" i="3" s="1"/>
  <c r="H32" i="3"/>
  <c r="H60" i="3" s="1"/>
  <c r="H67" i="3"/>
  <c r="I67" i="3" s="1"/>
  <c r="J67" i="3" s="1"/>
  <c r="J59" i="3"/>
  <c r="I24" i="3"/>
  <c r="I52" i="3" s="1"/>
  <c r="D25" i="3"/>
  <c r="D53" i="3" s="1"/>
  <c r="I32" i="3"/>
  <c r="I60" i="3" s="1"/>
  <c r="B66" i="3"/>
  <c r="C66" i="3" s="1"/>
  <c r="C37" i="1"/>
  <c r="D37" i="1" s="1"/>
  <c r="G37" i="1" s="1"/>
  <c r="C42" i="1"/>
  <c r="D42" i="1" s="1"/>
  <c r="G42" i="1" s="1"/>
  <c r="C40" i="1"/>
  <c r="D40" i="1" s="1"/>
  <c r="G40" i="1" s="1"/>
  <c r="C44" i="1"/>
  <c r="D44" i="1" s="1"/>
  <c r="G44" i="1" s="1"/>
  <c r="C41" i="1"/>
  <c r="D41" i="1" s="1"/>
  <c r="G41" i="1" s="1"/>
  <c r="C38" i="1"/>
  <c r="D38" i="1" s="1"/>
  <c r="G38" i="1" s="1"/>
  <c r="M38" i="1"/>
  <c r="N38" i="1" s="1"/>
  <c r="C39" i="1"/>
  <c r="D39" i="1" s="1"/>
  <c r="G39" i="1" s="1"/>
  <c r="C43" i="1"/>
  <c r="D43" i="1" s="1"/>
  <c r="G43" i="1" s="1"/>
  <c r="M39" i="1"/>
  <c r="N39" i="1" s="1"/>
  <c r="M45" i="1"/>
  <c r="N45" i="1" s="1"/>
  <c r="M44" i="1"/>
  <c r="N44" i="1" s="1"/>
  <c r="F26" i="3"/>
  <c r="F54" i="3" s="1"/>
  <c r="B30" i="3"/>
  <c r="B58" i="3" s="1"/>
  <c r="G26" i="3"/>
  <c r="G54" i="3" s="1"/>
  <c r="B68" i="3"/>
  <c r="C68" i="3" s="1"/>
  <c r="D30" i="3"/>
  <c r="D58" i="3" s="1"/>
  <c r="D23" i="3"/>
  <c r="D51" i="3" s="1"/>
  <c r="E23" i="3"/>
  <c r="E51" i="3" s="1"/>
  <c r="J29" i="3"/>
  <c r="J57" i="3" s="1"/>
  <c r="G67" i="3"/>
  <c r="B23" i="3"/>
  <c r="B51" i="3" s="1"/>
  <c r="H26" i="3"/>
  <c r="H54" i="3" s="1"/>
  <c r="I26" i="3"/>
  <c r="I54" i="3" s="1"/>
  <c r="E30" i="3"/>
  <c r="E58" i="3" s="1"/>
  <c r="J26" i="3"/>
  <c r="J54" i="3" s="1"/>
  <c r="F23" i="3"/>
  <c r="F51" i="3" s="1"/>
  <c r="G30" i="3"/>
  <c r="G58" i="3" s="1"/>
  <c r="G23" i="3"/>
  <c r="G51" i="3" s="1"/>
  <c r="C27" i="3"/>
  <c r="C55" i="3" s="1"/>
  <c r="H30" i="3"/>
  <c r="H58" i="3" s="1"/>
  <c r="G68" i="3"/>
  <c r="H23" i="3"/>
  <c r="H51" i="3" s="1"/>
  <c r="D27" i="3"/>
  <c r="D55" i="3" s="1"/>
  <c r="I30" i="3"/>
  <c r="I58" i="3" s="1"/>
  <c r="B69" i="3"/>
  <c r="C69" i="3" s="1"/>
  <c r="E26" i="3"/>
  <c r="E54" i="3" s="1"/>
  <c r="C30" i="3"/>
  <c r="C58" i="3" s="1"/>
  <c r="C23" i="3"/>
  <c r="C51" i="3" s="1"/>
  <c r="M40" i="1"/>
  <c r="N40" i="1" s="1"/>
  <c r="F30" i="3"/>
  <c r="F58" i="3" s="1"/>
  <c r="B27" i="3"/>
  <c r="B55" i="3" s="1"/>
  <c r="I23" i="3"/>
  <c r="I51" i="3" s="1"/>
  <c r="E27" i="3"/>
  <c r="E55" i="3" s="1"/>
  <c r="J30" i="3"/>
  <c r="J58" i="3" s="1"/>
  <c r="F5" i="1"/>
  <c r="F6" i="1"/>
  <c r="M41" i="1"/>
  <c r="N41" i="1" s="1"/>
  <c r="J23" i="3"/>
  <c r="J51" i="3" s="1"/>
  <c r="B31" i="3"/>
  <c r="B59" i="3" s="1"/>
  <c r="B24" i="3"/>
  <c r="B52" i="3" s="1"/>
  <c r="G27" i="3"/>
  <c r="G55" i="3" s="1"/>
  <c r="C24" i="3"/>
  <c r="C52" i="3" s="1"/>
  <c r="H27" i="3"/>
  <c r="H55" i="3" s="1"/>
  <c r="D24" i="3"/>
  <c r="D52" i="3" s="1"/>
  <c r="E31" i="3"/>
  <c r="E59" i="3" s="1"/>
  <c r="G69" i="3"/>
  <c r="E24" i="3"/>
  <c r="E52" i="3" s="1"/>
  <c r="B70" i="3"/>
  <c r="F24" i="3"/>
  <c r="F52" i="3" s="1"/>
  <c r="B28" i="3"/>
  <c r="B56" i="3" s="1"/>
  <c r="G31" i="3"/>
  <c r="G59" i="3" s="1"/>
  <c r="M42" i="1"/>
  <c r="N42" i="1" s="1"/>
  <c r="G24" i="3"/>
  <c r="G52" i="3" s="1"/>
  <c r="C28" i="3"/>
  <c r="C56" i="3" s="1"/>
  <c r="H31" i="3"/>
  <c r="H59" i="3" s="1"/>
  <c r="F27" i="3"/>
  <c r="F55" i="3" s="1"/>
  <c r="C31" i="3"/>
  <c r="C59" i="3" s="1"/>
  <c r="D31" i="3"/>
  <c r="D59" i="3" s="1"/>
  <c r="I27" i="3"/>
  <c r="I55" i="3" s="1"/>
  <c r="J27" i="3"/>
  <c r="J55" i="3" s="1"/>
  <c r="F31" i="3"/>
  <c r="F59" i="3" s="1"/>
  <c r="H24" i="3"/>
  <c r="H52" i="3" s="1"/>
  <c r="D28" i="3"/>
  <c r="D56" i="3" s="1"/>
  <c r="I31" i="3"/>
  <c r="I59" i="3" s="1"/>
  <c r="B71" i="3" l="1"/>
  <c r="C71" i="3" s="1"/>
  <c r="G71" i="3"/>
  <c r="D69" i="3"/>
  <c r="E69" i="3" s="1"/>
  <c r="F69" i="3" s="1"/>
  <c r="H69" i="3"/>
  <c r="I69" i="3" s="1"/>
  <c r="D66" i="3"/>
  <c r="E66" i="3" s="1"/>
  <c r="F66" i="3" s="1"/>
  <c r="H66" i="3"/>
  <c r="I66" i="3" s="1"/>
  <c r="J66" i="3" s="1"/>
  <c r="C70" i="3"/>
  <c r="D68" i="3"/>
  <c r="E68" i="3" s="1"/>
  <c r="F68" i="3" s="1"/>
  <c r="H68" i="3"/>
  <c r="I68" i="3" s="1"/>
  <c r="J68" i="3" s="1"/>
  <c r="D17" i="1"/>
  <c r="F17" i="1" s="1"/>
  <c r="D26" i="1"/>
  <c r="D18" i="1"/>
  <c r="F18" i="1" s="1"/>
  <c r="D32" i="1"/>
  <c r="D31" i="1"/>
  <c r="D19" i="1"/>
  <c r="F19" i="1" s="1"/>
  <c r="D30" i="1"/>
  <c r="D28" i="1"/>
  <c r="D27" i="1"/>
  <c r="D29" i="1"/>
  <c r="D16" i="1"/>
  <c r="F16" i="1" s="1"/>
  <c r="D15" i="1"/>
  <c r="F15" i="1" s="1"/>
  <c r="D25" i="1"/>
  <c r="D14" i="1"/>
  <c r="F14" i="1" s="1"/>
  <c r="D21" i="1"/>
  <c r="F21" i="1" s="1"/>
  <c r="H6" i="1"/>
  <c r="I6" i="1" s="1"/>
  <c r="D20" i="1"/>
  <c r="F20" i="1" s="1"/>
  <c r="C31" i="1"/>
  <c r="C19" i="1"/>
  <c r="E19" i="1" s="1"/>
  <c r="C18" i="1"/>
  <c r="E18" i="1" s="1"/>
  <c r="C32" i="1"/>
  <c r="C17" i="1"/>
  <c r="E17" i="1" s="1"/>
  <c r="H5" i="1"/>
  <c r="C16" i="1"/>
  <c r="E16" i="1" s="1"/>
  <c r="C30" i="1"/>
  <c r="C28" i="1"/>
  <c r="C15" i="1"/>
  <c r="E15" i="1" s="1"/>
  <c r="C26" i="1"/>
  <c r="C21" i="1"/>
  <c r="E21" i="1" s="1"/>
  <c r="C20" i="1"/>
  <c r="E20" i="1" s="1"/>
  <c r="C29" i="1"/>
  <c r="C27" i="1"/>
  <c r="C25" i="1"/>
  <c r="C14" i="1"/>
  <c r="E14" i="1" s="1"/>
  <c r="D71" i="3" l="1"/>
  <c r="E71" i="3" s="1"/>
  <c r="F71" i="3" s="1"/>
  <c r="H71" i="3"/>
  <c r="I71" i="3" s="1"/>
  <c r="B72" i="3"/>
  <c r="C72" i="3" s="1"/>
  <c r="H72" i="3" s="1"/>
  <c r="I72" i="3" s="1"/>
  <c r="G72" i="3"/>
  <c r="D72" i="3"/>
  <c r="E72" i="3" s="1"/>
  <c r="F72" i="3" s="1"/>
  <c r="D70" i="3"/>
  <c r="E70" i="3" s="1"/>
  <c r="F70" i="3" s="1"/>
  <c r="H70" i="3"/>
  <c r="I70" i="3" s="1"/>
  <c r="J70" i="3" s="1"/>
  <c r="J69" i="3"/>
  <c r="J71" i="3" l="1"/>
  <c r="G73" i="3"/>
  <c r="B73" i="3"/>
  <c r="C73" i="3" s="1"/>
  <c r="H73" i="3" s="1"/>
  <c r="I73" i="3" s="1"/>
  <c r="J72" i="3"/>
  <c r="D73" i="3" l="1"/>
  <c r="E73" i="3" s="1"/>
  <c r="F73" i="3" s="1"/>
  <c r="B74" i="3"/>
  <c r="C74" i="3" s="1"/>
  <c r="H74" i="3" s="1"/>
  <c r="I74" i="3" s="1"/>
  <c r="G74" i="3"/>
  <c r="D74" i="3" l="1"/>
  <c r="E74" i="3" s="1"/>
  <c r="F74" i="3" s="1"/>
  <c r="G75" i="3"/>
  <c r="B75" i="3"/>
  <c r="C75" i="3" s="1"/>
  <c r="H75" i="3" s="1"/>
  <c r="I75" i="3" s="1"/>
  <c r="J73" i="3"/>
  <c r="D75" i="3" l="1"/>
  <c r="E75" i="3" s="1"/>
  <c r="F75" i="3" s="1"/>
  <c r="J74" i="3"/>
  <c r="J75" i="3" l="1"/>
</calcChain>
</file>

<file path=xl/sharedStrings.xml><?xml version="1.0" encoding="utf-8"?>
<sst xmlns="http://schemas.openxmlformats.org/spreadsheetml/2006/main" count="85" uniqueCount="71">
  <si>
    <t>km</t>
  </si>
  <si>
    <t>gbps</t>
  </si>
  <si>
    <t>sun distance km</t>
  </si>
  <si>
    <t>nearest</t>
  </si>
  <si>
    <t>farthest</t>
  </si>
  <si>
    <t>avg</t>
  </si>
  <si>
    <t>avg circumference km</t>
  </si>
  <si>
    <t>satcount</t>
  </si>
  <si>
    <t>km between sats</t>
  </si>
  <si>
    <t>mbps between sats</t>
  </si>
  <si>
    <t>earth</t>
  </si>
  <si>
    <t>mars</t>
  </si>
  <si>
    <t>km between</t>
  </si>
  <si>
    <t>Marslink</t>
  </si>
  <si>
    <t>total throughput</t>
  </si>
  <si>
    <t>Earth co-orbit</t>
  </si>
  <si>
    <t>Mars co-orbit</t>
  </si>
  <si>
    <t>relay sats</t>
  </si>
  <si>
    <t>Required total throughput</t>
  </si>
  <si>
    <t>satcount earth co-orbit</t>
  </si>
  <si>
    <t>satcount mars co-orbit</t>
  </si>
  <si>
    <t>Relay sats</t>
  </si>
  <si>
    <t>Ring count</t>
  </si>
  <si>
    <t>km between rings</t>
  </si>
  <si>
    <t>mbps per route</t>
  </si>
  <si>
    <t>route count (=satcount per ring)</t>
  </si>
  <si>
    <t>total mbps</t>
  </si>
  <si>
    <t>total satcount</t>
  </si>
  <si>
    <t>ring</t>
  </si>
  <si>
    <t>sun rad km</t>
  </si>
  <si>
    <t>circum km</t>
  </si>
  <si>
    <t>Earth</t>
  </si>
  <si>
    <t>Mars</t>
  </si>
  <si>
    <t>mbps/satcount</t>
  </si>
  <si>
    <t>Relay Satellite Tradeoff: Ring Count vs Route Count</t>
  </si>
  <si>
    <t>Constants</t>
  </si>
  <si>
    <t>Earth orbit radius (km)</t>
  </si>
  <si>
    <t>Mars orbit radius (km)</t>
  </si>
  <si>
    <t>Earth-Mars distance (km)</t>
  </si>
  <si>
    <t>Baseline link capacity (Gbps)</t>
  </si>
  <si>
    <t>Baseline link distance (km)</t>
  </si>
  <si>
    <t>Tech improvement factor</t>
  </si>
  <si>
    <t>K = f x C0 x d0^2 (Gbps km^2)</t>
  </si>
  <si>
    <t>Key Formulas</t>
  </si>
  <si>
    <t>d_radial</t>
  </si>
  <si>
    <t>earth_mars_distance / (ring_count + 1)</t>
  </si>
  <si>
    <t>offset</t>
  </si>
  <si>
    <t>PI * mars_orbit_radius / route_count</t>
  </si>
  <si>
    <t>d_worst</t>
  </si>
  <si>
    <t>SQRT(d_radial^2 + offset^2)</t>
  </si>
  <si>
    <t>C_route</t>
  </si>
  <si>
    <t>K / d_worst^2</t>
  </si>
  <si>
    <t>T_total</t>
  </si>
  <si>
    <t>route_count * C_route</t>
  </si>
  <si>
    <t>ring_count_opt</t>
  </si>
  <si>
    <t>SQRT(earth_mars_dist * total_sats / (SQRT(3) * PI * mars_orbit_radius))</t>
  </si>
  <si>
    <t>T_opt(S)</t>
  </si>
  <si>
    <t>c * S^(3/2),  c = 3^(3/4) * K / (4 * D^(3/2) * sqrt(pi*rM))</t>
  </si>
  <si>
    <t>Total Throughput (Mbps)</t>
  </si>
  <si>
    <t>ring_count \ route_count</t>
  </si>
  <si>
    <t>Total Satellite Count</t>
  </si>
  <si>
    <t>Throughput Efficiency (Mbps per satellite)</t>
  </si>
  <si>
    <t>Optimal Ring Count for Given Total Satellite Count</t>
  </si>
  <si>
    <t>Total Sats (S)</t>
  </si>
  <si>
    <t>R_opt (analytical)</t>
  </si>
  <si>
    <t>R_opt (rounded)</t>
  </si>
  <si>
    <t>N_opt (routes)</t>
  </si>
  <si>
    <t>T_opt numerical (Mbps)</t>
  </si>
  <si>
    <t>Mbps/sat</t>
  </si>
  <si>
    <t>T_opt analytical (Mbps)</t>
  </si>
  <si>
    <t>mbps between 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</si>
</sst>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000"/>
    <numFmt numFmtId="166" formatCode="#,##0.0"/>
  </numFmts>
  <fonts count="7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i/>
      <sz val="10"/>
      <name val="Arial"/>
      <charset val="1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5E8F2"/>
        <bgColor rgb="FFCC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3" fontId="4" fillId="2" borderId="1" xfId="0" applyNumberFormat="1" applyFont="1" applyFill="1" applyBorder="1"/>
    <xf numFmtId="3" fontId="3" fillId="0" borderId="1" xfId="0" applyNumberFormat="1" applyFont="1" applyBorder="1" applyAlignment="1">
      <alignment horizontal="right"/>
    </xf>
    <xf numFmtId="1" fontId="4" fillId="2" borderId="1" xfId="0" applyNumberFormat="1" applyFont="1" applyFill="1" applyBorder="1"/>
    <xf numFmtId="11" fontId="3" fillId="0" borderId="1" xfId="0" applyNumberFormat="1" applyFont="1" applyBorder="1" applyAlignment="1">
      <alignment horizontal="right"/>
    </xf>
    <xf numFmtId="0" fontId="5" fillId="0" borderId="0" xfId="0" applyFont="1"/>
    <xf numFmtId="0" fontId="2" fillId="3" borderId="1" xfId="0" applyFont="1" applyFill="1" applyBorder="1" applyAlignment="1">
      <alignment horizontal="center" wrapText="1"/>
    </xf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2" fontId="3" fillId="0" borderId="1" xfId="0" applyNumberFormat="1" applyFont="1" applyBorder="1" applyAlignment="1">
      <alignment horizontal="right"/>
    </xf>
    <xf numFmtId="1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0" fontId="2" fillId="3" borderId="2" xfId="0" applyFont="1" applyFill="1" applyBorder="1" applyAlignment="1">
      <alignment horizontal="center" wrapText="1"/>
    </xf>
    <xf numFmtId="3" fontId="0" fillId="0" borderId="0" xfId="0" applyNumberFormat="1"/>
    <xf numFmtId="0" fontId="6" fillId="3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5E8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'Relay Tradeoff'!$E$64</c:f>
              <c:strCache>
                <c:ptCount val="1"/>
                <c:pt idx="0">
                  <c:v>T_opt numerical (Mbps)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'Relay Tradeoff'!$A$65:$A$75</c:f>
              <c:numCache>
                <c:formatCode>#,##0</c:formatCode>
                <c:ptCount val="11"/>
                <c:pt idx="0">
                  <c:v>0</c:v>
                </c:pt>
                <c:pt idx="1">
                  <c:v>100000000</c:v>
                </c:pt>
                <c:pt idx="2">
                  <c:v>200000000</c:v>
                </c:pt>
                <c:pt idx="3">
                  <c:v>300000000</c:v>
                </c:pt>
                <c:pt idx="4">
                  <c:v>400000000</c:v>
                </c:pt>
                <c:pt idx="5">
                  <c:v>500000000</c:v>
                </c:pt>
                <c:pt idx="6">
                  <c:v>600000000</c:v>
                </c:pt>
                <c:pt idx="7">
                  <c:v>700000000</c:v>
                </c:pt>
                <c:pt idx="8">
                  <c:v>800000000</c:v>
                </c:pt>
                <c:pt idx="9">
                  <c:v>900000000</c:v>
                </c:pt>
                <c:pt idx="10">
                  <c:v>1000000000</c:v>
                </c:pt>
              </c:numCache>
            </c:numRef>
          </c:xVal>
          <c:yVal>
            <c:numRef>
              <c:f>'Relay Tradeoff'!$E$65:$E$75</c:f>
              <c:numCache>
                <c:formatCode>#,##0</c:formatCode>
                <c:ptCount val="11"/>
                <c:pt idx="0">
                  <c:v>0</c:v>
                </c:pt>
                <c:pt idx="1">
                  <c:v>27647818.441253912</c:v>
                </c:pt>
                <c:pt idx="2">
                  <c:v>78186173.478476256</c:v>
                </c:pt>
                <c:pt idx="3">
                  <c:v>143626047.8729676</c:v>
                </c:pt>
                <c:pt idx="4">
                  <c:v>221116546.33517087</c:v>
                </c:pt>
                <c:pt idx="5">
                  <c:v>309010047.63105386</c:v>
                </c:pt>
                <c:pt idx="6">
                  <c:v>406194790.06775165</c:v>
                </c:pt>
                <c:pt idx="7">
                  <c:v>511854705.06216234</c:v>
                </c:pt>
                <c:pt idx="8">
                  <c:v>625357408.50482106</c:v>
                </c:pt>
                <c:pt idx="9">
                  <c:v>746194164.29948699</c:v>
                </c:pt>
                <c:pt idx="10">
                  <c:v>873944087.55767238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EC-47AA-B7B9-4890F27E9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4358560"/>
        <c:axId val="494359040"/>
      </c:scatterChart>
      <c:valAx>
        <c:axId val="49435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359040"/>
        <c:crosses val="autoZero"/>
        <c:crossBetween val="midCat"/>
      </c:valAx>
      <c:valAx>
        <c:axId val="49435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Mbps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358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868138</xdr:colOff>
      <xdr:row>77</xdr:row>
      <xdr:rowOff>90107</xdr:rowOff>
    </xdr:from>
    <xdr:to>
      <xdr:col>10</xdr:col>
      <xdr:colOff>260653</xdr:colOff>
      <xdr:row>96</xdr:row>
      <xdr:rowOff>182033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D03F9E-0EFD-CC2C-9F28-9AF408E533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47"/>
  <sheetViews>
    <sheetView zoomScaleNormal="100" workbookViewId="0">
      <selection activeCell="H3" sqref="H3"/>
    </sheetView>
  </sheetViews>
  <sheetFormatPr defaultColWidth="8.69140625" defaultRowHeight="14.6" x14ac:dyDescent="0.4"/>
  <cols>
    <col min="2" max="2" width="8.921875" bestFit="1" customWidth="1"/>
    <col min="3" max="5" width="11.15234375" customWidth="1"/>
    <col min="6" max="6" width="12.3828125" bestFit="1" customWidth="1"/>
    <col min="7" max="7" width="8.84375" bestFit="1" customWidth="1"/>
    <col min="8" max="8" width="9.765625" bestFit="1" customWidth="1"/>
    <col min="9" max="9" width="8.84375" bestFit="1" customWidth="1"/>
    <col min="11" max="11" width="10.765625" bestFit="1" customWidth="1"/>
    <col min="12" max="12" width="16.69140625" customWidth="1"/>
  </cols>
  <sheetData>
    <row r="1" spans="2:12" x14ac:dyDescent="0.4">
      <c r="H1" s="17">
        <v>3000</v>
      </c>
      <c r="I1" t="s">
        <v>0</v>
      </c>
    </row>
    <row r="2" spans="2:12" x14ac:dyDescent="0.4">
      <c r="H2" s="17">
        <v>100</v>
      </c>
      <c r="I2" t="s">
        <v>1</v>
      </c>
      <c r="K2" s="17"/>
      <c r="L2" s="17"/>
    </row>
    <row r="3" spans="2:12" x14ac:dyDescent="0.4">
      <c r="C3" t="s">
        <v>2</v>
      </c>
    </row>
    <row r="4" spans="2:12" x14ac:dyDescent="0.4"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</row>
    <row r="5" spans="2:12" x14ac:dyDescent="0.4">
      <c r="B5" t="s">
        <v>10</v>
      </c>
      <c r="C5" s="17">
        <v>147098074</v>
      </c>
      <c r="D5" s="17">
        <v>152097701</v>
      </c>
      <c r="E5" s="17">
        <f>(C5+D5)/2</f>
        <v>149597887.5</v>
      </c>
      <c r="F5" s="17">
        <f>2*PI()*E5</f>
        <v>939951248.72510469</v>
      </c>
      <c r="G5" s="17">
        <v>20000</v>
      </c>
      <c r="H5" s="17">
        <f>F5/G5</f>
        <v>46997.562436255233</v>
      </c>
      <c r="I5" s="17">
        <f>gbps_baseline*1000*km_baseline^2/H5^2</f>
        <v>407.46643764962351</v>
      </c>
    </row>
    <row r="6" spans="2:12" x14ac:dyDescent="0.4">
      <c r="B6" t="s">
        <v>11</v>
      </c>
      <c r="C6" s="17">
        <v>206650000</v>
      </c>
      <c r="D6" s="17">
        <v>249261000</v>
      </c>
      <c r="E6" s="17">
        <f>(C6+D6)/2</f>
        <v>227955500</v>
      </c>
      <c r="F6" s="17">
        <f>2*PI()*E6</f>
        <v>1432286648.2907763</v>
      </c>
      <c r="G6" s="17">
        <v>30000</v>
      </c>
      <c r="H6" s="17">
        <f>F6/G6</f>
        <v>47742.888276359212</v>
      </c>
      <c r="I6" s="17">
        <f>$H$2*1000*$H$1^2/H6^2</f>
        <v>394.84362635715496</v>
      </c>
    </row>
    <row r="7" spans="2:12" x14ac:dyDescent="0.4">
      <c r="B7" t="s">
        <v>12</v>
      </c>
      <c r="C7" s="17">
        <f>C6-C5</f>
        <v>59551926</v>
      </c>
      <c r="D7" s="17">
        <f>D6-D5</f>
        <v>97163299</v>
      </c>
      <c r="E7" s="17">
        <f>E6-E5</f>
        <v>78357612.5</v>
      </c>
    </row>
    <row r="10" spans="2:12" x14ac:dyDescent="0.4">
      <c r="B10" t="s">
        <v>13</v>
      </c>
    </row>
    <row r="12" spans="2:12" x14ac:dyDescent="0.4">
      <c r="C12" t="s">
        <v>9</v>
      </c>
      <c r="E12" t="s">
        <v>14</v>
      </c>
    </row>
    <row r="13" spans="2:12" x14ac:dyDescent="0.4">
      <c r="B13" t="s">
        <v>7</v>
      </c>
      <c r="C13" t="s">
        <v>15</v>
      </c>
      <c r="D13" t="s">
        <v>16</v>
      </c>
      <c r="E13" t="s">
        <v>15</v>
      </c>
      <c r="F13" t="s">
        <v>16</v>
      </c>
    </row>
    <row r="14" spans="2:12" x14ac:dyDescent="0.4">
      <c r="B14">
        <v>1</v>
      </c>
      <c r="C14">
        <f>$H$2*1000*$H$1^2/($F$5/1)^2</f>
        <v>1.0186660941240587E-6</v>
      </c>
      <c r="D14">
        <f>$H$2*1000*$H$1^2/($F$6/1)^2</f>
        <v>4.3871514039683891E-7</v>
      </c>
      <c r="E14">
        <f t="shared" ref="E14:F21" si="0">C14*2</f>
        <v>2.0373321882481174E-6</v>
      </c>
      <c r="F14">
        <f t="shared" si="0"/>
        <v>8.7743028079367781E-7</v>
      </c>
    </row>
    <row r="15" spans="2:12" x14ac:dyDescent="0.4">
      <c r="B15">
        <v>10</v>
      </c>
      <c r="C15">
        <f>$H$2*1000*$H$1^2/($F$5/10)^2</f>
        <v>1.0186660941240589E-4</v>
      </c>
      <c r="D15">
        <f>$H$2*1000*$H$1^2/($F$6/10)^2</f>
        <v>4.3871514039683887E-5</v>
      </c>
      <c r="E15">
        <f t="shared" si="0"/>
        <v>2.0373321882481178E-4</v>
      </c>
      <c r="F15">
        <f t="shared" si="0"/>
        <v>8.7743028079367773E-5</v>
      </c>
    </row>
    <row r="16" spans="2:12" x14ac:dyDescent="0.4">
      <c r="B16">
        <v>100</v>
      </c>
      <c r="C16">
        <f>$H$2*1000*$H$1^2/($F$5/100)^2</f>
        <v>1.0186660941240587E-2</v>
      </c>
      <c r="D16">
        <f>$H$2*1000*$H$1^2/($F$6/100)^2</f>
        <v>4.3871514039683888E-3</v>
      </c>
      <c r="E16">
        <f t="shared" si="0"/>
        <v>2.0373321882481175E-2</v>
      </c>
      <c r="F16">
        <f t="shared" si="0"/>
        <v>8.7743028079367777E-3</v>
      </c>
    </row>
    <row r="17" spans="2:6" x14ac:dyDescent="0.4">
      <c r="B17">
        <v>1000</v>
      </c>
      <c r="C17">
        <f>$H$2*1000*$H$1^2/($F$5/1000)^2</f>
        <v>1.0186660941240588</v>
      </c>
      <c r="D17">
        <f>$H$2*1000*$H$1^2/($F$6/1000)^2</f>
        <v>0.43871514039683895</v>
      </c>
      <c r="E17">
        <f t="shared" si="0"/>
        <v>2.0373321882481177</v>
      </c>
      <c r="F17">
        <f t="shared" si="0"/>
        <v>0.87743028079367791</v>
      </c>
    </row>
    <row r="18" spans="2:6" x14ac:dyDescent="0.4">
      <c r="B18">
        <v>10000</v>
      </c>
      <c r="C18">
        <f>$H$2*1000*$H$1^2/($F$5/10000)^2</f>
        <v>101.86660941240588</v>
      </c>
      <c r="D18">
        <f>$H$2*1000*$H$1^2/($F$6/10000)^2</f>
        <v>43.871514039683888</v>
      </c>
      <c r="E18">
        <f t="shared" si="0"/>
        <v>203.73321882481176</v>
      </c>
      <c r="F18">
        <f t="shared" si="0"/>
        <v>87.743028079367775</v>
      </c>
    </row>
    <row r="19" spans="2:6" x14ac:dyDescent="0.4">
      <c r="B19">
        <v>100000</v>
      </c>
      <c r="C19">
        <f>$H$2*1000*$H$1^2/($F$5/100000)^2</f>
        <v>10186.660941240587</v>
      </c>
      <c r="D19">
        <f>$H$2*1000*$H$1^2/($F$6/100000)^2</f>
        <v>4387.1514039683889</v>
      </c>
      <c r="E19">
        <f t="shared" si="0"/>
        <v>20373.321882481174</v>
      </c>
      <c r="F19">
        <f t="shared" si="0"/>
        <v>8774.3028079367778</v>
      </c>
    </row>
    <row r="20" spans="2:6" x14ac:dyDescent="0.4">
      <c r="B20">
        <v>1000000</v>
      </c>
      <c r="C20">
        <f>$H$2*1000*$H$1^2/($F$5/1000000)^2</f>
        <v>1018666.0941240586</v>
      </c>
      <c r="D20">
        <f>$H$2*1000*$H$1^2/($F$6/1000000)^2</f>
        <v>438715.14039683895</v>
      </c>
      <c r="E20">
        <f t="shared" si="0"/>
        <v>2037332.1882481172</v>
      </c>
      <c r="F20">
        <f t="shared" si="0"/>
        <v>877430.2807936779</v>
      </c>
    </row>
    <row r="21" spans="2:6" x14ac:dyDescent="0.4">
      <c r="B21">
        <v>10000000</v>
      </c>
      <c r="C21">
        <f>$H$2*1000*$H$1^2/($F$5/10000000)^2</f>
        <v>101866609.41240588</v>
      </c>
      <c r="D21">
        <f>$H$2*1000*$H$1^2/($F$6/10000000)^2</f>
        <v>43871514.039683901</v>
      </c>
      <c r="E21">
        <f t="shared" si="0"/>
        <v>203733218.82481176</v>
      </c>
      <c r="F21">
        <f t="shared" si="0"/>
        <v>87743028.079367802</v>
      </c>
    </row>
    <row r="23" spans="2:6" x14ac:dyDescent="0.4">
      <c r="F23" t="s">
        <v>17</v>
      </c>
    </row>
    <row r="24" spans="2:6" x14ac:dyDescent="0.4">
      <c r="B24" t="s">
        <v>18</v>
      </c>
      <c r="C24" t="s">
        <v>19</v>
      </c>
      <c r="D24" t="s">
        <v>20</v>
      </c>
    </row>
    <row r="25" spans="2:6" x14ac:dyDescent="0.4">
      <c r="B25">
        <v>1</v>
      </c>
      <c r="C25">
        <f>$F$5/($H$1*SQRT($H$2*1000/1))</f>
        <v>990.7956118302568</v>
      </c>
      <c r="D25">
        <f>$F$6/($H$1*SQRT($H$2*1000/1))</f>
        <v>1509.7626902824554</v>
      </c>
    </row>
    <row r="26" spans="2:6" x14ac:dyDescent="0.4">
      <c r="B26">
        <v>10</v>
      </c>
      <c r="C26">
        <f>$F$5/($H$1*SQRT($H$2*1000/10))</f>
        <v>3133.1708290836823</v>
      </c>
      <c r="D26">
        <f>$F$6/($H$1*SQRT($H$2*1000/10))</f>
        <v>4774.2888276359208</v>
      </c>
    </row>
    <row r="27" spans="2:6" x14ac:dyDescent="0.4">
      <c r="B27">
        <v>100</v>
      </c>
      <c r="C27">
        <f>$F$5/($H$1*SQRT($H$2*1000/100))</f>
        <v>9907.9561183025671</v>
      </c>
      <c r="D27">
        <f>$F$6/($H$1*SQRT($H$2*1000/100))</f>
        <v>15097.626902824553</v>
      </c>
    </row>
    <row r="28" spans="2:6" x14ac:dyDescent="0.4">
      <c r="B28">
        <v>1000</v>
      </c>
      <c r="C28">
        <f>$F$5/($H$1*SQRT($H$2*1000/1000))</f>
        <v>31331.708290836825</v>
      </c>
      <c r="D28">
        <f>$F$6/($H$1*SQRT($H$2*1000/1000))</f>
        <v>47742.888276359212</v>
      </c>
    </row>
    <row r="29" spans="2:6" x14ac:dyDescent="0.4">
      <c r="B29">
        <v>10000</v>
      </c>
      <c r="C29">
        <f>$F$5/($H$1*SQRT($H$2*1000/10000))</f>
        <v>99079.561183025682</v>
      </c>
      <c r="D29">
        <f>$F$6/($H$1*SQRT($H$2*1000/10000))</f>
        <v>150976.26902824556</v>
      </c>
    </row>
    <row r="30" spans="2:6" x14ac:dyDescent="0.4">
      <c r="B30">
        <v>100000</v>
      </c>
      <c r="C30">
        <f>$F$5/($H$1*SQRT($H$2*1000/100000))</f>
        <v>313317.0829083682</v>
      </c>
      <c r="D30">
        <f>$F$6/($H$1*SQRT($H$2*1000/100000))</f>
        <v>477428.88276359206</v>
      </c>
    </row>
    <row r="31" spans="2:6" x14ac:dyDescent="0.4">
      <c r="B31">
        <v>1000000</v>
      </c>
      <c r="C31">
        <f>$F$5/($H$1*SQRT($H$2*1000/1000000))</f>
        <v>990795.61183025676</v>
      </c>
      <c r="D31">
        <f>$F$6/($H$1*SQRT($H$2*1000/1000000))</f>
        <v>1509762.6902824554</v>
      </c>
    </row>
    <row r="32" spans="2:6" x14ac:dyDescent="0.4">
      <c r="B32">
        <v>10000000</v>
      </c>
      <c r="C32">
        <f>$F$5/($H$1*SQRT($H$2*1000/10000000))</f>
        <v>3133170.8290836825</v>
      </c>
      <c r="D32">
        <f>$F$6/($H$1*SQRT($H$2*1000/10000000))</f>
        <v>4774288.8276359206</v>
      </c>
    </row>
    <row r="35" spans="2:22" x14ac:dyDescent="0.4">
      <c r="B35" t="s">
        <v>21</v>
      </c>
    </row>
    <row r="36" spans="2:22" x14ac:dyDescent="0.4">
      <c r="B36" t="s">
        <v>22</v>
      </c>
      <c r="C36" t="s">
        <v>23</v>
      </c>
      <c r="D36" t="s">
        <v>24</v>
      </c>
      <c r="F36" t="s">
        <v>25</v>
      </c>
      <c r="G36" t="s">
        <v>26</v>
      </c>
      <c r="H36" t="s">
        <v>27</v>
      </c>
      <c r="L36" t="s">
        <v>28</v>
      </c>
      <c r="M36" t="s">
        <v>29</v>
      </c>
      <c r="N36" t="s">
        <v>30</v>
      </c>
    </row>
    <row r="37" spans="2:22" x14ac:dyDescent="0.4">
      <c r="B37">
        <v>1</v>
      </c>
      <c r="C37">
        <f>$E$7/(1+1)</f>
        <v>39178806.25</v>
      </c>
      <c r="D37">
        <f t="shared" ref="D37:D44" si="1">$H$2*1000*$H$1^2/C37^2</f>
        <v>5.8632729344800037E-4</v>
      </c>
      <c r="F37">
        <v>1</v>
      </c>
      <c r="G37">
        <f t="shared" ref="G37:G44" si="2">D37*F37</f>
        <v>5.8632729344800037E-4</v>
      </c>
      <c r="H37">
        <f t="shared" ref="H37:H44" si="3">B37*F37</f>
        <v>1</v>
      </c>
      <c r="L37" t="s">
        <v>31</v>
      </c>
      <c r="M37">
        <f>E5</f>
        <v>149597887.5</v>
      </c>
      <c r="N37">
        <f t="shared" ref="N37:N45" si="4">2*PI()*M37</f>
        <v>939951248.72510469</v>
      </c>
    </row>
    <row r="38" spans="2:22" x14ac:dyDescent="0.4">
      <c r="B38">
        <v>10</v>
      </c>
      <c r="C38">
        <f>$E$7/(10+1)</f>
        <v>7123419.3181818184</v>
      </c>
      <c r="D38">
        <f t="shared" si="1"/>
        <v>1.7736400626802012E-2</v>
      </c>
      <c r="F38">
        <v>10</v>
      </c>
      <c r="G38">
        <f t="shared" si="2"/>
        <v>0.17736400626802012</v>
      </c>
      <c r="H38">
        <f t="shared" si="3"/>
        <v>100</v>
      </c>
      <c r="L38">
        <v>1</v>
      </c>
      <c r="M38">
        <f>$E$5+1*$E$7/8</f>
        <v>159392589.0625</v>
      </c>
      <c r="N38">
        <f t="shared" si="4"/>
        <v>1001493173.6708136</v>
      </c>
    </row>
    <row r="39" spans="2:22" x14ac:dyDescent="0.4">
      <c r="B39">
        <v>100</v>
      </c>
      <c r="C39">
        <f>$E$7/(100+1)</f>
        <v>775817.9455445545</v>
      </c>
      <c r="D39">
        <f t="shared" si="1"/>
        <v>1.4952811801157626</v>
      </c>
      <c r="F39">
        <v>100</v>
      </c>
      <c r="G39">
        <f t="shared" si="2"/>
        <v>149.52811801157625</v>
      </c>
      <c r="H39">
        <f t="shared" si="3"/>
        <v>10000</v>
      </c>
      <c r="L39">
        <v>2</v>
      </c>
      <c r="M39">
        <f>$E$5+2*$E$7/8</f>
        <v>169187290.625</v>
      </c>
      <c r="N39">
        <f t="shared" si="4"/>
        <v>1063035098.6165226</v>
      </c>
    </row>
    <row r="40" spans="2:22" x14ac:dyDescent="0.4">
      <c r="B40">
        <v>1000</v>
      </c>
      <c r="C40">
        <f>$E$7/(1000+1)</f>
        <v>78279.333166833167</v>
      </c>
      <c r="D40">
        <f t="shared" si="1"/>
        <v>146.87513359054745</v>
      </c>
      <c r="F40">
        <v>1000</v>
      </c>
      <c r="G40">
        <f t="shared" si="2"/>
        <v>146875.13359054746</v>
      </c>
      <c r="H40">
        <f t="shared" si="3"/>
        <v>1000000</v>
      </c>
      <c r="L40">
        <v>3</v>
      </c>
      <c r="M40">
        <f>$E$5+3*$E$7/8</f>
        <v>178981992.1875</v>
      </c>
      <c r="N40">
        <f t="shared" si="4"/>
        <v>1124577023.5622315</v>
      </c>
    </row>
    <row r="41" spans="2:22" x14ac:dyDescent="0.4">
      <c r="B41">
        <v>10000</v>
      </c>
      <c r="C41">
        <f>$E$7/(10000+1)</f>
        <v>7834.9777522247778</v>
      </c>
      <c r="D41">
        <f t="shared" si="1"/>
        <v>14661.114119249072</v>
      </c>
      <c r="F41">
        <v>10000</v>
      </c>
      <c r="G41">
        <f t="shared" si="2"/>
        <v>146611141.19249073</v>
      </c>
      <c r="H41">
        <f t="shared" si="3"/>
        <v>100000000</v>
      </c>
      <c r="L41">
        <v>4</v>
      </c>
      <c r="M41">
        <f>$E$5+4*$E$7/8</f>
        <v>188776693.75</v>
      </c>
      <c r="N41">
        <f t="shared" si="4"/>
        <v>1186118948.5079405</v>
      </c>
    </row>
    <row r="42" spans="2:22" x14ac:dyDescent="0.4">
      <c r="B42">
        <v>100000</v>
      </c>
      <c r="C42">
        <f>$E$7/(100000+1)</f>
        <v>783.56828931710686</v>
      </c>
      <c r="D42">
        <f t="shared" si="1"/>
        <v>1465847.5501312551</v>
      </c>
      <c r="F42">
        <v>100000</v>
      </c>
      <c r="G42">
        <f t="shared" si="2"/>
        <v>146584755013.12552</v>
      </c>
      <c r="H42">
        <f t="shared" si="3"/>
        <v>10000000000</v>
      </c>
      <c r="L42">
        <v>5</v>
      </c>
      <c r="M42">
        <f>$E$5+5*$E$7/8</f>
        <v>198571395.3125</v>
      </c>
      <c r="N42">
        <f t="shared" si="4"/>
        <v>1247660873.4536493</v>
      </c>
    </row>
    <row r="43" spans="2:22" x14ac:dyDescent="0.4">
      <c r="B43">
        <v>1000000</v>
      </c>
      <c r="C43">
        <f>$E$7/(1000000+1)</f>
        <v>78.357534142465852</v>
      </c>
      <c r="D43">
        <f t="shared" si="1"/>
        <v>146582116.52579343</v>
      </c>
      <c r="F43">
        <v>1000000</v>
      </c>
      <c r="G43">
        <f t="shared" si="2"/>
        <v>146582116525793.44</v>
      </c>
      <c r="H43">
        <f t="shared" si="3"/>
        <v>1000000000000</v>
      </c>
      <c r="L43">
        <v>6</v>
      </c>
      <c r="M43">
        <f>$E$5+6*$E$7/8</f>
        <v>208366096.875</v>
      </c>
      <c r="N43">
        <f t="shared" si="4"/>
        <v>1309202798.3993583</v>
      </c>
    </row>
    <row r="44" spans="2:22" x14ac:dyDescent="0.4">
      <c r="B44">
        <v>10000000</v>
      </c>
      <c r="C44">
        <f>$E$7/(10000000+1)</f>
        <v>7.8357604664239533</v>
      </c>
      <c r="D44">
        <f t="shared" si="1"/>
        <v>14658185267.836624</v>
      </c>
      <c r="F44">
        <v>10000000</v>
      </c>
      <c r="G44">
        <f t="shared" si="2"/>
        <v>1.4658185267836624E+17</v>
      </c>
      <c r="H44">
        <f t="shared" si="3"/>
        <v>100000000000000</v>
      </c>
      <c r="L44">
        <v>7</v>
      </c>
      <c r="M44">
        <f>$E$5+7*$E$7/8</f>
        <v>218160798.4375</v>
      </c>
      <c r="N44">
        <f t="shared" si="4"/>
        <v>1370744723.3450673</v>
      </c>
    </row>
    <row r="45" spans="2:22" x14ac:dyDescent="0.4">
      <c r="L45" t="s">
        <v>32</v>
      </c>
      <c r="M45">
        <f>E6</f>
        <v>227955500</v>
      </c>
      <c r="N45">
        <f t="shared" si="4"/>
        <v>1432286648.2907763</v>
      </c>
    </row>
    <row r="47" spans="2:22" x14ac:dyDescent="0.4">
      <c r="B47" t="s">
        <v>22</v>
      </c>
      <c r="C47" t="s">
        <v>23</v>
      </c>
      <c r="D47" t="s">
        <v>24</v>
      </c>
      <c r="E47" t="s">
        <v>25</v>
      </c>
      <c r="F47" t="s">
        <v>26</v>
      </c>
      <c r="N47" t="s">
        <v>27</v>
      </c>
      <c r="V47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69140625" defaultRowHeight="14.6" x14ac:dyDescent="0.4"/>
  <sheetData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5"/>
  <sheetViews>
    <sheetView tabSelected="1" topLeftCell="A27" zoomScaleNormal="100" workbookViewId="0">
      <selection activeCell="D77" sqref="D77"/>
    </sheetView>
  </sheetViews>
  <sheetFormatPr defaultColWidth="8.69140625" defaultRowHeight="14.6" x14ac:dyDescent="0.4"/>
  <cols>
    <col min="1" max="1" width="40" customWidth="1"/>
    <col min="2" max="11" width="16" customWidth="1"/>
  </cols>
  <sheetData>
    <row r="1" spans="1:2" ht="16.3" x14ac:dyDescent="0.4">
      <c r="A1" s="1" t="s">
        <v>34</v>
      </c>
    </row>
    <row r="3" spans="1:2" x14ac:dyDescent="0.4">
      <c r="A3" s="2" t="s">
        <v>35</v>
      </c>
    </row>
    <row r="4" spans="1:2" x14ac:dyDescent="0.4">
      <c r="A4" s="3" t="s">
        <v>36</v>
      </c>
      <c r="B4" s="4">
        <v>149597887.5</v>
      </c>
    </row>
    <row r="5" spans="1:2" x14ac:dyDescent="0.4">
      <c r="A5" s="3" t="s">
        <v>37</v>
      </c>
      <c r="B5" s="4">
        <v>227955500</v>
      </c>
    </row>
    <row r="6" spans="1:2" x14ac:dyDescent="0.4">
      <c r="A6" s="3" t="s">
        <v>38</v>
      </c>
      <c r="B6" s="5">
        <f>B5-B4</f>
        <v>78357612.5</v>
      </c>
    </row>
    <row r="7" spans="1:2" x14ac:dyDescent="0.4">
      <c r="A7" s="3" t="s">
        <v>39</v>
      </c>
      <c r="B7" s="4">
        <v>100</v>
      </c>
    </row>
    <row r="8" spans="1:2" x14ac:dyDescent="0.4">
      <c r="A8" s="3" t="s">
        <v>40</v>
      </c>
      <c r="B8" s="4">
        <v>3000</v>
      </c>
    </row>
    <row r="9" spans="1:2" x14ac:dyDescent="0.4">
      <c r="A9" s="3" t="s">
        <v>41</v>
      </c>
      <c r="B9" s="6">
        <v>1</v>
      </c>
    </row>
    <row r="10" spans="1:2" x14ac:dyDescent="0.4">
      <c r="A10" s="3" t="s">
        <v>42</v>
      </c>
      <c r="B10" s="7">
        <f>B9*B7*B8^2</f>
        <v>900000000</v>
      </c>
    </row>
    <row r="12" spans="1:2" x14ac:dyDescent="0.4">
      <c r="A12" s="2" t="s">
        <v>43</v>
      </c>
    </row>
    <row r="13" spans="1:2" x14ac:dyDescent="0.4">
      <c r="A13" s="2" t="s">
        <v>44</v>
      </c>
      <c r="B13" s="8" t="s">
        <v>45</v>
      </c>
    </row>
    <row r="14" spans="1:2" x14ac:dyDescent="0.4">
      <c r="A14" s="2" t="s">
        <v>46</v>
      </c>
      <c r="B14" s="8" t="s">
        <v>47</v>
      </c>
    </row>
    <row r="15" spans="1:2" x14ac:dyDescent="0.4">
      <c r="A15" s="2" t="s">
        <v>48</v>
      </c>
      <c r="B15" s="8" t="s">
        <v>49</v>
      </c>
    </row>
    <row r="16" spans="1:2" x14ac:dyDescent="0.4">
      <c r="A16" s="2" t="s">
        <v>50</v>
      </c>
      <c r="B16" s="8" t="s">
        <v>51</v>
      </c>
    </row>
    <row r="17" spans="1:10" x14ac:dyDescent="0.4">
      <c r="A17" s="2" t="s">
        <v>52</v>
      </c>
      <c r="B17" s="8" t="s">
        <v>53</v>
      </c>
    </row>
    <row r="18" spans="1:10" x14ac:dyDescent="0.4">
      <c r="A18" s="2" t="s">
        <v>54</v>
      </c>
      <c r="B18" s="8" t="s">
        <v>55</v>
      </c>
    </row>
    <row r="19" spans="1:10" x14ac:dyDescent="0.4">
      <c r="A19" s="2" t="s">
        <v>56</v>
      </c>
      <c r="B19" s="8" t="s">
        <v>57</v>
      </c>
    </row>
    <row r="21" spans="1:10" x14ac:dyDescent="0.4">
      <c r="A21" s="2" t="s">
        <v>58</v>
      </c>
    </row>
    <row r="22" spans="1:10" x14ac:dyDescent="0.4">
      <c r="A22" s="9" t="s">
        <v>59</v>
      </c>
      <c r="B22" s="9">
        <v>1</v>
      </c>
      <c r="C22" s="9">
        <v>5</v>
      </c>
      <c r="D22" s="9">
        <v>10</v>
      </c>
      <c r="E22" s="9">
        <v>50</v>
      </c>
      <c r="F22" s="9">
        <v>100</v>
      </c>
      <c r="G22" s="9">
        <v>500</v>
      </c>
      <c r="H22" s="9">
        <v>1000</v>
      </c>
      <c r="I22" s="9">
        <v>5000</v>
      </c>
      <c r="J22" s="9">
        <v>10000</v>
      </c>
    </row>
    <row r="23" spans="1:10" x14ac:dyDescent="0.4">
      <c r="A23" s="9">
        <v>1</v>
      </c>
      <c r="B23" s="10">
        <f>1*$B$10/(($B$6/(1+1))^2+(PI()*$B$5/1)^2)*1000</f>
        <v>1.7496239878032028E-6</v>
      </c>
      <c r="C23" s="10">
        <f>5*$B$10/(($B$6/(1+1))^2+(PI()*$B$5/5)^2)*1000</f>
        <v>2.0408691496021672E-4</v>
      </c>
      <c r="D23" s="10">
        <f>10*$B$10/(($B$6/(1+1))^2+(PI()*$B$5/10)^2)*1000</f>
        <v>1.3506230154476863E-3</v>
      </c>
      <c r="E23" s="10">
        <f>50*$B$10/(($B$6/(1+1))^2+(PI()*$B$5/50)^2)*1000</f>
        <v>2.5860235512536089E-2</v>
      </c>
      <c r="F23" s="10">
        <f>100*$B$10/(($B$6/(1+1))^2+(PI()*$B$5/100)^2)*1000</f>
        <v>5.6737052659581365E-2</v>
      </c>
      <c r="G23" s="10">
        <f>500*$B$10/(($B$6/(1+1))^2+(PI()*$B$5/500)^2)*1000</f>
        <v>0.29277236679401325</v>
      </c>
      <c r="H23" s="10">
        <f>1000*$B$10/(($B$6/(1+1))^2+(PI()*$B$5/1000)^2)*1000</f>
        <v>0.58613145744907635</v>
      </c>
      <c r="I23" s="10">
        <f>5000*$B$10/(($B$6/(1+1))^2+(PI()*$B$5/5000)^2)*1000</f>
        <v>2.9315972874774463</v>
      </c>
      <c r="J23" s="10">
        <f>10000*$B$10/(($B$6/(1+1))^2+(PI()*$B$5/10000)^2)*1000</f>
        <v>5.8632533444023673</v>
      </c>
    </row>
    <row r="24" spans="1:10" x14ac:dyDescent="0.4">
      <c r="A24" s="9">
        <v>2</v>
      </c>
      <c r="B24" s="10">
        <f>1*$B$10/(($B$6/(2+1))^2+(PI()*$B$5/1)^2)*1000</f>
        <v>1.7525293307468186E-6</v>
      </c>
      <c r="C24" s="10">
        <f>5*$B$10/(($B$6/(2+1))^2+(PI()*$B$5/5)^2)*1000</f>
        <v>2.1229756522806522E-4</v>
      </c>
      <c r="D24" s="10">
        <f>10*$B$10/(($B$6/(2+1))^2+(PI()*$B$5/10)^2)*1000</f>
        <v>1.5488333117262367E-3</v>
      </c>
      <c r="E24" s="10">
        <f>50*$B$10/(($B$6/(2+1))^2+(PI()*$B$5/50)^2)*1000</f>
        <v>5.0712377583245614E-2</v>
      </c>
      <c r="F24" s="10">
        <f>100*$B$10/(($B$6/(2+1))^2+(PI()*$B$5/100)^2)*1000</f>
        <v>0.12269956174985522</v>
      </c>
      <c r="G24" s="10">
        <f>500*$B$10/(($B$6/(2+1))^2+(PI()*$B$5/500)^2)*1000</f>
        <v>0.65764064974028436</v>
      </c>
      <c r="H24" s="10">
        <f>1000*$B$10/(($B$6/(2+1))^2+(PI()*$B$5/1000)^2)*1000</f>
        <v>1.3182454042641187</v>
      </c>
      <c r="I24" s="10">
        <f>5000*$B$10/(($B$6/(2+1))^2+(PI()*$B$5/5000)^2)*1000</f>
        <v>6.5959837070555203</v>
      </c>
      <c r="J24" s="10">
        <f>10000*$B$10/(($B$6/(2+1))^2+(PI()*$B$5/10000)^2)*1000</f>
        <v>13.192264928226171</v>
      </c>
    </row>
    <row r="25" spans="1:10" x14ac:dyDescent="0.4">
      <c r="A25" s="9">
        <v>5</v>
      </c>
      <c r="B25" s="10">
        <f>1*$B$10/(($B$6/(5+1))^2+(PI()*$B$5/1)^2)*1000</f>
        <v>1.7542771726283333E-6</v>
      </c>
      <c r="C25" s="10">
        <f>5*$B$10/(($B$6/(5+1))^2+(PI()*$B$5/5)^2)*1000</f>
        <v>2.1754891028017776E-4</v>
      </c>
      <c r="D25" s="10">
        <f>10*$B$10/(($B$6/(5+1))^2+(PI()*$B$5/10)^2)*1000</f>
        <v>1.6983805218245217E-3</v>
      </c>
      <c r="E25" s="10">
        <f>50*$B$10/(($B$6/(5+1))^2+(PI()*$B$5/50)^2)*1000</f>
        <v>0.11977714715569417</v>
      </c>
      <c r="F25" s="10">
        <f>100*$B$10/(($B$6/(5+1))^2+(PI()*$B$5/100)^2)*1000</f>
        <v>0.40569902066596492</v>
      </c>
      <c r="G25" s="10">
        <f>500*$B$10/(($B$6/(5+1))^2+(PI()*$B$5/500)^2)*1000</f>
        <v>2.6071139785748061</v>
      </c>
      <c r="H25" s="10">
        <f>1000*$B$10/(($B$6/(5+1))^2+(PI()*$B$5/1000)^2)*1000</f>
        <v>5.2611251979222748</v>
      </c>
      <c r="I25" s="10">
        <f>5000*$B$10/(($B$6/(5+1))^2+(PI()*$B$5/5000)^2)*1000</f>
        <v>26.38155498366033</v>
      </c>
      <c r="J25" s="10">
        <f>10000*$B$10/(($B$6/(5+1))^2+(PI()*$B$5/10000)^2)*1000</f>
        <v>52.767869656444162</v>
      </c>
    </row>
    <row r="26" spans="1:10" x14ac:dyDescent="0.4">
      <c r="A26" s="9">
        <v>10</v>
      </c>
      <c r="B26" s="10">
        <f>1*$B$10/(($B$6/(10+1))^2+(PI()*$B$5/1)^2)*1000</f>
        <v>1.7546869507746186E-6</v>
      </c>
      <c r="C26" s="10">
        <f>5*$B$10/(($B$6/(10+1))^2+(PI()*$B$5/5)^2)*1000</f>
        <v>2.1881632152435864E-4</v>
      </c>
      <c r="D26" s="10">
        <f>10*$B$10/(($B$6/(10+1))^2+(PI()*$B$5/10)^2)*1000</f>
        <v>1.7376678691305401E-3</v>
      </c>
      <c r="E26" s="10">
        <f>50*$B$10/(($B$6/(10+1))^2+(PI()*$B$5/50)^2)*1000</f>
        <v>0.17585845799760264</v>
      </c>
      <c r="F26" s="10">
        <f>100*$B$10/(($B$6/(10+1))^2+(PI()*$B$5/100)^2)*1000</f>
        <v>0.88210016884860232</v>
      </c>
      <c r="G26" s="10">
        <f>500*$B$10/(($B$6/(10+1))^2+(PI()*$B$5/500)^2)*1000</f>
        <v>8.5236074279339711</v>
      </c>
      <c r="H26" s="10">
        <f>1000*$B$10/(($B$6/(10+1))^2+(PI()*$B$5/1000)^2)*1000</f>
        <v>17.558932249105212</v>
      </c>
      <c r="I26" s="10">
        <f>5000*$B$10/(($B$6/(10+1))^2+(PI()*$B$5/5000)^2)*1000</f>
        <v>88.646165211963265</v>
      </c>
      <c r="J26" s="10">
        <f>10000*$B$10/(($B$6/(10+1))^2+(PI()*$B$5/10000)^2)*1000</f>
        <v>177.34608187433</v>
      </c>
    </row>
    <row r="27" spans="1:10" x14ac:dyDescent="0.4">
      <c r="A27" s="9">
        <v>20</v>
      </c>
      <c r="B27" s="10">
        <f>1*$B$10/(($B$6/(20+1))^2+(PI()*$B$5/1)^2)*1000</f>
        <v>1.7548129234547672E-6</v>
      </c>
      <c r="C27" s="10">
        <f>5*$B$10/(($B$6/(20+1))^2+(PI()*$B$5/5)^2)*1000</f>
        <v>2.1920879796118791E-4</v>
      </c>
      <c r="D27" s="10">
        <f>10*$B$10/(($B$6/(20+1))^2+(PI()*$B$5/10)^2)*1000</f>
        <v>1.7501095167273804E-3</v>
      </c>
      <c r="E27" s="10">
        <f>50*$B$10/(($B$6/(20+1))^2+(PI()*$B$5/50)^2)*1000</f>
        <v>0.20541640607538822</v>
      </c>
      <c r="F27" s="10">
        <f>100*$B$10/(($B$6/(20+1))^2+(PI()*$B$5/100)^2)*1000</f>
        <v>1.3801810367914091</v>
      </c>
      <c r="G27" s="10">
        <f>500*$B$10/(($B$6/(20+1))^2+(PI()*$B$5/500)^2)*1000</f>
        <v>28.170502785474106</v>
      </c>
      <c r="H27" s="10">
        <f>1000*$B$10/(($B$6/(20+1))^2+(PI()*$B$5/1000)^2)*1000</f>
        <v>62.345988084456813</v>
      </c>
      <c r="I27" s="10">
        <f>5000*$B$10/(($B$6/(20+1))^2+(PI()*$B$5/5000)^2)*1000</f>
        <v>322.7373823687102</v>
      </c>
      <c r="J27" s="10">
        <f>10000*$B$10/(($B$6/(20+1))^2+(PI()*$B$5/10000)^2)*1000</f>
        <v>646.18780929488116</v>
      </c>
    </row>
    <row r="28" spans="1:10" x14ac:dyDescent="0.4">
      <c r="A28" s="9">
        <v>50</v>
      </c>
      <c r="B28" s="10">
        <f>1*$B$10/(($B$6/(50+1))^2+(PI()*$B$5/1)^2)*1000</f>
        <v>1.7548524843516427E-6</v>
      </c>
      <c r="C28" s="10">
        <f>5*$B$10/(($B$6/(50+1))^2+(PI()*$B$5/5)^2)*1000</f>
        <v>2.1933233162483776E-4</v>
      </c>
      <c r="D28" s="10">
        <f>10*$B$10/(($B$6/(50+1))^2+(PI()*$B$5/10)^2)*1000</f>
        <v>1.7540532059079537E-3</v>
      </c>
      <c r="E28" s="10">
        <f>50*$B$10/(($B$6/(50+1))^2+(PI()*$B$5/50)^2)*1000</f>
        <v>0.21686213736802459</v>
      </c>
      <c r="F28" s="10">
        <f>100*$B$10/(($B$6/(50+1))^2+(PI()*$B$5/100)^2)*1000</f>
        <v>1.6776420467833721</v>
      </c>
      <c r="G28" s="10">
        <f>500*$B$10/(($B$6/(50+1))^2+(PI()*$B$5/500)^2)*1000</f>
        <v>101.99356491080704</v>
      </c>
      <c r="H28" s="10">
        <f>1000*$B$10/(($B$6/(50+1))^2+(PI()*$B$5/1000)^2)*1000</f>
        <v>313.21132950910737</v>
      </c>
      <c r="I28" s="10">
        <f>5000*$B$10/(($B$6/(50+1))^2+(PI()*$B$5/5000)^2)*1000</f>
        <v>1889.8729335821345</v>
      </c>
      <c r="J28" s="10">
        <f>10000*$B$10/(($B$6/(50+1))^2+(PI()*$B$5/10000)^2)*1000</f>
        <v>3804.3279791645136</v>
      </c>
    </row>
    <row r="29" spans="1:10" x14ac:dyDescent="0.4">
      <c r="A29" s="9">
        <v>100</v>
      </c>
      <c r="B29" s="10">
        <f>1*$B$10/(($B$6/(100+1))^2+(PI()*$B$5/1)^2)*1000</f>
        <v>1.7548585020870974E-6</v>
      </c>
      <c r="C29" s="10">
        <f>5*$B$10/(($B$6/(100+1))^2+(PI()*$B$5/5)^2)*1000</f>
        <v>2.1935113444138441E-4</v>
      </c>
      <c r="D29" s="10">
        <f>10*$B$10/(($B$6/(100+1))^2+(PI()*$B$5/10)^2)*1000</f>
        <v>1.7546546354873036E-3</v>
      </c>
      <c r="E29" s="10">
        <f>50*$B$10/(($B$6/(100+1))^2+(PI()*$B$5/50)^2)*1000</f>
        <v>0.21871585839332194</v>
      </c>
      <c r="F29" s="10">
        <f>100*$B$10/(($B$6/(100+1))^2+(PI()*$B$5/100)^2)*1000</f>
        <v>1.7345044341521372</v>
      </c>
      <c r="G29" s="10">
        <f>500*$B$10/(($B$6/(100+1))^2+(PI()*$B$5/500)^2)*1000</f>
        <v>169.59765794522446</v>
      </c>
      <c r="H29" s="10">
        <f>1000*$B$10/(($B$6/(100+1))^2+(PI()*$B$5/1000)^2)*1000</f>
        <v>807.35247260137476</v>
      </c>
      <c r="I29" s="10">
        <f>5000*$B$10/(($B$6/(100+1))^2+(PI()*$B$5/5000)^2)*1000</f>
        <v>7229.9849448141695</v>
      </c>
      <c r="J29" s="10">
        <f>10000*$B$10/(($B$6/(100+1))^2+(PI()*$B$5/10000)^2)*1000</f>
        <v>14826.47837859299</v>
      </c>
    </row>
    <row r="30" spans="1:10" x14ac:dyDescent="0.4">
      <c r="A30" s="9">
        <v>200</v>
      </c>
      <c r="B30" s="10">
        <f>1*$B$10/(($B$6/(200+1))^2+(PI()*$B$5/1)^2)*1000</f>
        <v>1.7548600415759556E-6</v>
      </c>
      <c r="C30" s="10">
        <f>5*$B$10/(($B$6/(200+1))^2+(PI()*$B$5/5)^2)*1000</f>
        <v>2.1935594517435189E-4</v>
      </c>
      <c r="D30" s="10">
        <f>10*$B$10/(($B$6/(200+1))^2+(PI()*$B$5/10)^2)*1000</f>
        <v>1.7548085619728498E-3</v>
      </c>
      <c r="E30" s="10">
        <f>50*$B$10/(($B$6/(200+1))^2+(PI()*$B$5/50)^2)*1000</f>
        <v>0.21919518688398856</v>
      </c>
      <c r="F30" s="10">
        <f>100*$B$10/(($B$6/(200+1))^2+(PI()*$B$5/100)^2)*1000</f>
        <v>1.7496758098376495</v>
      </c>
      <c r="G30" s="10">
        <f>500*$B$10/(($B$6/(200+1))^2+(PI()*$B$5/500)^2)*1000</f>
        <v>204.22802978827309</v>
      </c>
      <c r="H30" s="10">
        <f>1000*$B$10/(($B$6/(200+1))^2+(PI()*$B$5/1000)^2)*1000</f>
        <v>1353.7181143640116</v>
      </c>
      <c r="I30" s="10">
        <f>5000*$B$10/(($B$6/(200+1))^2+(PI()*$B$5/5000)^2)*1000</f>
        <v>26088.651368121471</v>
      </c>
      <c r="J30" s="10">
        <f>10000*$B$10/(($B$6/(200+1))^2+(PI()*$B$5/10000)^2)*1000</f>
        <v>57287.273545578035</v>
      </c>
    </row>
    <row r="31" spans="1:10" x14ac:dyDescent="0.4">
      <c r="A31" s="9">
        <v>500</v>
      </c>
      <c r="B31" s="10">
        <f>1*$B$10/(($B$6/(500+1))^2+(PI()*$B$5/1)^2)*1000</f>
        <v>1.7548604778865504E-6</v>
      </c>
      <c r="C31" s="10">
        <f>5*$B$10/(($B$6/(500+1))^2+(PI()*$B$5/5)^2)*1000</f>
        <v>2.1935730863370284E-4</v>
      </c>
      <c r="D31" s="10">
        <f>10*$B$10/(($B$6/(500+1))^2+(PI()*$B$5/10)^2)*1000</f>
        <v>1.7548521915463657E-3</v>
      </c>
      <c r="E31" s="10">
        <f>50*$B$10/(($B$6/(500+1))^2+(PI()*$B$5/50)^2)*1000</f>
        <v>0.21933141681413582</v>
      </c>
      <c r="F31" s="10">
        <f>100*$B$10/(($B$6/(500+1))^2+(PI()*$B$5/100)^2)*1000</f>
        <v>1.7540239525298937</v>
      </c>
      <c r="G31" s="10">
        <f>500*$B$10/(($B$6/(500+1))^2+(PI()*$B$5/500)^2)*1000</f>
        <v>216.77274176844381</v>
      </c>
      <c r="H31" s="10">
        <f>1000*$B$10/(($B$6/(500+1))^2+(PI()*$B$5/1000)^2)*1000</f>
        <v>1674.9702455848778</v>
      </c>
      <c r="I31" s="10">
        <f>5000*$B$10/(($B$6/(500+1))^2+(PI()*$B$5/5000)^2)*1000</f>
        <v>100052.98926258084</v>
      </c>
      <c r="J31" s="10">
        <f>10000*$B$10/(($B$6/(500+1))^2+(PI()*$B$5/10000)^2)*1000</f>
        <v>304153.42139826901</v>
      </c>
    </row>
    <row r="32" spans="1:10" x14ac:dyDescent="0.4">
      <c r="A32" s="9">
        <v>1000</v>
      </c>
      <c r="B32" s="10">
        <f>1*$B$10/(($B$6/(1000+1))^2+(PI()*$B$5/1)^2)*1000</f>
        <v>1.7548605406203241E-6</v>
      </c>
      <c r="C32" s="10">
        <f>5*$B$10/(($B$6/(1000+1))^2+(PI()*$B$5/5)^2)*1000</f>
        <v>2.1935750467646476E-4</v>
      </c>
      <c r="D32" s="10">
        <f>10*$B$10/(($B$6/(1000+1))^2+(PI()*$B$5/10)^2)*1000</f>
        <v>1.7548584648866847E-3</v>
      </c>
      <c r="E32" s="10">
        <f>50*$B$10/(($B$6/(1000+1))^2+(PI()*$B$5/50)^2)*1000</f>
        <v>0.21935101819670261</v>
      </c>
      <c r="F32" s="10">
        <f>100*$B$10/(($B$6/(1000+1))^2+(PI()*$B$5/100)^2)*1000</f>
        <v>1.7546509163181307</v>
      </c>
      <c r="G32" s="10">
        <f>500*$B$10/(($B$6/(1000+1))^2+(PI()*$B$5/500)^2)*1000</f>
        <v>218.70430176482859</v>
      </c>
      <c r="H32" s="10">
        <f>1000*$B$10/(($B$6/(1000+1))^2+(PI()*$B$5/1000)^2)*1000</f>
        <v>1734.1410856284015</v>
      </c>
      <c r="I32" s="10">
        <f>5000*$B$10/(($B$6/(1000+1))^2+(PI()*$B$5/5000)^2)*1000</f>
        <v>168905.57620413194</v>
      </c>
      <c r="J32" s="10">
        <f>10000*$B$10/(($B$6/(1000+1))^2+(PI()*$B$5/10000)^2)*1000</f>
        <v>799554.62261566881</v>
      </c>
    </row>
    <row r="35" spans="1:10" x14ac:dyDescent="0.4">
      <c r="A35" s="2" t="s">
        <v>60</v>
      </c>
    </row>
    <row r="36" spans="1:10" x14ac:dyDescent="0.4">
      <c r="A36" s="9" t="s">
        <v>59</v>
      </c>
      <c r="B36" s="9">
        <v>1</v>
      </c>
      <c r="C36" s="9">
        <v>5</v>
      </c>
      <c r="D36" s="9">
        <v>10</v>
      </c>
      <c r="E36" s="9">
        <v>50</v>
      </c>
      <c r="F36" s="9">
        <v>100</v>
      </c>
      <c r="G36" s="9">
        <v>500</v>
      </c>
      <c r="H36" s="9">
        <v>1000</v>
      </c>
      <c r="I36" s="9">
        <v>5000</v>
      </c>
      <c r="J36" s="9">
        <v>10000</v>
      </c>
    </row>
    <row r="37" spans="1:10" x14ac:dyDescent="0.4">
      <c r="A37" s="9">
        <v>1</v>
      </c>
      <c r="B37" s="5">
        <f>1*1</f>
        <v>1</v>
      </c>
      <c r="C37" s="5">
        <f>1*5</f>
        <v>5</v>
      </c>
      <c r="D37" s="5">
        <f>1*10</f>
        <v>10</v>
      </c>
      <c r="E37" s="5">
        <f>1*50</f>
        <v>50</v>
      </c>
      <c r="F37" s="5">
        <f>1*100</f>
        <v>100</v>
      </c>
      <c r="G37" s="5">
        <f>1*500</f>
        <v>500</v>
      </c>
      <c r="H37" s="5">
        <f>1*1000</f>
        <v>1000</v>
      </c>
      <c r="I37" s="5">
        <f>1*5000</f>
        <v>5000</v>
      </c>
      <c r="J37" s="5">
        <f>1*10000</f>
        <v>10000</v>
      </c>
    </row>
    <row r="38" spans="1:10" x14ac:dyDescent="0.4">
      <c r="A38" s="9">
        <v>2</v>
      </c>
      <c r="B38" s="5">
        <f>2*1</f>
        <v>2</v>
      </c>
      <c r="C38" s="5">
        <f>2*5</f>
        <v>10</v>
      </c>
      <c r="D38" s="5">
        <f>2*10</f>
        <v>20</v>
      </c>
      <c r="E38" s="5">
        <f>2*50</f>
        <v>100</v>
      </c>
      <c r="F38" s="5">
        <f>2*100</f>
        <v>200</v>
      </c>
      <c r="G38" s="5">
        <f>2*500</f>
        <v>1000</v>
      </c>
      <c r="H38" s="5">
        <f>2*1000</f>
        <v>2000</v>
      </c>
      <c r="I38" s="5">
        <f>2*5000</f>
        <v>10000</v>
      </c>
      <c r="J38" s="5">
        <f>2*10000</f>
        <v>20000</v>
      </c>
    </row>
    <row r="39" spans="1:10" x14ac:dyDescent="0.4">
      <c r="A39" s="9">
        <v>5</v>
      </c>
      <c r="B39" s="5">
        <f>5*1</f>
        <v>5</v>
      </c>
      <c r="C39" s="5">
        <f>5*5</f>
        <v>25</v>
      </c>
      <c r="D39" s="5">
        <f>5*10</f>
        <v>50</v>
      </c>
      <c r="E39" s="5">
        <f>5*50</f>
        <v>250</v>
      </c>
      <c r="F39" s="5">
        <f>5*100</f>
        <v>500</v>
      </c>
      <c r="G39" s="5">
        <f>5*500</f>
        <v>2500</v>
      </c>
      <c r="H39" s="5">
        <f>5*1000</f>
        <v>5000</v>
      </c>
      <c r="I39" s="5">
        <f>5*5000</f>
        <v>25000</v>
      </c>
      <c r="J39" s="5">
        <f>5*10000</f>
        <v>50000</v>
      </c>
    </row>
    <row r="40" spans="1:10" x14ac:dyDescent="0.4">
      <c r="A40" s="9">
        <v>10</v>
      </c>
      <c r="B40" s="5">
        <f>10*1</f>
        <v>10</v>
      </c>
      <c r="C40" s="5">
        <f>10*5</f>
        <v>50</v>
      </c>
      <c r="D40" s="5">
        <f>10*10</f>
        <v>100</v>
      </c>
      <c r="E40" s="5">
        <f>10*50</f>
        <v>500</v>
      </c>
      <c r="F40" s="5">
        <f>10*100</f>
        <v>1000</v>
      </c>
      <c r="G40" s="5">
        <f>10*500</f>
        <v>5000</v>
      </c>
      <c r="H40" s="5">
        <f>10*1000</f>
        <v>10000</v>
      </c>
      <c r="I40" s="5">
        <f>10*5000</f>
        <v>50000</v>
      </c>
      <c r="J40" s="5">
        <f>10*10000</f>
        <v>100000</v>
      </c>
    </row>
    <row r="41" spans="1:10" x14ac:dyDescent="0.4">
      <c r="A41" s="9">
        <v>20</v>
      </c>
      <c r="B41" s="5">
        <f>20*1</f>
        <v>20</v>
      </c>
      <c r="C41" s="5">
        <f>20*5</f>
        <v>100</v>
      </c>
      <c r="D41" s="5">
        <f>20*10</f>
        <v>200</v>
      </c>
      <c r="E41" s="5">
        <f>20*50</f>
        <v>1000</v>
      </c>
      <c r="F41" s="5">
        <f>20*100</f>
        <v>2000</v>
      </c>
      <c r="G41" s="5">
        <f>20*500</f>
        <v>10000</v>
      </c>
      <c r="H41" s="5">
        <f>20*1000</f>
        <v>20000</v>
      </c>
      <c r="I41" s="5">
        <f>20*5000</f>
        <v>100000</v>
      </c>
      <c r="J41" s="5">
        <f>20*10000</f>
        <v>200000</v>
      </c>
    </row>
    <row r="42" spans="1:10" x14ac:dyDescent="0.4">
      <c r="A42" s="9">
        <v>50</v>
      </c>
      <c r="B42" s="5">
        <f>50*1</f>
        <v>50</v>
      </c>
      <c r="C42" s="5">
        <f>50*5</f>
        <v>250</v>
      </c>
      <c r="D42" s="5">
        <f>50*10</f>
        <v>500</v>
      </c>
      <c r="E42" s="5">
        <f>50*50</f>
        <v>2500</v>
      </c>
      <c r="F42" s="5">
        <f>50*100</f>
        <v>5000</v>
      </c>
      <c r="G42" s="5">
        <f>50*500</f>
        <v>25000</v>
      </c>
      <c r="H42" s="5">
        <f>50*1000</f>
        <v>50000</v>
      </c>
      <c r="I42" s="5">
        <f>50*5000</f>
        <v>250000</v>
      </c>
      <c r="J42" s="5">
        <f>50*10000</f>
        <v>500000</v>
      </c>
    </row>
    <row r="43" spans="1:10" x14ac:dyDescent="0.4">
      <c r="A43" s="9">
        <v>100</v>
      </c>
      <c r="B43" s="5">
        <f>100*1</f>
        <v>100</v>
      </c>
      <c r="C43" s="5">
        <f>100*5</f>
        <v>500</v>
      </c>
      <c r="D43" s="5">
        <f>100*10</f>
        <v>1000</v>
      </c>
      <c r="E43" s="5">
        <f>100*50</f>
        <v>5000</v>
      </c>
      <c r="F43" s="5">
        <f>100*100</f>
        <v>10000</v>
      </c>
      <c r="G43" s="5">
        <f>100*500</f>
        <v>50000</v>
      </c>
      <c r="H43" s="5">
        <f>100*1000</f>
        <v>100000</v>
      </c>
      <c r="I43" s="5">
        <f>100*5000</f>
        <v>500000</v>
      </c>
      <c r="J43" s="5">
        <f>100*10000</f>
        <v>1000000</v>
      </c>
    </row>
    <row r="44" spans="1:10" x14ac:dyDescent="0.4">
      <c r="A44" s="9">
        <v>200</v>
      </c>
      <c r="B44" s="5">
        <f>200*1</f>
        <v>200</v>
      </c>
      <c r="C44" s="5">
        <f>200*5</f>
        <v>1000</v>
      </c>
      <c r="D44" s="5">
        <f>200*10</f>
        <v>2000</v>
      </c>
      <c r="E44" s="5">
        <f>200*50</f>
        <v>10000</v>
      </c>
      <c r="F44" s="5">
        <f>200*100</f>
        <v>20000</v>
      </c>
      <c r="G44" s="5">
        <f>200*500</f>
        <v>100000</v>
      </c>
      <c r="H44" s="5">
        <f>200*1000</f>
        <v>200000</v>
      </c>
      <c r="I44" s="5">
        <f>200*5000</f>
        <v>1000000</v>
      </c>
      <c r="J44" s="5">
        <f>200*10000</f>
        <v>2000000</v>
      </c>
    </row>
    <row r="45" spans="1:10" x14ac:dyDescent="0.4">
      <c r="A45" s="9">
        <v>500</v>
      </c>
      <c r="B45" s="5">
        <f>500*1</f>
        <v>500</v>
      </c>
      <c r="C45" s="5">
        <f>500*5</f>
        <v>2500</v>
      </c>
      <c r="D45" s="5">
        <f>500*10</f>
        <v>5000</v>
      </c>
      <c r="E45" s="5">
        <f>500*50</f>
        <v>25000</v>
      </c>
      <c r="F45" s="5">
        <f>500*100</f>
        <v>50000</v>
      </c>
      <c r="G45" s="5">
        <f>500*500</f>
        <v>250000</v>
      </c>
      <c r="H45" s="5">
        <f>500*1000</f>
        <v>500000</v>
      </c>
      <c r="I45" s="5">
        <f>500*5000</f>
        <v>2500000</v>
      </c>
      <c r="J45" s="5">
        <f>500*10000</f>
        <v>5000000</v>
      </c>
    </row>
    <row r="46" spans="1:10" x14ac:dyDescent="0.4">
      <c r="A46" s="9">
        <v>1000</v>
      </c>
      <c r="B46" s="5">
        <f>1000*1</f>
        <v>1000</v>
      </c>
      <c r="C46" s="5">
        <f>1000*5</f>
        <v>5000</v>
      </c>
      <c r="D46" s="5">
        <f>1000*10</f>
        <v>10000</v>
      </c>
      <c r="E46" s="5">
        <f>1000*50</f>
        <v>50000</v>
      </c>
      <c r="F46" s="5">
        <f>1000*100</f>
        <v>100000</v>
      </c>
      <c r="G46" s="5">
        <f>1000*500</f>
        <v>500000</v>
      </c>
      <c r="H46" s="5">
        <f>1000*1000</f>
        <v>1000000</v>
      </c>
      <c r="I46" s="5">
        <f>1000*5000</f>
        <v>5000000</v>
      </c>
      <c r="J46" s="5">
        <f>1000*10000</f>
        <v>10000000</v>
      </c>
    </row>
    <row r="49" spans="1:10" x14ac:dyDescent="0.4">
      <c r="A49" s="2" t="s">
        <v>61</v>
      </c>
    </row>
    <row r="50" spans="1:10" x14ac:dyDescent="0.4">
      <c r="A50" s="9" t="s">
        <v>59</v>
      </c>
      <c r="B50" s="9">
        <v>1</v>
      </c>
      <c r="C50" s="9">
        <v>5</v>
      </c>
      <c r="D50" s="9">
        <v>10</v>
      </c>
      <c r="E50" s="9">
        <v>50</v>
      </c>
      <c r="F50" s="9">
        <v>100</v>
      </c>
      <c r="G50" s="9">
        <v>500</v>
      </c>
      <c r="H50" s="9">
        <v>1000</v>
      </c>
      <c r="I50" s="9">
        <v>5000</v>
      </c>
      <c r="J50" s="9">
        <v>10000</v>
      </c>
    </row>
    <row r="51" spans="1:10" x14ac:dyDescent="0.4">
      <c r="A51" s="9">
        <v>1</v>
      </c>
      <c r="B51" s="11">
        <f t="shared" ref="B51:J51" si="0">B23/B37</f>
        <v>1.7496239878032028E-6</v>
      </c>
      <c r="C51" s="11">
        <f t="shared" si="0"/>
        <v>4.0817382992043345E-5</v>
      </c>
      <c r="D51" s="11">
        <f t="shared" si="0"/>
        <v>1.3506230154476862E-4</v>
      </c>
      <c r="E51" s="11">
        <f t="shared" si="0"/>
        <v>5.1720471025072179E-4</v>
      </c>
      <c r="F51" s="11">
        <f t="shared" si="0"/>
        <v>5.673705265958136E-4</v>
      </c>
      <c r="G51" s="11">
        <f t="shared" si="0"/>
        <v>5.855447335880265E-4</v>
      </c>
      <c r="H51" s="11">
        <f t="shared" si="0"/>
        <v>5.8613145744907638E-4</v>
      </c>
      <c r="I51" s="11">
        <f t="shared" si="0"/>
        <v>5.8631945749548927E-4</v>
      </c>
      <c r="J51" s="11">
        <f t="shared" si="0"/>
        <v>5.8632533444023674E-4</v>
      </c>
    </row>
    <row r="52" spans="1:10" x14ac:dyDescent="0.4">
      <c r="A52" s="9">
        <v>2</v>
      </c>
      <c r="B52" s="11">
        <f t="shared" ref="B52:J52" si="1">B24/B38</f>
        <v>8.7626466537340931E-7</v>
      </c>
      <c r="C52" s="11">
        <f t="shared" si="1"/>
        <v>2.122975652280652E-5</v>
      </c>
      <c r="D52" s="11">
        <f t="shared" si="1"/>
        <v>7.7441665586311834E-5</v>
      </c>
      <c r="E52" s="11">
        <f t="shared" si="1"/>
        <v>5.0712377583245617E-4</v>
      </c>
      <c r="F52" s="11">
        <f t="shared" si="1"/>
        <v>6.1349780874927606E-4</v>
      </c>
      <c r="G52" s="11">
        <f t="shared" si="1"/>
        <v>6.5764064974028439E-4</v>
      </c>
      <c r="H52" s="11">
        <f t="shared" si="1"/>
        <v>6.5912270213205936E-4</v>
      </c>
      <c r="I52" s="11">
        <f t="shared" si="1"/>
        <v>6.5959837070555204E-4</v>
      </c>
      <c r="J52" s="11">
        <f t="shared" si="1"/>
        <v>6.5961324641130854E-4</v>
      </c>
    </row>
    <row r="53" spans="1:10" x14ac:dyDescent="0.4">
      <c r="A53" s="9">
        <v>5</v>
      </c>
      <c r="B53" s="11">
        <f t="shared" ref="B53:J53" si="2">B25/B39</f>
        <v>3.5085543452566665E-7</v>
      </c>
      <c r="C53" s="11">
        <f t="shared" si="2"/>
        <v>8.70195641120711E-6</v>
      </c>
      <c r="D53" s="11">
        <f t="shared" si="2"/>
        <v>3.3967610436490434E-5</v>
      </c>
      <c r="E53" s="11">
        <f t="shared" si="2"/>
        <v>4.7910858862277667E-4</v>
      </c>
      <c r="F53" s="11">
        <f t="shared" si="2"/>
        <v>8.1139804133192981E-4</v>
      </c>
      <c r="G53" s="11">
        <f t="shared" si="2"/>
        <v>1.0428455914299225E-3</v>
      </c>
      <c r="H53" s="11">
        <f t="shared" si="2"/>
        <v>1.052225039584455E-3</v>
      </c>
      <c r="I53" s="11">
        <f t="shared" si="2"/>
        <v>1.0552621993464132E-3</v>
      </c>
      <c r="J53" s="11">
        <f t="shared" si="2"/>
        <v>1.0553573931288832E-3</v>
      </c>
    </row>
    <row r="54" spans="1:10" x14ac:dyDescent="0.4">
      <c r="A54" s="9">
        <v>10</v>
      </c>
      <c r="B54" s="11">
        <f t="shared" ref="B54:J54" si="3">B26/B40</f>
        <v>1.7546869507746185E-7</v>
      </c>
      <c r="C54" s="11">
        <f t="shared" si="3"/>
        <v>4.376326430487173E-6</v>
      </c>
      <c r="D54" s="11">
        <f t="shared" si="3"/>
        <v>1.73766786913054E-5</v>
      </c>
      <c r="E54" s="11">
        <f t="shared" si="3"/>
        <v>3.5171691599520527E-4</v>
      </c>
      <c r="F54" s="11">
        <f t="shared" si="3"/>
        <v>8.8210016884860234E-4</v>
      </c>
      <c r="G54" s="11">
        <f t="shared" si="3"/>
        <v>1.7047214855867943E-3</v>
      </c>
      <c r="H54" s="11">
        <f t="shared" si="3"/>
        <v>1.7558932249105211E-3</v>
      </c>
      <c r="I54" s="11">
        <f t="shared" si="3"/>
        <v>1.7729233042392653E-3</v>
      </c>
      <c r="J54" s="11">
        <f t="shared" si="3"/>
        <v>1.7734608187432999E-3</v>
      </c>
    </row>
    <row r="55" spans="1:10" x14ac:dyDescent="0.4">
      <c r="A55" s="9">
        <v>20</v>
      </c>
      <c r="B55" s="11">
        <f t="shared" ref="B55:J55" si="4">B27/B41</f>
        <v>8.7740646172738358E-8</v>
      </c>
      <c r="C55" s="11">
        <f t="shared" si="4"/>
        <v>2.1920879796118791E-6</v>
      </c>
      <c r="D55" s="11">
        <f t="shared" si="4"/>
        <v>8.7505475836369025E-6</v>
      </c>
      <c r="E55" s="11">
        <f t="shared" si="4"/>
        <v>2.0541640607538823E-4</v>
      </c>
      <c r="F55" s="11">
        <f t="shared" si="4"/>
        <v>6.9009051839570459E-4</v>
      </c>
      <c r="G55" s="11">
        <f t="shared" si="4"/>
        <v>2.8170502785474106E-3</v>
      </c>
      <c r="H55" s="11">
        <f t="shared" si="4"/>
        <v>3.1172994042228406E-3</v>
      </c>
      <c r="I55" s="11">
        <f t="shared" si="4"/>
        <v>3.227373823687102E-3</v>
      </c>
      <c r="J55" s="11">
        <f t="shared" si="4"/>
        <v>3.2309390464744059E-3</v>
      </c>
    </row>
    <row r="56" spans="1:10" x14ac:dyDescent="0.4">
      <c r="A56" s="9">
        <v>50</v>
      </c>
      <c r="B56" s="11">
        <f t="shared" ref="B56:J56" si="5">B28/B42</f>
        <v>3.5097049687032856E-8</v>
      </c>
      <c r="C56" s="11">
        <f t="shared" si="5"/>
        <v>8.7732932649935104E-7</v>
      </c>
      <c r="D56" s="11">
        <f t="shared" si="5"/>
        <v>3.5081064118159074E-6</v>
      </c>
      <c r="E56" s="11">
        <f t="shared" si="5"/>
        <v>8.6744854947209838E-5</v>
      </c>
      <c r="F56" s="11">
        <f t="shared" si="5"/>
        <v>3.355284093566744E-4</v>
      </c>
      <c r="G56" s="11">
        <f t="shared" si="5"/>
        <v>4.0797425964322811E-3</v>
      </c>
      <c r="H56" s="11">
        <f t="shared" si="5"/>
        <v>6.2642265901821474E-3</v>
      </c>
      <c r="I56" s="11">
        <f t="shared" si="5"/>
        <v>7.5594917343285379E-3</v>
      </c>
      <c r="J56" s="11">
        <f t="shared" si="5"/>
        <v>7.608655958329027E-3</v>
      </c>
    </row>
    <row r="57" spans="1:10" x14ac:dyDescent="0.4">
      <c r="A57" s="9">
        <v>100</v>
      </c>
      <c r="B57" s="11">
        <f t="shared" ref="B57:J57" si="6">B29/B43</f>
        <v>1.7548585020870975E-8</v>
      </c>
      <c r="C57" s="11">
        <f t="shared" si="6"/>
        <v>4.3870226888276884E-7</v>
      </c>
      <c r="D57" s="11">
        <f t="shared" si="6"/>
        <v>1.7546546354873035E-6</v>
      </c>
      <c r="E57" s="11">
        <f t="shared" si="6"/>
        <v>4.3743171678664385E-5</v>
      </c>
      <c r="F57" s="11">
        <f t="shared" si="6"/>
        <v>1.7345044341521371E-4</v>
      </c>
      <c r="G57" s="11">
        <f t="shared" si="6"/>
        <v>3.391953158904489E-3</v>
      </c>
      <c r="H57" s="11">
        <f t="shared" si="6"/>
        <v>8.0735247260137477E-3</v>
      </c>
      <c r="I57" s="11">
        <f t="shared" si="6"/>
        <v>1.4459969889628339E-2</v>
      </c>
      <c r="J57" s="11">
        <f t="shared" si="6"/>
        <v>1.4826478378592991E-2</v>
      </c>
    </row>
    <row r="58" spans="1:10" x14ac:dyDescent="0.4">
      <c r="A58" s="9">
        <v>200</v>
      </c>
      <c r="B58" s="11">
        <f t="shared" ref="B58:J58" si="7">B30/B44</f>
        <v>8.7743002078797782E-9</v>
      </c>
      <c r="C58" s="11">
        <f t="shared" si="7"/>
        <v>2.1935594517435189E-7</v>
      </c>
      <c r="D58" s="11">
        <f t="shared" si="7"/>
        <v>8.7740428098642495E-7</v>
      </c>
      <c r="E58" s="11">
        <f t="shared" si="7"/>
        <v>2.1919518688398857E-5</v>
      </c>
      <c r="F58" s="11">
        <f t="shared" si="7"/>
        <v>8.7483790491882471E-5</v>
      </c>
      <c r="G58" s="11">
        <f t="shared" si="7"/>
        <v>2.0422802978827311E-3</v>
      </c>
      <c r="H58" s="11">
        <f t="shared" si="7"/>
        <v>6.768590571820058E-3</v>
      </c>
      <c r="I58" s="11">
        <f t="shared" si="7"/>
        <v>2.6088651368121472E-2</v>
      </c>
      <c r="J58" s="11">
        <f t="shared" si="7"/>
        <v>2.8643636772789017E-2</v>
      </c>
    </row>
    <row r="59" spans="1:10" x14ac:dyDescent="0.4">
      <c r="A59" s="9">
        <v>500</v>
      </c>
      <c r="B59" s="11">
        <f t="shared" ref="B59:J59" si="8">B31/B45</f>
        <v>3.5097209557731008E-9</v>
      </c>
      <c r="C59" s="11">
        <f t="shared" si="8"/>
        <v>8.7742923453481143E-8</v>
      </c>
      <c r="D59" s="11">
        <f t="shared" si="8"/>
        <v>3.5097043830927314E-7</v>
      </c>
      <c r="E59" s="11">
        <f t="shared" si="8"/>
        <v>8.7732566725654333E-6</v>
      </c>
      <c r="F59" s="11">
        <f t="shared" si="8"/>
        <v>3.5080479050597872E-5</v>
      </c>
      <c r="G59" s="11">
        <f t="shared" si="8"/>
        <v>8.6709096707377527E-4</v>
      </c>
      <c r="H59" s="11">
        <f t="shared" si="8"/>
        <v>3.3499404911697555E-3</v>
      </c>
      <c r="I59" s="11">
        <f t="shared" si="8"/>
        <v>4.0021195705032334E-2</v>
      </c>
      <c r="J59" s="11">
        <f t="shared" si="8"/>
        <v>6.0830684279653803E-2</v>
      </c>
    </row>
    <row r="60" spans="1:10" x14ac:dyDescent="0.4">
      <c r="A60" s="9">
        <v>1000</v>
      </c>
      <c r="B60" s="11">
        <f t="shared" ref="B60:J60" si="9">B32/B46</f>
        <v>1.754860540620324E-9</v>
      </c>
      <c r="C60" s="11">
        <f t="shared" si="9"/>
        <v>4.387150093529295E-8</v>
      </c>
      <c r="D60" s="11">
        <f t="shared" si="9"/>
        <v>1.7548584648866846E-7</v>
      </c>
      <c r="E60" s="11">
        <f t="shared" si="9"/>
        <v>4.387020363934052E-6</v>
      </c>
      <c r="F60" s="11">
        <f t="shared" si="9"/>
        <v>1.7546509163181307E-5</v>
      </c>
      <c r="G60" s="11">
        <f t="shared" si="9"/>
        <v>4.3740860352965716E-4</v>
      </c>
      <c r="H60" s="11">
        <f t="shared" si="9"/>
        <v>1.7341410856284015E-3</v>
      </c>
      <c r="I60" s="11">
        <f t="shared" si="9"/>
        <v>3.3781115240826387E-2</v>
      </c>
      <c r="J60" s="11">
        <f t="shared" si="9"/>
        <v>7.9955462261566884E-2</v>
      </c>
    </row>
    <row r="63" spans="1:10" x14ac:dyDescent="0.4">
      <c r="A63" s="2" t="s">
        <v>62</v>
      </c>
    </row>
    <row r="64" spans="1:10" ht="42.9" x14ac:dyDescent="0.4">
      <c r="A64" s="9" t="s">
        <v>63</v>
      </c>
      <c r="B64" s="9" t="s">
        <v>64</v>
      </c>
      <c r="C64" s="9" t="s">
        <v>65</v>
      </c>
      <c r="D64" s="9" t="s">
        <v>66</v>
      </c>
      <c r="E64" s="9" t="s">
        <v>67</v>
      </c>
      <c r="F64" s="9" t="s">
        <v>68</v>
      </c>
      <c r="G64" s="9" t="s">
        <v>69</v>
      </c>
      <c r="H64" s="16" t="s">
        <v>23</v>
      </c>
      <c r="I64" s="16" t="s">
        <v>70</v>
      </c>
      <c r="J64" s="18" t="s">
        <v>26</v>
      </c>
    </row>
    <row r="65" spans="1:10" x14ac:dyDescent="0.4">
      <c r="A65" s="4">
        <v>0</v>
      </c>
      <c r="B65" s="12">
        <f t="shared" ref="B65:B75" si="10">SQRT($B$6*A65/(SQRT(3)*PI()*$B$5))</f>
        <v>0</v>
      </c>
      <c r="C65" s="13">
        <f t="shared" ref="C65:C75" si="11">MAX(1,ROUND(B65,0))</f>
        <v>1</v>
      </c>
      <c r="D65" s="14">
        <f t="shared" ref="D65:D75" si="12">A65/C65</f>
        <v>0</v>
      </c>
      <c r="E65" s="5" t="e">
        <f t="shared" ref="E65:E75" si="13">D65*$B$10/(($B$6/(C65+1))^2+(PI()*$B$5/D65)^2)*1000</f>
        <v>#DIV/0!</v>
      </c>
      <c r="F65" s="11" t="e">
        <f t="shared" ref="F65:F75" si="14">E65/A65</f>
        <v>#DIV/0!</v>
      </c>
      <c r="G65" s="15">
        <f t="shared" ref="G65:G75" si="15">(3^(3/4)*$B$10/(4*$B$6^(3/2)*(PI()*$B$5)^(1/2)))*A65^(3/2)*1000</f>
        <v>0</v>
      </c>
      <c r="H65" s="17">
        <f>$B$6/(C65+1)</f>
        <v>39178806.25</v>
      </c>
      <c r="I65" s="17">
        <f t="shared" ref="I65:I75" si="16">gbps_baseline*1000*km_baseline^2/H65^2</f>
        <v>5.8632729344800037E-4</v>
      </c>
      <c r="J65" s="17">
        <f>I65*D65</f>
        <v>0</v>
      </c>
    </row>
    <row r="66" spans="1:10" x14ac:dyDescent="0.4">
      <c r="A66" s="4">
        <f>A65+100000000</f>
        <v>100000000</v>
      </c>
      <c r="B66" s="12">
        <f t="shared" si="10"/>
        <v>2513.392471374365</v>
      </c>
      <c r="C66" s="13">
        <f t="shared" si="11"/>
        <v>2513</v>
      </c>
      <c r="D66" s="14">
        <f t="shared" si="12"/>
        <v>39793.076004775168</v>
      </c>
      <c r="E66" s="5">
        <f t="shared" si="13"/>
        <v>27647818.441253912</v>
      </c>
      <c r="F66" s="11">
        <f t="shared" si="14"/>
        <v>0.27647818441253913</v>
      </c>
      <c r="G66" s="15">
        <f t="shared" si="15"/>
        <v>27631323.845878411</v>
      </c>
      <c r="H66" s="17">
        <f t="shared" ref="H66:H75" si="17">$B$6/(C66+1)</f>
        <v>31168.50139220366</v>
      </c>
      <c r="I66" s="17">
        <f t="shared" si="16"/>
        <v>926.42585368521964</v>
      </c>
      <c r="J66" s="17">
        <f t="shared" ref="J66:J75" si="18">I66*D66</f>
        <v>36865334.408484668</v>
      </c>
    </row>
    <row r="67" spans="1:10" x14ac:dyDescent="0.4">
      <c r="A67" s="4">
        <f t="shared" ref="A67:A75" si="19">A66+100000000</f>
        <v>200000000</v>
      </c>
      <c r="B67" s="12">
        <f t="shared" si="10"/>
        <v>3554.4737205840579</v>
      </c>
      <c r="C67" s="13">
        <f t="shared" si="11"/>
        <v>3554</v>
      </c>
      <c r="D67" s="14">
        <f t="shared" si="12"/>
        <v>56274.62014631401</v>
      </c>
      <c r="E67" s="5">
        <f t="shared" si="13"/>
        <v>78186173.478476256</v>
      </c>
      <c r="F67" s="11">
        <f t="shared" si="14"/>
        <v>0.39093086739238125</v>
      </c>
      <c r="G67" s="15">
        <f t="shared" si="15"/>
        <v>78153185.858328655</v>
      </c>
      <c r="H67" s="17">
        <f t="shared" si="17"/>
        <v>22041.522503516175</v>
      </c>
      <c r="I67" s="17">
        <f t="shared" si="16"/>
        <v>1852.5047481945412</v>
      </c>
      <c r="J67" s="17">
        <f t="shared" si="18"/>
        <v>104249001.02389088</v>
      </c>
    </row>
    <row r="68" spans="1:10" x14ac:dyDescent="0.4">
      <c r="A68" s="4">
        <f t="shared" si="19"/>
        <v>300000000</v>
      </c>
      <c r="B68" s="12">
        <f t="shared" si="10"/>
        <v>4353.3234597815044</v>
      </c>
      <c r="C68" s="13">
        <f t="shared" si="11"/>
        <v>4353</v>
      </c>
      <c r="D68" s="14">
        <f t="shared" si="12"/>
        <v>68917.987594762235</v>
      </c>
      <c r="E68" s="5">
        <f t="shared" si="13"/>
        <v>143626047.8729676</v>
      </c>
      <c r="F68" s="11">
        <f t="shared" si="14"/>
        <v>0.478753492909892</v>
      </c>
      <c r="G68" s="15">
        <f t="shared" si="15"/>
        <v>143576570.34435213</v>
      </c>
      <c r="H68" s="17">
        <f t="shared" si="17"/>
        <v>17996.695567294442</v>
      </c>
      <c r="I68" s="17">
        <f t="shared" si="16"/>
        <v>2778.797945329618</v>
      </c>
      <c r="J68" s="17">
        <f t="shared" si="18"/>
        <v>191509162.32457739</v>
      </c>
    </row>
    <row r="69" spans="1:10" x14ac:dyDescent="0.4">
      <c r="A69" s="4">
        <f t="shared" si="19"/>
        <v>400000000</v>
      </c>
      <c r="B69" s="12">
        <f t="shared" si="10"/>
        <v>5026.7849427487299</v>
      </c>
      <c r="C69" s="13">
        <f t="shared" si="11"/>
        <v>5027</v>
      </c>
      <c r="D69" s="14">
        <f t="shared" si="12"/>
        <v>79570.320270539087</v>
      </c>
      <c r="E69" s="5">
        <f t="shared" si="13"/>
        <v>221116546.33517087</v>
      </c>
      <c r="F69" s="11">
        <f t="shared" si="14"/>
        <v>0.55279136583792721</v>
      </c>
      <c r="G69" s="15">
        <f t="shared" si="15"/>
        <v>221050590.76702619</v>
      </c>
      <c r="H69" s="17">
        <f t="shared" si="17"/>
        <v>15584.25069610183</v>
      </c>
      <c r="I69" s="17">
        <f t="shared" si="16"/>
        <v>3705.7034147408785</v>
      </c>
      <c r="J69" s="17">
        <f t="shared" si="18"/>
        <v>294864007.53856206</v>
      </c>
    </row>
    <row r="70" spans="1:10" x14ac:dyDescent="0.4">
      <c r="A70" s="4">
        <f t="shared" si="19"/>
        <v>500000000</v>
      </c>
      <c r="B70" s="12">
        <f t="shared" si="10"/>
        <v>5620.116420129274</v>
      </c>
      <c r="C70" s="13">
        <f t="shared" si="11"/>
        <v>5620</v>
      </c>
      <c r="D70" s="14">
        <f t="shared" si="12"/>
        <v>88967.971530249109</v>
      </c>
      <c r="E70" s="5">
        <f t="shared" si="13"/>
        <v>309010047.63105386</v>
      </c>
      <c r="F70" s="11">
        <f t="shared" si="14"/>
        <v>0.61802009526210777</v>
      </c>
      <c r="G70" s="15">
        <f t="shared" si="15"/>
        <v>308927592.13847542</v>
      </c>
      <c r="H70" s="17">
        <f t="shared" si="17"/>
        <v>13940.155221490839</v>
      </c>
      <c r="I70" s="17">
        <f t="shared" si="16"/>
        <v>4631.3466680711672</v>
      </c>
      <c r="J70" s="17">
        <f t="shared" si="18"/>
        <v>412041518.5116697</v>
      </c>
    </row>
    <row r="71" spans="1:10" x14ac:dyDescent="0.4">
      <c r="A71" s="4">
        <f t="shared" si="19"/>
        <v>600000000</v>
      </c>
      <c r="B71" s="12">
        <f t="shared" si="10"/>
        <v>6156.5290782199691</v>
      </c>
      <c r="C71" s="13">
        <f t="shared" si="11"/>
        <v>6157</v>
      </c>
      <c r="D71" s="14">
        <f t="shared" si="12"/>
        <v>97450.056845866493</v>
      </c>
      <c r="E71" s="5">
        <f t="shared" si="13"/>
        <v>406194790.06775165</v>
      </c>
      <c r="F71" s="11">
        <f t="shared" si="14"/>
        <v>0.67699131677958613</v>
      </c>
      <c r="G71" s="15">
        <f t="shared" si="15"/>
        <v>406095866.03999615</v>
      </c>
      <c r="H71" s="17">
        <f t="shared" si="17"/>
        <v>12724.522978239689</v>
      </c>
      <c r="I71" s="17">
        <f t="shared" si="16"/>
        <v>5558.5240467647636</v>
      </c>
      <c r="J71" s="17">
        <f t="shared" si="18"/>
        <v>541678484.3363421</v>
      </c>
    </row>
    <row r="72" spans="1:10" x14ac:dyDescent="0.4">
      <c r="A72" s="4">
        <f t="shared" si="19"/>
        <v>700000000</v>
      </c>
      <c r="B72" s="12">
        <f t="shared" si="10"/>
        <v>6649.8114263585976</v>
      </c>
      <c r="C72" s="13">
        <f t="shared" si="11"/>
        <v>6650</v>
      </c>
      <c r="D72" s="14">
        <f t="shared" si="12"/>
        <v>105263.15789473684</v>
      </c>
      <c r="E72" s="5">
        <f t="shared" si="13"/>
        <v>511854705.06216234</v>
      </c>
      <c r="F72" s="11">
        <f t="shared" si="14"/>
        <v>0.7312210072316605</v>
      </c>
      <c r="G72" s="15">
        <f t="shared" si="15"/>
        <v>511739279.04177952</v>
      </c>
      <c r="H72" s="17">
        <f t="shared" si="17"/>
        <v>11781.327995790107</v>
      </c>
      <c r="I72" s="17">
        <f t="shared" si="16"/>
        <v>6484.164368458587</v>
      </c>
      <c r="J72" s="17">
        <f t="shared" si="18"/>
        <v>682543617.73248279</v>
      </c>
    </row>
    <row r="73" spans="1:10" x14ac:dyDescent="0.4">
      <c r="A73" s="4">
        <f t="shared" si="19"/>
        <v>800000000</v>
      </c>
      <c r="B73" s="12">
        <f t="shared" si="10"/>
        <v>7108.9474411681158</v>
      </c>
      <c r="C73" s="13">
        <f t="shared" si="11"/>
        <v>7109</v>
      </c>
      <c r="D73" s="14">
        <f t="shared" si="12"/>
        <v>112533.40835560557</v>
      </c>
      <c r="E73" s="5">
        <f t="shared" si="13"/>
        <v>625357408.50482106</v>
      </c>
      <c r="F73" s="11">
        <f t="shared" si="14"/>
        <v>0.78169676063102633</v>
      </c>
      <c r="G73" s="15">
        <f t="shared" si="15"/>
        <v>625225486.86662829</v>
      </c>
      <c r="H73" s="17">
        <f t="shared" si="17"/>
        <v>11020.761251758087</v>
      </c>
      <c r="I73" s="17">
        <f t="shared" si="16"/>
        <v>7410.0189927781648</v>
      </c>
      <c r="J73" s="17">
        <f t="shared" si="18"/>
        <v>833874693.23709834</v>
      </c>
    </row>
    <row r="74" spans="1:10" x14ac:dyDescent="0.4">
      <c r="A74" s="4">
        <f t="shared" si="19"/>
        <v>900000000</v>
      </c>
      <c r="B74" s="12">
        <f t="shared" si="10"/>
        <v>7540.1774141230944</v>
      </c>
      <c r="C74" s="13">
        <f t="shared" si="11"/>
        <v>7540</v>
      </c>
      <c r="D74" s="14">
        <f t="shared" si="12"/>
        <v>119363.39522546419</v>
      </c>
      <c r="E74" s="5">
        <f t="shared" si="13"/>
        <v>746194164.29948699</v>
      </c>
      <c r="F74" s="11">
        <f t="shared" si="14"/>
        <v>0.82910462699942999</v>
      </c>
      <c r="G74" s="15">
        <f t="shared" si="15"/>
        <v>746045743.8387146</v>
      </c>
      <c r="H74" s="17">
        <f t="shared" si="17"/>
        <v>10390.878199177829</v>
      </c>
      <c r="I74" s="17">
        <f t="shared" si="16"/>
        <v>8335.6217895252066</v>
      </c>
      <c r="J74" s="17">
        <f t="shared" si="18"/>
        <v>994968118.11308837</v>
      </c>
    </row>
    <row r="75" spans="1:10" x14ac:dyDescent="0.4">
      <c r="A75" s="4">
        <f t="shared" si="19"/>
        <v>1000000000</v>
      </c>
      <c r="B75" s="12">
        <f t="shared" si="10"/>
        <v>7948.0448634625473</v>
      </c>
      <c r="C75" s="13">
        <f t="shared" si="11"/>
        <v>7948</v>
      </c>
      <c r="D75" s="14">
        <f t="shared" si="12"/>
        <v>125817.81580271767</v>
      </c>
      <c r="E75" s="5">
        <f t="shared" si="13"/>
        <v>873944087.55767238</v>
      </c>
      <c r="F75" s="11">
        <f t="shared" si="14"/>
        <v>0.87394408755767239</v>
      </c>
      <c r="G75" s="15">
        <f t="shared" si="15"/>
        <v>873779181.186988</v>
      </c>
      <c r="H75" s="17">
        <f t="shared" si="17"/>
        <v>9857.5434016857471</v>
      </c>
      <c r="I75" s="17">
        <f t="shared" si="16"/>
        <v>9262.0071866271792</v>
      </c>
      <c r="J75" s="17">
        <f t="shared" si="18"/>
        <v>1165325514.1705058</v>
      </c>
    </row>
  </sheetData>
  <conditionalFormatting sqref="B51:J60 F65:F7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AI</vt:lpstr>
      <vt:lpstr>Marslink</vt:lpstr>
      <vt:lpstr>Relay Tradeoff</vt:lpstr>
      <vt:lpstr>gbps_baseline</vt:lpstr>
      <vt:lpstr>km_baseline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Julien Villa-Massone</cp:lastModifiedBy>
  <cp:revision>0</cp:revision>
  <dcterms:created xsi:type="dcterms:W3CDTF">2026-04-06T03:25:23Z</dcterms:created>
  <dcterms:modified xsi:type="dcterms:W3CDTF">2026-04-21T12:47:23Z</dcterms:modified>
  <dc:language>en-US</dc:language>
</cp:coreProperties>
</file>