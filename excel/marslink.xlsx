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en\Documents\git\marslink\excel\"/>
    </mc:Choice>
  </mc:AlternateContent>
  <xr:revisionPtr revIDLastSave="0" documentId="13_ncr:1_{C36E074E-D6AC-4479-802E-0EA1096865DD}" xr6:coauthVersionLast="47" xr6:coauthVersionMax="47" xr10:uidLastSave="{00000000-0000-0000-0000-000000000000}"/>
  <bookViews>
    <workbookView xWindow="-98" yWindow="-98" windowWidth="28996" windowHeight="17475" xr2:uid="{9A5CB930-BBE5-432A-9FE8-5E7087FDEBF4}"/>
  </bookViews>
  <sheets>
    <sheet name="Sheet1" sheetId="1" r:id="rId1"/>
  </sheets>
  <definedNames>
    <definedName name="km_per_AU">Sheet1!$B$1</definedName>
    <definedName name="ring_count">Sheet1!$B$19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S17" i="1"/>
  <c r="S16" i="1"/>
  <c r="R24" i="1"/>
  <c r="S24" i="1" s="1"/>
  <c r="R23" i="1"/>
  <c r="S23" i="1" s="1"/>
  <c r="R22" i="1"/>
  <c r="S22" i="1" s="1"/>
  <c r="R21" i="1"/>
  <c r="S21" i="1" s="1"/>
  <c r="R20" i="1"/>
  <c r="S20" i="1" s="1"/>
  <c r="R19" i="1"/>
  <c r="S19" i="1" s="1"/>
  <c r="R18" i="1"/>
  <c r="S18" i="1" s="1"/>
  <c r="R17" i="1"/>
  <c r="R16" i="1"/>
  <c r="L22" i="1"/>
  <c r="L23" i="1" s="1"/>
  <c r="N21" i="1"/>
  <c r="L21" i="1"/>
  <c r="L19" i="1"/>
  <c r="L20" i="1" s="1"/>
  <c r="N20" i="1" s="1"/>
  <c r="L18" i="1"/>
  <c r="L17" i="1"/>
  <c r="N19" i="1"/>
  <c r="N18" i="1"/>
  <c r="Q18" i="1" s="1"/>
  <c r="N17" i="1"/>
  <c r="Q17" i="1" s="1"/>
  <c r="N16" i="1"/>
  <c r="Q16" i="1" s="1"/>
  <c r="I20" i="1"/>
  <c r="I16" i="1"/>
  <c r="D1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A26" i="1"/>
  <c r="B31" i="1"/>
  <c r="B32" i="1" s="1"/>
  <c r="B26" i="1"/>
  <c r="C32" i="1"/>
  <c r="A40" i="1" a="1"/>
  <c r="A40" i="1" s="1"/>
  <c r="C20" i="1"/>
  <c r="C18" i="1"/>
  <c r="C21" i="1"/>
  <c r="C17" i="1"/>
  <c r="C16" i="1"/>
  <c r="B7" i="1"/>
  <c r="B6" i="1"/>
  <c r="C7" i="1"/>
  <c r="C6" i="1"/>
  <c r="D7" i="1"/>
  <c r="D6" i="1"/>
  <c r="C13" i="1"/>
  <c r="C12" i="1"/>
  <c r="O21" i="1" l="1"/>
  <c r="P21" i="1" s="1"/>
  <c r="O20" i="1"/>
  <c r="P20" i="1" s="1"/>
  <c r="O19" i="1"/>
  <c r="P19" i="1" s="1"/>
  <c r="Q19" i="1"/>
  <c r="Q21" i="1"/>
  <c r="Q20" i="1"/>
  <c r="O17" i="1"/>
  <c r="P17" i="1" s="1"/>
  <c r="O16" i="1"/>
  <c r="O18" i="1"/>
  <c r="P18" i="1" s="1"/>
  <c r="L24" i="1"/>
  <c r="N23" i="1"/>
  <c r="N22" i="1"/>
  <c r="P16" i="1"/>
  <c r="I18" i="1"/>
  <c r="B17" i="1"/>
  <c r="B16" i="1"/>
  <c r="O22" i="1" l="1"/>
  <c r="P22" i="1" s="1"/>
  <c r="Q22" i="1"/>
  <c r="O23" i="1"/>
  <c r="P23" i="1" s="1"/>
  <c r="Q23" i="1"/>
  <c r="N24" i="1"/>
  <c r="I22" i="1"/>
  <c r="I19" i="1"/>
  <c r="B18" i="1"/>
  <c r="B20" i="1" s="1"/>
  <c r="O24" i="1" l="1"/>
  <c r="P24" i="1" s="1"/>
  <c r="Q24" i="1"/>
  <c r="B21" i="1"/>
  <c r="B22" i="1"/>
  <c r="B40" i="1" s="1" a="1"/>
  <c r="B40" i="1" s="1"/>
  <c r="B35" i="1"/>
  <c r="B36" i="1" s="1"/>
  <c r="C40" i="1" l="1" a="1"/>
  <c r="B10" i="1"/>
  <c r="C40" i="1" l="1"/>
  <c r="B11" i="1"/>
  <c r="B12" i="1" s="1"/>
  <c r="C38" i="1"/>
  <c r="B13" i="1"/>
  <c r="D40" i="1" l="1" a="1"/>
  <c r="D40" i="1" l="1"/>
  <c r="E40" i="1" s="1"/>
  <c r="E44" i="1"/>
  <c r="E43" i="1"/>
  <c r="E42" i="1"/>
  <c r="E41" i="1"/>
  <c r="E38" i="1"/>
  <c r="H41" i="1"/>
  <c r="H42" i="1"/>
  <c r="H43" i="1"/>
  <c r="F40" i="1" a="1"/>
  <c r="F40" i="1" s="1"/>
  <c r="G40" i="1" s="1" a="1"/>
  <c r="G40" i="1" s="1"/>
  <c r="H40" i="1" l="1"/>
  <c r="I21" i="1"/>
  <c r="I24" i="1" l="1"/>
  <c r="I27" i="1" s="1"/>
  <c r="I28" i="1" l="1"/>
  <c r="I29" i="1" s="1"/>
  <c r="I3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<sst xmlns="http://schemas.openxmlformats.org/spreadsheetml/2006/main" count="105" uniqueCount="81">
  <si>
    <t>radius</t>
  </si>
  <si>
    <t>AU</t>
  </si>
  <si>
    <t>        name: "Earth",</t>
  </si>
  <si>
    <t>        i: 0.00041,</t>
  </si>
  <si>
    <t>        o: 349.2,</t>
  </si>
  <si>
    <t>        p: 102.8517,</t>
  </si>
  <si>
    <t>        a: 1.00002,</t>
  </si>
  <si>
    <t>        n: 0.9855796,</t>
  </si>
  <si>
    <t>        e: 0.0166967,</t>
  </si>
  <si>
    <t>        l: 328.40353,</t>
  </si>
  <si>
    <t>name: "Mars",</t>
  </si>
  <si>
    <t>        i: 1.84992,</t>
  </si>
  <si>
    <t>        o: 49.5664,</t>
  </si>
  <si>
    <t>        p: 336.0882,</t>
  </si>
  <si>
    <t>        a: 1.5236365,</t>
  </si>
  <si>
    <t>        n: 0.5240613,</t>
  </si>
  <si>
    <t>        e: 0.0934231,</t>
  </si>
  <si>
    <t>        l: 262.42784,</t>
  </si>
  <si>
    <t>distance</t>
  </si>
  <si>
    <t>chord distance</t>
  </si>
  <si>
    <t>circular distance</t>
  </si>
  <si>
    <t>km</t>
  </si>
  <si>
    <t>min r</t>
  </si>
  <si>
    <t>max r</t>
  </si>
  <si>
    <t>e</t>
  </si>
  <si>
    <t>a</t>
  </si>
  <si>
    <t>Earth</t>
  </si>
  <si>
    <t>Mars</t>
  </si>
  <si>
    <t>Rings</t>
  </si>
  <si>
    <t>Ring N</t>
  </si>
  <si>
    <t>total distance</t>
  </si>
  <si>
    <t>spacing each side</t>
  </si>
  <si>
    <t>spacing both sides</t>
  </si>
  <si>
    <t>Earth min radius</t>
  </si>
  <si>
    <t>Mars max radius</t>
  </si>
  <si>
    <t>required chord distance</t>
  </si>
  <si>
    <t>Ring AU</t>
  </si>
  <si>
    <t>chord distance km</t>
  </si>
  <si>
    <t>distance km</t>
  </si>
  <si>
    <t>gbps</t>
  </si>
  <si>
    <t>Inter-ring</t>
  </si>
  <si>
    <t>inter-ring gbps</t>
  </si>
  <si>
    <t>In-ring Mbps</t>
  </si>
  <si>
    <t>Inter-ring Mbps</t>
  </si>
  <si>
    <t>required in-ring Mbps</t>
  </si>
  <si>
    <t>In-ring</t>
  </si>
  <si>
    <t>Mbps</t>
  </si>
  <si>
    <t>first ring</t>
  </si>
  <si>
    <t>improvement</t>
  </si>
  <si>
    <t>x</t>
  </si>
  <si>
    <t>ring count</t>
  </si>
  <si>
    <t>sat count</t>
  </si>
  <si>
    <t>sats</t>
  </si>
  <si>
    <t>satcount iso inring mbps</t>
  </si>
  <si>
    <t>satcount iso inter-ring mbps</t>
  </si>
  <si>
    <t>satcount chosen</t>
  </si>
  <si>
    <t>Case 1: aligned</t>
  </si>
  <si>
    <t>Case 2: opposed</t>
  </si>
  <si>
    <t>all interring</t>
  </si>
  <si>
    <t>all inring</t>
  </si>
  <si>
    <t>In-ring mbps</t>
  </si>
  <si>
    <t>sats per ring</t>
  </si>
  <si>
    <t>satisfies A</t>
  </si>
  <si>
    <t>in-ring mbps</t>
  </si>
  <si>
    <t>A (in-ring)</t>
  </si>
  <si>
    <t>total inter-ring mbps</t>
  </si>
  <si>
    <t>unit inter-ring mbps</t>
  </si>
  <si>
    <t>inter-ring distance</t>
  </si>
  <si>
    <t>mbps</t>
  </si>
  <si>
    <t>System / B (inter-ring)</t>
  </si>
  <si>
    <t>sats per ring to satisfy A</t>
  </si>
  <si>
    <t>system mbps</t>
  </si>
  <si>
    <t>input system mbps</t>
  </si>
  <si>
    <t>total sats</t>
  </si>
  <si>
    <t>setup cost k$</t>
  </si>
  <si>
    <t>variable cost (wright's law) k$</t>
  </si>
  <si>
    <t>total cost m$</t>
  </si>
  <si>
    <t>improvement 100x</t>
  </si>
  <si>
    <t>Earth ring full</t>
  </si>
  <si>
    <t>Mars ring?</t>
  </si>
  <si>
    <t>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</si>
</sst>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"/>
    <numFmt numFmtId="166" formatCode="0.00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2" borderId="0" xfId="0" applyFill="1"/>
    <xf numFmtId="0" fontId="1" fillId="2" borderId="0" xfId="0" applyFont="1" applyFill="1" applyAlignment="1">
      <alignment horizontal="right"/>
    </xf>
    <xf numFmtId="0" fontId="1" fillId="0" borderId="0" xfId="0" applyFont="1"/>
    <xf numFmtId="1" fontId="0" fillId="0" borderId="0" xfId="0" applyNumberFormat="1"/>
    <xf numFmtId="3" fontId="0" fillId="0" borderId="0" xfId="0" applyNumberFormat="1"/>
    <xf numFmtId="0" fontId="0" fillId="3" borderId="0" xfId="0" applyFill="1"/>
    <xf numFmtId="1" fontId="0" fillId="3" borderId="0" xfId="0" applyNumberFormat="1" applyFill="1"/>
    <xf numFmtId="166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Marslink performance vs.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Sheet1!$P$15</c:f>
              <c:strCache>
                <c:ptCount val="1"/>
                <c:pt idx="0">
                  <c:v>system mbps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Sheet1!$L$16:$L$24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Sheet1!$P$16:$P$24</c:f>
              <c:numCache>
                <c:formatCode>#,##0</c:formatCode>
                <c:ptCount val="9"/>
                <c:pt idx="0">
                  <c:v>34.127824278652923</c:v>
                </c:pt>
                <c:pt idx="1">
                  <c:v>131.15735152727268</c:v>
                </c:pt>
                <c:pt idx="2">
                  <c:v>373.34465486043132</c:v>
                </c:pt>
                <c:pt idx="3">
                  <c:v>865.36366511936649</c:v>
                </c:pt>
                <c:pt idx="4">
                  <c:v>1737.7704886049646</c:v>
                </c:pt>
                <c:pt idx="5">
                  <c:v>3149.5229108835697</c:v>
                </c:pt>
                <c:pt idx="6">
                  <c:v>5291.8741753959539</c:v>
                </c:pt>
                <c:pt idx="7">
                  <c:v>8376.5484940050701</c:v>
                </c:pt>
                <c:pt idx="8">
                  <c:v>12649.054334151733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482-49B3-9CFB-8F0862CD2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215871"/>
        <c:axId val="541547231"/>
      </c:scatterChart>
      <c:scatterChart>
        <c:scatterStyle val="lineMarker"/>
        <c:varyColors val="0"/>
        <c:ser>
          <c:idx val="2"/>
          <c:order val="1"/>
          <c:tx>
            <c:strRef>
              <c:f>Sheet1!$Q$15</c:f>
              <c:strCache>
                <c:ptCount val="1"/>
                <c:pt idx="0">
                  <c:v>total sats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Sheet1!$L$16:$L$24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Sheet1!$Q$16:$Q$24</c:f>
              <c:numCache>
                <c:formatCode>#,##0</c:formatCode>
                <c:ptCount val="9"/>
                <c:pt idx="0">
                  <c:v>298</c:v>
                </c:pt>
                <c:pt idx="1">
                  <c:v>1018</c:v>
                </c:pt>
                <c:pt idx="2">
                  <c:v>2445</c:v>
                </c:pt>
                <c:pt idx="3">
                  <c:v>4836</c:v>
                </c:pt>
                <c:pt idx="4">
                  <c:v>8430</c:v>
                </c:pt>
                <c:pt idx="5">
                  <c:v>13470</c:v>
                </c:pt>
                <c:pt idx="6">
                  <c:v>20216</c:v>
                </c:pt>
                <c:pt idx="7">
                  <c:v>28896</c:v>
                </c:pt>
                <c:pt idx="8">
                  <c:v>39762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482-49B3-9CFB-8F0862CD2CB4}"/>
            </c:ext>
          </c:extLst>
        </c:ser>
        <c:ser>
          <c:idx val="1"/>
          <c:order val="2"/>
          <c:tx>
            <c:strRef>
              <c:f>Sheet1!$S$15</c:f>
              <c:strCache>
                <c:ptCount val="1"/>
                <c:pt idx="0">
                  <c:v>total cost m$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Sheet1!$L$16:$L$24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Sheet1!$S$16:$S$24</c:f>
              <c:numCache>
                <c:formatCode>#,##0</c:formatCode>
                <c:ptCount val="9"/>
                <c:pt idx="0">
                  <c:v>4809.0320220750054</c:v>
                </c:pt>
                <c:pt idx="1">
                  <c:v>10995.938242022641</c:v>
                </c:pt>
                <c:pt idx="2">
                  <c:v>19876.820256049508</c:v>
                </c:pt>
                <c:pt idx="3">
                  <c:v>31533.405722498992</c:v>
                </c:pt>
                <c:pt idx="4">
                  <c:v>45939.264351311256</c:v>
                </c:pt>
                <c:pt idx="5">
                  <c:v>63103.794920390901</c:v>
                </c:pt>
                <c:pt idx="6">
                  <c:v>83085.033497601355</c:v>
                </c:pt>
                <c:pt idx="7">
                  <c:v>105840.8191692273</c:v>
                </c:pt>
                <c:pt idx="8">
                  <c:v>131402.83596207801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482-49B3-9CFB-8F0862CD2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620543"/>
        <c:axId val="450614783"/>
      </c:scatterChart>
      <c:valAx>
        <c:axId val="53821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541547231"/>
        <c:crosses val="autoZero"/>
        <c:crossBetween val="midCat"/>
      </c:valAx>
      <c:valAx>
        <c:axId val="54154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538215871"/>
        <c:crosses val="autoZero"/>
        <c:crossBetween val="midCat"/>
      </c:valAx>
      <c:valAx>
        <c:axId val="450614783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450620543"/>
        <c:crosses val="max"/>
        <c:crossBetween val="midCat"/>
      </c:valAx>
      <c:valAx>
        <c:axId val="4506205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50614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588168</xdr:colOff>
      <xdr:row>11</xdr:row>
      <xdr:rowOff>90487</xdr:rowOff>
    </xdr:from>
    <xdr:to>
      <xdr:col>26</xdr:col>
      <xdr:colOff>626268</xdr:colOff>
      <xdr:row>26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5B040C-7051-F0BF-6CE6-AFEA665FC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E028-3455-4EC3-BC04-5235B4A58697}">
  <dimension ref="A1:S58"/>
  <sheetViews>
    <sheetView tabSelected="1" topLeftCell="C1" workbookViewId="0">
      <selection activeCell="I14" sqref="I14"/>
    </sheetView>
  </sheetViews>
  <sheetFormatPr defaultRowHeight="14.25" x14ac:dyDescent="0.45"/>
  <cols>
    <col min="1" max="1" width="19.33203125" customWidth="1"/>
    <col min="2" max="3" width="12.796875" customWidth="1"/>
    <col min="4" max="5" width="12.9296875" customWidth="1"/>
    <col min="6" max="7" width="9.06640625" style="8"/>
    <col min="8" max="8" width="11.73046875" style="8" bestFit="1" customWidth="1"/>
    <col min="9" max="9" width="11.73046875" bestFit="1" customWidth="1"/>
    <col min="19" max="19" width="10.73046875" bestFit="1" customWidth="1"/>
  </cols>
  <sheetData>
    <row r="1" spans="1:19" x14ac:dyDescent="0.45">
      <c r="A1" t="s">
        <v>1</v>
      </c>
      <c r="B1" s="8">
        <v>149597870.69999999</v>
      </c>
      <c r="C1" t="s">
        <v>21</v>
      </c>
    </row>
    <row r="3" spans="1:19" x14ac:dyDescent="0.45">
      <c r="B3" s="5" t="s">
        <v>26</v>
      </c>
      <c r="C3" s="5" t="s">
        <v>27</v>
      </c>
    </row>
    <row r="4" spans="1:19" x14ac:dyDescent="0.45">
      <c r="A4" t="s">
        <v>25</v>
      </c>
      <c r="B4" s="4">
        <v>1.0000199999999999</v>
      </c>
      <c r="C4" s="4">
        <v>1.5236365000000001</v>
      </c>
      <c r="D4" t="s">
        <v>1</v>
      </c>
    </row>
    <row r="5" spans="1:19" x14ac:dyDescent="0.45">
      <c r="A5" t="s">
        <v>24</v>
      </c>
      <c r="B5" s="4">
        <v>1.6696699999999998E-2</v>
      </c>
      <c r="C5" s="4">
        <v>9.3423099999999995E-2</v>
      </c>
      <c r="K5" t="s">
        <v>2</v>
      </c>
      <c r="M5" t="s">
        <v>10</v>
      </c>
    </row>
    <row r="6" spans="1:19" x14ac:dyDescent="0.45">
      <c r="A6" t="s">
        <v>22</v>
      </c>
      <c r="B6" s="1">
        <f>B4*(1-B5)</f>
        <v>0.98332296606599989</v>
      </c>
      <c r="C6" s="1">
        <f>C4*(1-C5)</f>
        <v>1.3812936548968502</v>
      </c>
      <c r="D6" t="str">
        <f>$D$4</f>
        <v>AU</v>
      </c>
      <c r="K6" t="s">
        <v>3</v>
      </c>
      <c r="M6" t="s">
        <v>11</v>
      </c>
    </row>
    <row r="7" spans="1:19" x14ac:dyDescent="0.45">
      <c r="A7" t="s">
        <v>23</v>
      </c>
      <c r="B7" s="1">
        <f>B4*(1+B5)</f>
        <v>1.0167170339339999</v>
      </c>
      <c r="C7" s="1">
        <f>C4*(1+C5)</f>
        <v>1.6659793451031502</v>
      </c>
      <c r="D7" t="str">
        <f>$D$4</f>
        <v>AU</v>
      </c>
      <c r="K7" t="s">
        <v>4</v>
      </c>
      <c r="M7" t="s">
        <v>12</v>
      </c>
    </row>
    <row r="8" spans="1:19" x14ac:dyDescent="0.45">
      <c r="K8" t="s">
        <v>5</v>
      </c>
      <c r="M8" t="s">
        <v>13</v>
      </c>
    </row>
    <row r="9" spans="1:19" x14ac:dyDescent="0.45">
      <c r="B9" s="6" t="s">
        <v>29</v>
      </c>
      <c r="K9" t="s">
        <v>6</v>
      </c>
      <c r="M9" t="s">
        <v>14</v>
      </c>
    </row>
    <row r="10" spans="1:19" x14ac:dyDescent="0.45">
      <c r="A10" t="s">
        <v>0</v>
      </c>
      <c r="B10" s="9">
        <f>B40</f>
        <v>1.0970990292388583</v>
      </c>
      <c r="C10" t="s">
        <v>1</v>
      </c>
      <c r="K10" t="s">
        <v>7</v>
      </c>
      <c r="M10" t="s">
        <v>15</v>
      </c>
    </row>
    <row r="11" spans="1:19" x14ac:dyDescent="0.45">
      <c r="A11" t="s">
        <v>51</v>
      </c>
      <c r="B11" s="10">
        <f>C40</f>
        <v>280</v>
      </c>
      <c r="K11" t="s">
        <v>8</v>
      </c>
      <c r="M11" t="s">
        <v>16</v>
      </c>
    </row>
    <row r="12" spans="1:19" x14ac:dyDescent="0.45">
      <c r="A12" t="s">
        <v>19</v>
      </c>
      <c r="B12" s="11">
        <f>2*B10*SIN(PI()/B11)</f>
        <v>2.4618328114392046E-2</v>
      </c>
      <c r="C12" t="str">
        <f>$C$10</f>
        <v>AU</v>
      </c>
      <c r="K12" t="s">
        <v>9</v>
      </c>
      <c r="M12" t="s">
        <v>17</v>
      </c>
    </row>
    <row r="13" spans="1:19" x14ac:dyDescent="0.45">
      <c r="A13" t="s">
        <v>20</v>
      </c>
      <c r="B13">
        <f>2*PI()*B10/B11</f>
        <v>2.4618844646552077E-2</v>
      </c>
      <c r="C13" t="str">
        <f>$C$10</f>
        <v>AU</v>
      </c>
      <c r="R13" t="s">
        <v>74</v>
      </c>
      <c r="S13">
        <v>50000</v>
      </c>
    </row>
    <row r="14" spans="1:19" x14ac:dyDescent="0.45">
      <c r="H14" s="8" t="s">
        <v>80</v>
      </c>
      <c r="I14" s="4">
        <v>3</v>
      </c>
      <c r="L14" s="6" t="s">
        <v>77</v>
      </c>
    </row>
    <row r="15" spans="1:19" x14ac:dyDescent="0.45">
      <c r="B15" s="6" t="s">
        <v>28</v>
      </c>
      <c r="H15" s="8" t="s">
        <v>69</v>
      </c>
      <c r="I15" s="4">
        <v>34</v>
      </c>
      <c r="J15" t="s">
        <v>46</v>
      </c>
      <c r="L15" t="s">
        <v>50</v>
      </c>
      <c r="M15" t="s">
        <v>72</v>
      </c>
      <c r="N15" t="s">
        <v>70</v>
      </c>
      <c r="O15" t="s">
        <v>63</v>
      </c>
      <c r="P15" t="s">
        <v>71</v>
      </c>
      <c r="Q15" t="s">
        <v>73</v>
      </c>
      <c r="R15" t="s">
        <v>75</v>
      </c>
      <c r="S15" t="s">
        <v>76</v>
      </c>
    </row>
    <row r="16" spans="1:19" x14ac:dyDescent="0.45">
      <c r="A16" t="s">
        <v>33</v>
      </c>
      <c r="B16" s="3">
        <f>MIN($B$6:$B$7)</f>
        <v>0.98332296606599989</v>
      </c>
      <c r="C16" t="str">
        <f>$D$4</f>
        <v>AU</v>
      </c>
      <c r="H16" s="8" t="s">
        <v>64</v>
      </c>
      <c r="I16">
        <f>I15/2</f>
        <v>17</v>
      </c>
      <c r="J16" t="s">
        <v>46</v>
      </c>
      <c r="L16">
        <v>1</v>
      </c>
      <c r="M16">
        <v>34</v>
      </c>
      <c r="N16">
        <f t="shared" ref="N16:N24" si="0">ROUNDUP(PI()/ASIN((($A$25*SQRT($B$25*$B$27/(M16/2/1024)))/km_per_AU)/2/($B$16+$B$18/L16/2)),0)</f>
        <v>298</v>
      </c>
      <c r="O16">
        <f>(($A$25*(L16+1)/$D$18)^2)*$B$25*$B$27*N16/2*1024</f>
        <v>17.063912139326462</v>
      </c>
      <c r="P16" s="8">
        <f>O16*2</f>
        <v>34.127824278652923</v>
      </c>
      <c r="Q16" s="8">
        <f>N16*L16</f>
        <v>298</v>
      </c>
      <c r="R16" s="8">
        <f>100000*Q16^-0.322</f>
        <v>15969.906114345658</v>
      </c>
      <c r="S16" s="8">
        <f>($S$13+R16*Q16)/1000</f>
        <v>4809.0320220750054</v>
      </c>
    </row>
    <row r="17" spans="1:19" x14ac:dyDescent="0.45">
      <c r="A17" t="s">
        <v>34</v>
      </c>
      <c r="B17" s="3">
        <f>MAX($C$6:$C$7)</f>
        <v>1.6659793451031502</v>
      </c>
      <c r="C17" t="str">
        <f>$D$4</f>
        <v>AU</v>
      </c>
      <c r="L17">
        <f>L16+1</f>
        <v>2</v>
      </c>
      <c r="M17">
        <v>131</v>
      </c>
      <c r="N17">
        <f t="shared" si="0"/>
        <v>509</v>
      </c>
      <c r="O17">
        <f t="shared" ref="O17:O18" si="1">(($A$25*(L17+1)/$D$18)^2)*$B$25*$B$27*N17/2*1024</f>
        <v>65.57867576363634</v>
      </c>
      <c r="P17" s="8">
        <f t="shared" ref="P17:P24" si="2">O17*2</f>
        <v>131.15735152727268</v>
      </c>
      <c r="Q17" s="8">
        <f t="shared" ref="Q17:Q24" si="3">N17*L17</f>
        <v>1018</v>
      </c>
      <c r="R17" s="8">
        <f t="shared" ref="R17:R24" si="4">100000*Q17^-0.322</f>
        <v>10752.395129688253</v>
      </c>
      <c r="S17" s="8">
        <f t="shared" ref="S17:S24" si="5">($S$13+R17*Q17)/1000</f>
        <v>10995.938242022641</v>
      </c>
    </row>
    <row r="18" spans="1:19" x14ac:dyDescent="0.45">
      <c r="A18" t="s">
        <v>30</v>
      </c>
      <c r="B18" s="3">
        <f>(B17-B16)</f>
        <v>0.68265637903715026</v>
      </c>
      <c r="C18" t="str">
        <f>$D$4</f>
        <v>AU</v>
      </c>
      <c r="D18" s="8">
        <f>B18*km_per_AU</f>
        <v>102123940.72372979</v>
      </c>
      <c r="E18" t="s">
        <v>21</v>
      </c>
      <c r="H18" s="8" t="s">
        <v>19</v>
      </c>
      <c r="I18" s="8">
        <f>A25*SQRT($B$25*$B$27/(I16/1024))</f>
        <v>4191015.600627834</v>
      </c>
      <c r="J18" t="s">
        <v>21</v>
      </c>
      <c r="L18">
        <f t="shared" ref="L18:L20" si="6">L17+1</f>
        <v>3</v>
      </c>
      <c r="M18">
        <v>373</v>
      </c>
      <c r="N18">
        <f t="shared" si="0"/>
        <v>815</v>
      </c>
      <c r="O18">
        <f t="shared" si="1"/>
        <v>186.67232743021566</v>
      </c>
      <c r="P18" s="8">
        <f t="shared" si="2"/>
        <v>373.34465486043132</v>
      </c>
      <c r="Q18" s="8">
        <f t="shared" si="3"/>
        <v>2445</v>
      </c>
      <c r="R18" s="8">
        <f t="shared" si="4"/>
        <v>8109.1289390795546</v>
      </c>
      <c r="S18" s="8">
        <f t="shared" si="5"/>
        <v>19876.820256049508</v>
      </c>
    </row>
    <row r="19" spans="1:19" x14ac:dyDescent="0.45">
      <c r="A19" t="s">
        <v>50</v>
      </c>
      <c r="B19" s="4">
        <v>3</v>
      </c>
      <c r="H19" s="8" t="s">
        <v>19</v>
      </c>
      <c r="I19">
        <f>I18/km_per_AU</f>
        <v>2.8015208913182977E-2</v>
      </c>
      <c r="J19" t="s">
        <v>1</v>
      </c>
      <c r="L19">
        <f t="shared" si="6"/>
        <v>4</v>
      </c>
      <c r="M19">
        <v>865</v>
      </c>
      <c r="N19">
        <f t="shared" si="0"/>
        <v>1209</v>
      </c>
      <c r="O19">
        <f t="shared" ref="O19:O20" si="7">(($A$25*(L19+1)/$D$18)^2)*$B$25*$B$27*N19/2*1024</f>
        <v>432.68183255968324</v>
      </c>
      <c r="P19" s="8">
        <f t="shared" si="2"/>
        <v>865.36366511936649</v>
      </c>
      <c r="Q19" s="8">
        <f t="shared" si="3"/>
        <v>4836</v>
      </c>
      <c r="R19" s="8">
        <f t="shared" si="4"/>
        <v>6510.216237075887</v>
      </c>
      <c r="S19" s="8">
        <f t="shared" si="5"/>
        <v>31533.405722498992</v>
      </c>
    </row>
    <row r="20" spans="1:19" x14ac:dyDescent="0.45">
      <c r="A20" t="s">
        <v>31</v>
      </c>
      <c r="B20" s="3">
        <f>B18/B19/2</f>
        <v>0.11377606317285838</v>
      </c>
      <c r="C20" t="str">
        <f>$D$4</f>
        <v>AU</v>
      </c>
      <c r="H20" s="8" t="s">
        <v>47</v>
      </c>
      <c r="I20" s="3">
        <f>B16+B18/L16/2</f>
        <v>1.324651155584575</v>
      </c>
      <c r="L20">
        <f t="shared" si="6"/>
        <v>5</v>
      </c>
      <c r="M20">
        <v>1737</v>
      </c>
      <c r="N20">
        <f t="shared" si="0"/>
        <v>1686</v>
      </c>
      <c r="O20">
        <f t="shared" si="7"/>
        <v>868.88524430248231</v>
      </c>
      <c r="P20" s="8">
        <f t="shared" si="2"/>
        <v>1737.7704886049646</v>
      </c>
      <c r="Q20" s="8">
        <f t="shared" si="3"/>
        <v>8430</v>
      </c>
      <c r="R20" s="8">
        <f t="shared" si="4"/>
        <v>5443.5663524687143</v>
      </c>
      <c r="S20" s="8">
        <f t="shared" si="5"/>
        <v>45939.264351311256</v>
      </c>
    </row>
    <row r="21" spans="1:19" x14ac:dyDescent="0.45">
      <c r="A21" t="s">
        <v>32</v>
      </c>
      <c r="B21" s="3">
        <f>B20*2</f>
        <v>0.22755212634571675</v>
      </c>
      <c r="C21" t="str">
        <f>$D$4</f>
        <v>AU</v>
      </c>
      <c r="H21" s="8" t="s">
        <v>61</v>
      </c>
      <c r="I21">
        <f>ROUNDUP(PI()/ASIN(I19/2/I20),0)</f>
        <v>298</v>
      </c>
      <c r="J21" t="s">
        <v>62</v>
      </c>
      <c r="L21">
        <f t="shared" ref="L21:L24" si="8">L20+1</f>
        <v>6</v>
      </c>
      <c r="M21">
        <v>3148</v>
      </c>
      <c r="N21">
        <f t="shared" si="0"/>
        <v>2245</v>
      </c>
      <c r="O21">
        <f t="shared" ref="O21:O24" si="9">(($A$25*(L21+1)/$D$18)^2)*$B$25*$B$27*N21/2*1024</f>
        <v>1574.7614554417848</v>
      </c>
      <c r="P21" s="8">
        <f t="shared" si="2"/>
        <v>3149.5229108835697</v>
      </c>
      <c r="Q21" s="8">
        <f t="shared" si="3"/>
        <v>13470</v>
      </c>
      <c r="R21" s="8">
        <f t="shared" si="4"/>
        <v>4681.053817400958</v>
      </c>
      <c r="S21" s="8">
        <f t="shared" si="5"/>
        <v>63103.794920390901</v>
      </c>
    </row>
    <row r="22" spans="1:19" x14ac:dyDescent="0.45">
      <c r="A22" t="s">
        <v>47</v>
      </c>
      <c r="B22" s="3">
        <f>B16+B20</f>
        <v>1.0970990292388583</v>
      </c>
      <c r="C22" t="s">
        <v>1</v>
      </c>
      <c r="H22" s="8" t="s">
        <v>63</v>
      </c>
      <c r="I22">
        <f>B25*B27/(I18/A25)^2*1024</f>
        <v>17</v>
      </c>
      <c r="L22">
        <f t="shared" si="8"/>
        <v>7</v>
      </c>
      <c r="M22">
        <v>5290</v>
      </c>
      <c r="N22">
        <f t="shared" si="0"/>
        <v>2888</v>
      </c>
      <c r="O22">
        <f t="shared" si="9"/>
        <v>2645.9370876979769</v>
      </c>
      <c r="P22" s="8">
        <f t="shared" si="2"/>
        <v>5291.8741753959539</v>
      </c>
      <c r="Q22" s="8">
        <f t="shared" si="3"/>
        <v>20216</v>
      </c>
      <c r="R22" s="8">
        <f t="shared" si="4"/>
        <v>4107.3918429759278</v>
      </c>
      <c r="S22" s="8">
        <f t="shared" si="5"/>
        <v>83085.033497601355</v>
      </c>
    </row>
    <row r="23" spans="1:19" x14ac:dyDescent="0.45">
      <c r="L23">
        <f t="shared" si="8"/>
        <v>8</v>
      </c>
      <c r="M23">
        <v>8376</v>
      </c>
      <c r="N23">
        <f t="shared" si="0"/>
        <v>3612</v>
      </c>
      <c r="O23">
        <f t="shared" si="9"/>
        <v>4188.274247002535</v>
      </c>
      <c r="P23" s="8">
        <f t="shared" si="2"/>
        <v>8376.5484940050701</v>
      </c>
      <c r="Q23" s="8">
        <f t="shared" si="3"/>
        <v>28896</v>
      </c>
      <c r="R23" s="8">
        <f t="shared" si="4"/>
        <v>3661.0887032539904</v>
      </c>
      <c r="S23" s="8">
        <f t="shared" si="5"/>
        <v>105840.8191692273</v>
      </c>
    </row>
    <row r="24" spans="1:19" x14ac:dyDescent="0.45">
      <c r="A24" s="6" t="s">
        <v>38</v>
      </c>
      <c r="B24" s="6" t="s">
        <v>39</v>
      </c>
      <c r="H24" s="8" t="s">
        <v>50</v>
      </c>
      <c r="I24">
        <f>SQRT(IF($I$14=3,2,1)*2*I16/1024/B25/B27/I21)*D18/A25-1</f>
        <v>1.8231252803612397</v>
      </c>
      <c r="L24">
        <f t="shared" si="8"/>
        <v>9</v>
      </c>
      <c r="M24">
        <v>12649</v>
      </c>
      <c r="N24">
        <f t="shared" si="0"/>
        <v>4418</v>
      </c>
      <c r="O24">
        <f t="shared" si="9"/>
        <v>6324.5271670758666</v>
      </c>
      <c r="P24" s="8">
        <f t="shared" si="2"/>
        <v>12649.054334151733</v>
      </c>
      <c r="Q24" s="8">
        <f t="shared" si="3"/>
        <v>39762</v>
      </c>
      <c r="R24" s="8">
        <f t="shared" si="4"/>
        <v>3303.4765847311005</v>
      </c>
      <c r="S24" s="8">
        <f t="shared" si="5"/>
        <v>131402.83596207801</v>
      </c>
    </row>
    <row r="25" spans="1:19" x14ac:dyDescent="0.45">
      <c r="A25">
        <v>5400</v>
      </c>
      <c r="B25">
        <v>100</v>
      </c>
      <c r="H25" s="8" t="s">
        <v>50</v>
      </c>
      <c r="I25">
        <f>ROUNDUP(I24,0)</f>
        <v>2</v>
      </c>
    </row>
    <row r="26" spans="1:19" x14ac:dyDescent="0.45">
      <c r="A26">
        <f>A25*2</f>
        <v>10800</v>
      </c>
      <c r="B26">
        <f>B25/(A26/A25)^2</f>
        <v>25</v>
      </c>
      <c r="L26" t="s">
        <v>78</v>
      </c>
    </row>
    <row r="27" spans="1:19" x14ac:dyDescent="0.45">
      <c r="A27" t="s">
        <v>48</v>
      </c>
      <c r="B27" s="4">
        <v>100</v>
      </c>
      <c r="C27" t="s">
        <v>49</v>
      </c>
      <c r="H27" s="8" t="s">
        <v>60</v>
      </c>
      <c r="I27">
        <f>((A25*(I25+1)/D18)^2)*B25*B27*I21/2/IF($I$14=3,2,1)*1024</f>
        <v>19.196901156742268</v>
      </c>
      <c r="J27" t="s">
        <v>68</v>
      </c>
      <c r="L27" t="s">
        <v>79</v>
      </c>
    </row>
    <row r="28" spans="1:19" x14ac:dyDescent="0.45">
      <c r="H28" s="8" t="s">
        <v>67</v>
      </c>
      <c r="I28" s="8">
        <f>D18/(I25+1)</f>
        <v>34041313.574576594</v>
      </c>
      <c r="J28" t="s">
        <v>21</v>
      </c>
    </row>
    <row r="29" spans="1:19" x14ac:dyDescent="0.45">
      <c r="A29" s="6" t="s">
        <v>45</v>
      </c>
      <c r="H29" s="8" t="s">
        <v>66</v>
      </c>
      <c r="I29">
        <f>$B$25*$B$27/(I28/$A$25)^2*1024</f>
        <v>0.25767652559385601</v>
      </c>
      <c r="J29" t="s">
        <v>46</v>
      </c>
    </row>
    <row r="30" spans="1:19" x14ac:dyDescent="0.45">
      <c r="A30" t="s">
        <v>44</v>
      </c>
      <c r="B30" s="4">
        <v>22</v>
      </c>
      <c r="C30" t="s">
        <v>46</v>
      </c>
      <c r="H30" s="8" t="s">
        <v>65</v>
      </c>
      <c r="I30">
        <f>I29*I21</f>
        <v>76.787604626969085</v>
      </c>
      <c r="J30" t="s">
        <v>46</v>
      </c>
    </row>
    <row r="31" spans="1:19" x14ac:dyDescent="0.45">
      <c r="A31" t="s">
        <v>35</v>
      </c>
      <c r="B31" s="8">
        <f>A25*SQRT($B$25*$B$27/(B30/1024))</f>
        <v>3684108.3786249482</v>
      </c>
      <c r="C31" t="s">
        <v>21</v>
      </c>
    </row>
    <row r="32" spans="1:19" x14ac:dyDescent="0.45">
      <c r="A32" t="s">
        <v>35</v>
      </c>
      <c r="B32">
        <f>B31/km_per_AU</f>
        <v>2.4626743424797613E-2</v>
      </c>
      <c r="C32" t="str">
        <f>$D$4</f>
        <v>AU</v>
      </c>
    </row>
    <row r="34" spans="1:11" x14ac:dyDescent="0.45">
      <c r="A34" s="6" t="s">
        <v>40</v>
      </c>
    </row>
    <row r="35" spans="1:11" x14ac:dyDescent="0.45">
      <c r="A35" t="s">
        <v>18</v>
      </c>
      <c r="B35" s="8">
        <f>B21*km_per_AU</f>
        <v>34041313.574576594</v>
      </c>
      <c r="C35" t="s">
        <v>21</v>
      </c>
    </row>
    <row r="36" spans="1:11" x14ac:dyDescent="0.45">
      <c r="A36" t="s">
        <v>41</v>
      </c>
      <c r="B36" s="2">
        <f>$B$25*$B$27/(B35/$A$25)^2*1024</f>
        <v>0.25767652559385601</v>
      </c>
      <c r="C36" t="s">
        <v>46</v>
      </c>
    </row>
    <row r="38" spans="1:11" x14ac:dyDescent="0.45">
      <c r="C38" s="12">
        <f>SUM(_xlfn.ANCHORARRAY(C40))</f>
        <v>1015</v>
      </c>
      <c r="D38" s="6" t="s">
        <v>52</v>
      </c>
      <c r="E38" s="12">
        <f>SUM(E40:E44)</f>
        <v>840</v>
      </c>
      <c r="F38" s="6" t="s">
        <v>52</v>
      </c>
      <c r="J38" t="s">
        <v>56</v>
      </c>
      <c r="K38" t="s">
        <v>57</v>
      </c>
    </row>
    <row r="39" spans="1:11" x14ac:dyDescent="0.45">
      <c r="A39" s="6" t="s">
        <v>28</v>
      </c>
      <c r="B39" t="s">
        <v>36</v>
      </c>
      <c r="C39" t="s">
        <v>53</v>
      </c>
      <c r="D39" t="s">
        <v>54</v>
      </c>
      <c r="E39" t="s">
        <v>55</v>
      </c>
      <c r="F39" s="8" t="s">
        <v>37</v>
      </c>
      <c r="G39" s="8" t="s">
        <v>42</v>
      </c>
      <c r="H39" s="8" t="s">
        <v>43</v>
      </c>
      <c r="J39" s="8" t="s">
        <v>58</v>
      </c>
      <c r="K39" s="8" t="s">
        <v>59</v>
      </c>
    </row>
    <row r="40" spans="1:11" x14ac:dyDescent="0.45">
      <c r="A40" cm="1">
        <f t="array" ref="A40:A42">_xlfn.SEQUENCE(B19)</f>
        <v>1</v>
      </c>
      <c r="B40" cm="1">
        <f t="array" ref="B40:B42">$B$22+(_xlfn.SEQUENCE(B19)-1)*$B$21</f>
        <v>1.0970990292388583</v>
      </c>
      <c r="C40" s="7" cm="1">
        <f t="array" ref="C40:C42">ROUNDUP(PI()/ASIN($B$32/(2*(INDEX(_xlfn.ANCHORARRAY(B40),_xlfn.SEQUENCE(B19))))),0)</f>
        <v>280</v>
      </c>
      <c r="D40" s="7" cm="1">
        <f t="array" ref="D40:D42">IF(_xlfn.SEQUENCE(ring_count),C40)</f>
        <v>280</v>
      </c>
      <c r="E40" s="7">
        <f>D40</f>
        <v>280</v>
      </c>
      <c r="F40" s="8" cm="1">
        <f t="array" ref="F40:F42">2*INDEX(_xlfn.ANCHORARRAY(B40),_xlfn.SEQUENCE(B19))*SIN(PI()/INDEX(E40:E44,_xlfn.SEQUENCE(B19)))*km_per_AU</f>
        <v>3682849.4661069959</v>
      </c>
      <c r="G40" s="8" cm="1">
        <f t="array" ref="G40:G42">$B$25*$B$27/((INDEX(_xlfn.ANCHORARRAY(F40),_xlfn.SEQUENCE(B19)))/$A$25)^2*1024</f>
        <v>22.015043139471196</v>
      </c>
      <c r="H40" s="8">
        <f>IF(E41,MIN(E40,E41)*$B$36,"")</f>
        <v>72.149427166279679</v>
      </c>
    </row>
    <row r="41" spans="1:11" x14ac:dyDescent="0.45">
      <c r="A41">
        <v>2</v>
      </c>
      <c r="B41">
        <v>1.324651155584575</v>
      </c>
      <c r="C41" s="7">
        <v>338</v>
      </c>
      <c r="D41">
        <v>280</v>
      </c>
      <c r="E41" s="7">
        <f t="shared" ref="E41:E44" si="10">D41</f>
        <v>280</v>
      </c>
      <c r="F41" s="8">
        <v>4446718.7292174073</v>
      </c>
      <c r="G41" s="8">
        <v>15.101085170135374</v>
      </c>
      <c r="H41" s="8">
        <f t="shared" ref="H41:H57" si="11">IF(E42,MIN(E41,E42)*$B$36,"")</f>
        <v>72.149427166279679</v>
      </c>
    </row>
    <row r="42" spans="1:11" x14ac:dyDescent="0.45">
      <c r="A42">
        <v>3</v>
      </c>
      <c r="B42">
        <v>1.5522032819302918</v>
      </c>
      <c r="C42" s="7">
        <v>397</v>
      </c>
      <c r="D42">
        <v>280</v>
      </c>
      <c r="E42" s="7">
        <f t="shared" si="10"/>
        <v>280</v>
      </c>
      <c r="F42" s="8">
        <v>5210587.9923278196</v>
      </c>
      <c r="G42" s="8">
        <v>10.998007402175698</v>
      </c>
      <c r="H42" s="8" t="str">
        <f t="shared" si="11"/>
        <v/>
      </c>
    </row>
    <row r="43" spans="1:11" x14ac:dyDescent="0.45">
      <c r="C43" s="7"/>
      <c r="E43" s="7">
        <f t="shared" si="10"/>
        <v>0</v>
      </c>
      <c r="H43" s="8" t="str">
        <f t="shared" si="11"/>
        <v/>
      </c>
    </row>
    <row r="44" spans="1:11" x14ac:dyDescent="0.45">
      <c r="C44" s="7"/>
      <c r="E44" s="7">
        <f t="shared" si="10"/>
        <v>0</v>
      </c>
      <c r="H44" s="8" t="str">
        <f t="shared" si="11"/>
        <v/>
      </c>
    </row>
    <row r="45" spans="1:11" x14ac:dyDescent="0.45">
      <c r="F45" s="8" t="str">
        <f t="shared" ref="F45:F58" si="12">IF(C46,MIN(C45,C46)*$B$36,"")</f>
        <v/>
      </c>
      <c r="H45" s="8" t="str">
        <f t="shared" si="11"/>
        <v/>
      </c>
    </row>
    <row r="46" spans="1:11" x14ac:dyDescent="0.45">
      <c r="F46" s="8" t="str">
        <f t="shared" si="12"/>
        <v/>
      </c>
      <c r="H46" s="8" t="str">
        <f t="shared" si="11"/>
        <v/>
      </c>
    </row>
    <row r="47" spans="1:11" x14ac:dyDescent="0.45">
      <c r="F47" s="8" t="str">
        <f t="shared" si="12"/>
        <v/>
      </c>
      <c r="H47" s="8" t="str">
        <f t="shared" si="11"/>
        <v/>
      </c>
    </row>
    <row r="48" spans="1:11" x14ac:dyDescent="0.45">
      <c r="F48" s="8" t="str">
        <f t="shared" si="12"/>
        <v/>
      </c>
      <c r="H48" s="8" t="str">
        <f t="shared" si="11"/>
        <v/>
      </c>
    </row>
    <row r="49" spans="6:8" x14ac:dyDescent="0.45">
      <c r="F49" s="8" t="str">
        <f t="shared" si="12"/>
        <v/>
      </c>
      <c r="H49" s="8" t="str">
        <f t="shared" si="11"/>
        <v/>
      </c>
    </row>
    <row r="50" spans="6:8" x14ac:dyDescent="0.45">
      <c r="F50" s="8" t="str">
        <f t="shared" si="12"/>
        <v/>
      </c>
      <c r="H50" s="8" t="str">
        <f t="shared" si="11"/>
        <v/>
      </c>
    </row>
    <row r="51" spans="6:8" x14ac:dyDescent="0.45">
      <c r="F51" s="8" t="str">
        <f t="shared" si="12"/>
        <v/>
      </c>
      <c r="H51" s="8" t="str">
        <f t="shared" si="11"/>
        <v/>
      </c>
    </row>
    <row r="52" spans="6:8" x14ac:dyDescent="0.45">
      <c r="F52" s="8" t="str">
        <f t="shared" si="12"/>
        <v/>
      </c>
      <c r="H52" s="8" t="str">
        <f t="shared" si="11"/>
        <v/>
      </c>
    </row>
    <row r="53" spans="6:8" x14ac:dyDescent="0.45">
      <c r="F53" s="8" t="str">
        <f t="shared" si="12"/>
        <v/>
      </c>
      <c r="H53" s="8" t="str">
        <f t="shared" si="11"/>
        <v/>
      </c>
    </row>
    <row r="54" spans="6:8" x14ac:dyDescent="0.45">
      <c r="F54" s="8" t="str">
        <f t="shared" si="12"/>
        <v/>
      </c>
      <c r="H54" s="8" t="str">
        <f t="shared" si="11"/>
        <v/>
      </c>
    </row>
    <row r="55" spans="6:8" x14ac:dyDescent="0.45">
      <c r="F55" s="8" t="str">
        <f t="shared" si="12"/>
        <v/>
      </c>
      <c r="H55" s="8" t="str">
        <f t="shared" si="11"/>
        <v/>
      </c>
    </row>
    <row r="56" spans="6:8" x14ac:dyDescent="0.45">
      <c r="F56" s="8" t="str">
        <f t="shared" si="12"/>
        <v/>
      </c>
      <c r="H56" s="8" t="str">
        <f t="shared" si="11"/>
        <v/>
      </c>
    </row>
    <row r="57" spans="6:8" x14ac:dyDescent="0.45">
      <c r="F57" s="8" t="str">
        <f t="shared" si="12"/>
        <v/>
      </c>
      <c r="H57" s="8" t="str">
        <f t="shared" si="11"/>
        <v/>
      </c>
    </row>
    <row r="58" spans="6:8" x14ac:dyDescent="0.45">
      <c r="F58" s="8" t="str">
        <f t="shared" si="12"/>
        <v/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km_per_AU</vt:lpstr>
      <vt:lpstr>ring_count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Villa-Massone</dc:creator>
  <cp:lastModifiedBy>Julien Villa-Massone</cp:lastModifiedBy>
  <dcterms:created xsi:type="dcterms:W3CDTF">2025-08-05T08:47:08Z</dcterms:created>
  <dcterms:modified xsi:type="dcterms:W3CDTF">2025-08-08T09:39:22Z</dcterms:modified>
</cp:coreProperties>
</file>